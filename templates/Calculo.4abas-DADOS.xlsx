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1" autoFilterDateGrouping="1"/>
  </bookViews>
  <sheets>
    <sheet xmlns:r="http://schemas.openxmlformats.org/officeDocument/2006/relationships" name="DADOS" sheetId="1" state="hidden" r:id="rId1"/>
    <sheet xmlns:r="http://schemas.openxmlformats.org/officeDocument/2006/relationships" name="PRICE 24X" sheetId="2" state="visible" r:id="rId2"/>
    <sheet xmlns:r="http://schemas.openxmlformats.org/officeDocument/2006/relationships" name="PRICE 36x" sheetId="3" state="visible" r:id="rId3"/>
    <sheet xmlns:r="http://schemas.openxmlformats.org/officeDocument/2006/relationships" name="PRICE 48x" sheetId="4" state="visible" r:id="rId4"/>
    <sheet xmlns:r="http://schemas.openxmlformats.org/officeDocument/2006/relationships" name="PRICE 60x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>
    <definedName name="\a">#N/A</definedName>
    <definedName name="\c">#N/A</definedName>
    <definedName name="\f">#N/A</definedName>
    <definedName name="\i">#REF!</definedName>
    <definedName name="\l">#REF!</definedName>
    <definedName name="__G1002686">'[1]Anexo I (2)'!#REF!</definedName>
    <definedName name="_G1002686">'[1]Anexo I (2)'!#REF!</definedName>
    <definedName name="_Regression_Int" hidden="1">1</definedName>
    <definedName name="a">#REF!</definedName>
    <definedName name="aa">'[1]Anexo I (2)'!#REF!</definedName>
    <definedName name="Abcd">[2]AUTORES!#REF!</definedName>
    <definedName name="Agências_Setores">#REF!</definedName>
    <definedName name="agexcel">#REF!</definedName>
    <definedName name="aloca">#REF!</definedName>
    <definedName name="ANEXO">#REF!</definedName>
    <definedName name="ANEXOB">'[1]Anexo I (2)'!#REF!</definedName>
    <definedName name="APAGA">#N/A</definedName>
    <definedName name="AREA">[2]AUTORES!#REF!</definedName>
    <definedName name="area2">[2]AUTORES!#REF!</definedName>
    <definedName name="area3">[3]AUTORES!#REF!</definedName>
    <definedName name="banco">#REF!</definedName>
    <definedName name="_xlnm.Database">#REF!</definedName>
    <definedName name="compensacao">[2]AUTORES!#REF!</definedName>
    <definedName name="compensacao1">'[1]Anexo I (2)'!#REF!</definedName>
    <definedName name="CONTADOR">#N/A</definedName>
    <definedName name="D">#REF!</definedName>
    <definedName name="Dados">#REF!</definedName>
    <definedName name="data">#REF!</definedName>
    <definedName name="DATA_ATUAL">#REF!</definedName>
    <definedName name="Débitos">#REF!</definedName>
    <definedName name="descrição">'[4]Anexo A'!#REF!</definedName>
    <definedName name="DIARIO1B">#REF!</definedName>
    <definedName name="DIARIO1E">#REF!</definedName>
    <definedName name="DIARIO2A">#REF!</definedName>
    <definedName name="DIARIO2B">#REF!</definedName>
    <definedName name="DIARIO2E">#REF!</definedName>
    <definedName name="DT_ATUAL">#REF!</definedName>
    <definedName name="Erro">#REF!</definedName>
    <definedName name="Erro2">#REF!</definedName>
    <definedName name="Erro3">#REF!</definedName>
    <definedName name="f">#REF!</definedName>
    <definedName name="g">#REF!</definedName>
    <definedName name="G_ÿ_P_">#REF!</definedName>
    <definedName name="guilherme">'[5]Anexo B'!#REF!</definedName>
    <definedName name="INFLAÇÃO">#REF!</definedName>
    <definedName name="ing">#REF!</definedName>
    <definedName name="inpc">#REF!</definedName>
    <definedName name="J276J276">#REF!</definedName>
    <definedName name="LIBOR">#REF!</definedName>
    <definedName name="MENSAL2">#REF!</definedName>
    <definedName name="MENSAL4">#REF!</definedName>
    <definedName name="MESTRE2">[6]BTNF_TRD!#REF!</definedName>
    <definedName name="NOVO">[6]BTNF_TRD!#REF!</definedName>
    <definedName name="NUCLEO">#N/A</definedName>
    <definedName name="Per">#REF!</definedName>
    <definedName name="Período">#REF!</definedName>
    <definedName name="plan">[2]AUTORES!#REF!</definedName>
    <definedName name="PMi">'[7]Relat Inf 0009 - graf'!$H$4:$L$16</definedName>
    <definedName name="PMp">'[7]Relat Inf 0009 - graf'!$B$4:$F$16</definedName>
    <definedName name="port">#REF!</definedName>
    <definedName name="Print_Area_MI">'[8]Quadro 1'!#REF!</definedName>
    <definedName name="Quadro_II___Base_monetária_e_componentes">#REF!</definedName>
    <definedName name="Quadro_VI___Meios_de_pagamento_e_componentes">#REF!</definedName>
    <definedName name="qualqer">#REF!</definedName>
    <definedName name="qualquerum">#REF!</definedName>
    <definedName name="RODAPE1">#REF!</definedName>
    <definedName name="RODAPE6">#REF!</definedName>
    <definedName name="RODAPE7">#REF!</definedName>
    <definedName name="RODAPE8">#REF!</definedName>
    <definedName name="s">#REF!</definedName>
    <definedName name="S_M">'[9]Salário Mínimo'!$A:$J</definedName>
    <definedName name="Saldos_em_final_de_período">#REF!</definedName>
    <definedName name="seleção">#REF!</definedName>
    <definedName name="ss">#REF!</definedName>
    <definedName name="TABII">'[10]ANEXO LXIX'!$A$9:$AN$4436</definedName>
    <definedName name="TABIII">'[10]ANEXO LXIX'!$C$9:$AN$4436</definedName>
    <definedName name="taxa_atualizacao">'[11]Anexo A'!$BB$1228</definedName>
    <definedName name="taxa_de_juros">'[5]Anexo B'!#REF!</definedName>
    <definedName name="teste">[2]AUTORES!#REF!</definedName>
    <definedName name="ULTMES">#REF!</definedName>
    <definedName name="Z">#REF!</definedName>
    <definedName name="\i" localSheetId="1">#REF!</definedName>
    <definedName name="\l" localSheetId="1">#REF!</definedName>
    <definedName name="__G1002686" localSheetId="1">'[1]Anexo I (2)'!#REF!</definedName>
    <definedName name="_G1002686" localSheetId="1">'[1]Anexo I (2)'!#REF!</definedName>
    <definedName name="a" localSheetId="1">#REF!</definedName>
    <definedName name="aa" localSheetId="1">'[1]Anexo I (2)'!#REF!</definedName>
    <definedName name="Abcd" localSheetId="1">[2]AUTORES!#REF!</definedName>
    <definedName name="Agências_Setores" localSheetId="1">#REF!</definedName>
    <definedName name="agexcel" localSheetId="1">#REF!</definedName>
    <definedName name="aloca" localSheetId="1">#REF!</definedName>
    <definedName name="ANEXO" localSheetId="1">#REF!</definedName>
    <definedName name="ANEXOB" localSheetId="1">'[1]Anexo I (2)'!#REF!</definedName>
    <definedName name="AREA" localSheetId="1">[2]AUTORES!#REF!</definedName>
    <definedName name="area2" localSheetId="1">[2]AUTORES!#REF!</definedName>
    <definedName name="area3" localSheetId="1">[3]AUTORES!#REF!</definedName>
    <definedName name="banco" localSheetId="1">#REF!</definedName>
    <definedName name="_xlnm.Database" localSheetId="1">#REF!</definedName>
    <definedName name="compensacao" localSheetId="1">[2]AUTORES!#REF!</definedName>
    <definedName name="compensacao1" localSheetId="1">'[1]Anexo I (2)'!#REF!</definedName>
    <definedName name="D" localSheetId="1">#REF!</definedName>
    <definedName name="Dados" localSheetId="1">#REF!</definedName>
    <definedName name="data" localSheetId="1">#REF!</definedName>
    <definedName name="DATA_ATUAL" localSheetId="1">#REF!</definedName>
    <definedName name="Débitos" localSheetId="1">#REF!</definedName>
    <definedName name="descrição" localSheetId="1">'[4]Anexo A'!#REF!</definedName>
    <definedName name="DIARIO1B" localSheetId="1">#REF!</definedName>
    <definedName name="DIARIO1E" localSheetId="1">#REF!</definedName>
    <definedName name="DIARIO2A" localSheetId="1">#REF!</definedName>
    <definedName name="DIARIO2B" localSheetId="1">#REF!</definedName>
    <definedName name="DIARIO2E" localSheetId="1">#REF!</definedName>
    <definedName name="DT_ATUAL" localSheetId="1">#REF!</definedName>
    <definedName name="Erro" localSheetId="1">#REF!</definedName>
    <definedName name="Erro2" localSheetId="1">#REF!</definedName>
    <definedName name="Erro3" localSheetId="1">#REF!</definedName>
    <definedName name="f" localSheetId="1">#REF!</definedName>
    <definedName name="g" localSheetId="1">#REF!</definedName>
    <definedName name="G_ÿ_P_" localSheetId="1">#REF!</definedName>
    <definedName name="guilherme" localSheetId="1">'[5]Anexo B'!#REF!</definedName>
    <definedName name="INFLAÇÃO" localSheetId="1">#REF!</definedName>
    <definedName name="ing" localSheetId="1">#REF!</definedName>
    <definedName name="inpc" localSheetId="1">#REF!</definedName>
    <definedName name="J276J276" localSheetId="1">#REF!</definedName>
    <definedName name="LIBOR" localSheetId="1">#REF!</definedName>
    <definedName name="MENSAL2" localSheetId="1">#REF!</definedName>
    <definedName name="MENSAL4" localSheetId="1">#REF!</definedName>
    <definedName name="MESTRE2" localSheetId="1">[6]BTNF_TRD!#REF!</definedName>
    <definedName name="NOVO" localSheetId="1">[6]BTNF_TRD!#REF!</definedName>
    <definedName name="Per" localSheetId="1">#REF!</definedName>
    <definedName name="Período" localSheetId="1">#REF!</definedName>
    <definedName name="plan" localSheetId="1">[2]AUTORES!#REF!</definedName>
    <definedName name="port" localSheetId="1">#REF!</definedName>
    <definedName name="Print_Area_MI" localSheetId="1">'[8]Quadro 1'!#REF!</definedName>
    <definedName name="Quadro_II___Base_monetária_e_componentes" localSheetId="1">#REF!</definedName>
    <definedName name="Quadro_VI___Meios_de_pagamento_e_componentes" localSheetId="1">#REF!</definedName>
    <definedName name="qualqer" localSheetId="1">#REF!</definedName>
    <definedName name="qualquerum" localSheetId="1">#REF!</definedName>
    <definedName name="RODAPE1" localSheetId="1">#REF!</definedName>
    <definedName name="RODAPE6" localSheetId="1">#REF!</definedName>
    <definedName name="RODAPE7" localSheetId="1">#REF!</definedName>
    <definedName name="RODAPE8" localSheetId="1">#REF!</definedName>
    <definedName name="s" localSheetId="1">#REF!</definedName>
    <definedName name="Saldos_em_final_de_período" localSheetId="1">#REF!</definedName>
    <definedName name="seleção" localSheetId="1">#REF!</definedName>
    <definedName name="ss" localSheetId="1">#REF!</definedName>
    <definedName name="taxa_de_juros" localSheetId="1">'[5]Anexo B'!#REF!</definedName>
    <definedName name="teste" localSheetId="1">[2]AUTORES!#REF!</definedName>
    <definedName name="ULTMES" localSheetId="1">#REF!</definedName>
    <definedName name="Z" localSheetId="1">#REF!</definedName>
    <definedName name="_xlnm.Print_Area" localSheetId="1">'PRICE 24X'!$A$1:$CC$155</definedName>
    <definedName name="\i" localSheetId="2">#REF!</definedName>
    <definedName name="\l" localSheetId="2">#REF!</definedName>
    <definedName name="__G1002686" localSheetId="2">'[1]Anexo I (2)'!#REF!</definedName>
    <definedName name="_G1002686" localSheetId="2">'[1]Anexo I (2)'!#REF!</definedName>
    <definedName name="a" localSheetId="2">#REF!</definedName>
    <definedName name="aa" localSheetId="2">'[1]Anexo I (2)'!#REF!</definedName>
    <definedName name="Abcd" localSheetId="2">[2]AUTORES!#REF!</definedName>
    <definedName name="Agências_Setores" localSheetId="2">#REF!</definedName>
    <definedName name="agexcel" localSheetId="2">#REF!</definedName>
    <definedName name="aloca" localSheetId="2">#REF!</definedName>
    <definedName name="ANEXO" localSheetId="2">#REF!</definedName>
    <definedName name="ANEXOB" localSheetId="2">'[1]Anexo I (2)'!#REF!</definedName>
    <definedName name="AREA" localSheetId="2">[2]AUTORES!#REF!</definedName>
    <definedName name="area2" localSheetId="2">[2]AUTORES!#REF!</definedName>
    <definedName name="area3" localSheetId="2">[3]AUTORES!#REF!</definedName>
    <definedName name="banco" localSheetId="2">#REF!</definedName>
    <definedName name="_xlnm.Database" localSheetId="2">#REF!</definedName>
    <definedName name="compensacao" localSheetId="2">[2]AUTORES!#REF!</definedName>
    <definedName name="compensacao1" localSheetId="2">'[1]Anexo I (2)'!#REF!</definedName>
    <definedName name="D" localSheetId="2">#REF!</definedName>
    <definedName name="Dados" localSheetId="2">#REF!</definedName>
    <definedName name="data" localSheetId="2">#REF!</definedName>
    <definedName name="DATA_ATUAL" localSheetId="2">#REF!</definedName>
    <definedName name="Débitos" localSheetId="2">#REF!</definedName>
    <definedName name="descrição" localSheetId="2">'[4]Anexo A'!#REF!</definedName>
    <definedName name="DIARIO1B" localSheetId="2">#REF!</definedName>
    <definedName name="DIARIO1E" localSheetId="2">#REF!</definedName>
    <definedName name="DIARIO2A" localSheetId="2">#REF!</definedName>
    <definedName name="DIARIO2B" localSheetId="2">#REF!</definedName>
    <definedName name="DIARIO2E" localSheetId="2">#REF!</definedName>
    <definedName name="DT_ATUAL" localSheetId="2">#REF!</definedName>
    <definedName name="Erro" localSheetId="2">#REF!</definedName>
    <definedName name="Erro2" localSheetId="2">#REF!</definedName>
    <definedName name="Erro3" localSheetId="2">#REF!</definedName>
    <definedName name="f" localSheetId="2">#REF!</definedName>
    <definedName name="g" localSheetId="2">#REF!</definedName>
    <definedName name="G_ÿ_P_" localSheetId="2">#REF!</definedName>
    <definedName name="guilherme" localSheetId="2">'[5]Anexo B'!#REF!</definedName>
    <definedName name="INFLAÇÃO" localSheetId="2">#REF!</definedName>
    <definedName name="ing" localSheetId="2">#REF!</definedName>
    <definedName name="inpc" localSheetId="2">#REF!</definedName>
    <definedName name="J276J276" localSheetId="2">#REF!</definedName>
    <definedName name="LIBOR" localSheetId="2">#REF!</definedName>
    <definedName name="MENSAL2" localSheetId="2">#REF!</definedName>
    <definedName name="MENSAL4" localSheetId="2">#REF!</definedName>
    <definedName name="MESTRE2" localSheetId="2">[6]BTNF_TRD!#REF!</definedName>
    <definedName name="NOVO" localSheetId="2">[6]BTNF_TRD!#REF!</definedName>
    <definedName name="Per" localSheetId="2">#REF!</definedName>
    <definedName name="Período" localSheetId="2">#REF!</definedName>
    <definedName name="plan" localSheetId="2">[2]AUTORES!#REF!</definedName>
    <definedName name="port" localSheetId="2">#REF!</definedName>
    <definedName name="Print_Area_MI" localSheetId="2">'[8]Quadro 1'!#REF!</definedName>
    <definedName name="Quadro_II___Base_monetária_e_componentes" localSheetId="2">#REF!</definedName>
    <definedName name="Quadro_VI___Meios_de_pagamento_e_componentes" localSheetId="2">#REF!</definedName>
    <definedName name="qualqer" localSheetId="2">#REF!</definedName>
    <definedName name="qualquerum" localSheetId="2">#REF!</definedName>
    <definedName name="RODAPE1" localSheetId="2">#REF!</definedName>
    <definedName name="RODAPE6" localSheetId="2">#REF!</definedName>
    <definedName name="RODAPE7" localSheetId="2">#REF!</definedName>
    <definedName name="RODAPE8" localSheetId="2">#REF!</definedName>
    <definedName name="s" localSheetId="2">#REF!</definedName>
    <definedName name="Saldos_em_final_de_período" localSheetId="2">#REF!</definedName>
    <definedName name="seleção" localSheetId="2">#REF!</definedName>
    <definedName name="ss" localSheetId="2">#REF!</definedName>
    <definedName name="taxa_de_juros" localSheetId="2">'[5]Anexo B'!#REF!</definedName>
    <definedName name="teste" localSheetId="2">[2]AUTORES!#REF!</definedName>
    <definedName name="ULTMES" localSheetId="2">#REF!</definedName>
    <definedName name="Z" localSheetId="2">#REF!</definedName>
    <definedName name="_xlnm.Print_Area" localSheetId="2">'PRICE 36x'!$A$1:$CC$168</definedName>
    <definedName name="\i" localSheetId="3">#REF!</definedName>
    <definedName name="\l" localSheetId="3">#REF!</definedName>
    <definedName name="__G1002686" localSheetId="3">'[1]Anexo I (2)'!#REF!</definedName>
    <definedName name="_G1002686" localSheetId="3">'[1]Anexo I (2)'!#REF!</definedName>
    <definedName name="a" localSheetId="3">#REF!</definedName>
    <definedName name="aa" localSheetId="3">'[1]Anexo I (2)'!#REF!</definedName>
    <definedName name="Abcd" localSheetId="3">[2]AUTORES!#REF!</definedName>
    <definedName name="Agências_Setores" localSheetId="3">#REF!</definedName>
    <definedName name="agexcel" localSheetId="3">#REF!</definedName>
    <definedName name="aloca" localSheetId="3">#REF!</definedName>
    <definedName name="ANEXO" localSheetId="3">#REF!</definedName>
    <definedName name="ANEXOB" localSheetId="3">'[1]Anexo I (2)'!#REF!</definedName>
    <definedName name="AREA" localSheetId="3">[2]AUTORES!#REF!</definedName>
    <definedName name="area2" localSheetId="3">[2]AUTORES!#REF!</definedName>
    <definedName name="area3" localSheetId="3">[3]AUTORES!#REF!</definedName>
    <definedName name="banco" localSheetId="3">#REF!</definedName>
    <definedName name="_xlnm.Database" localSheetId="3">#REF!</definedName>
    <definedName name="compensacao" localSheetId="3">[2]AUTORES!#REF!</definedName>
    <definedName name="compensacao1" localSheetId="3">'[1]Anexo I (2)'!#REF!</definedName>
    <definedName name="D" localSheetId="3">#REF!</definedName>
    <definedName name="Dados" localSheetId="3">#REF!</definedName>
    <definedName name="data" localSheetId="3">#REF!</definedName>
    <definedName name="DATA_ATUAL" localSheetId="3">#REF!</definedName>
    <definedName name="Débitos" localSheetId="3">#REF!</definedName>
    <definedName name="descrição" localSheetId="3">'[4]Anexo A'!#REF!</definedName>
    <definedName name="DIARIO1B" localSheetId="3">#REF!</definedName>
    <definedName name="DIARIO1E" localSheetId="3">#REF!</definedName>
    <definedName name="DIARIO2A" localSheetId="3">#REF!</definedName>
    <definedName name="DIARIO2B" localSheetId="3">#REF!</definedName>
    <definedName name="DIARIO2E" localSheetId="3">#REF!</definedName>
    <definedName name="DT_ATUAL" localSheetId="3">#REF!</definedName>
    <definedName name="Erro" localSheetId="3">#REF!</definedName>
    <definedName name="Erro2" localSheetId="3">#REF!</definedName>
    <definedName name="Erro3" localSheetId="3">#REF!</definedName>
    <definedName name="f" localSheetId="3">#REF!</definedName>
    <definedName name="g" localSheetId="3">#REF!</definedName>
    <definedName name="G_ÿ_P_" localSheetId="3">#REF!</definedName>
    <definedName name="guilherme" localSheetId="3">'[5]Anexo B'!#REF!</definedName>
    <definedName name="INFLAÇÃO" localSheetId="3">#REF!</definedName>
    <definedName name="ing" localSheetId="3">#REF!</definedName>
    <definedName name="inpc" localSheetId="3">#REF!</definedName>
    <definedName name="J276J276" localSheetId="3">#REF!</definedName>
    <definedName name="LIBOR" localSheetId="3">#REF!</definedName>
    <definedName name="MENSAL2" localSheetId="3">#REF!</definedName>
    <definedName name="MENSAL4" localSheetId="3">#REF!</definedName>
    <definedName name="MESTRE2" localSheetId="3">[6]BTNF_TRD!#REF!</definedName>
    <definedName name="NOVO" localSheetId="3">[6]BTNF_TRD!#REF!</definedName>
    <definedName name="Per" localSheetId="3">#REF!</definedName>
    <definedName name="Período" localSheetId="3">#REF!</definedName>
    <definedName name="plan" localSheetId="3">[2]AUTORES!#REF!</definedName>
    <definedName name="port" localSheetId="3">#REF!</definedName>
    <definedName name="Print_Area_MI" localSheetId="3">'[8]Quadro 1'!#REF!</definedName>
    <definedName name="Quadro_II___Base_monetária_e_componentes" localSheetId="3">#REF!</definedName>
    <definedName name="Quadro_VI___Meios_de_pagamento_e_componentes" localSheetId="3">#REF!</definedName>
    <definedName name="qualqer" localSheetId="3">#REF!</definedName>
    <definedName name="qualquerum" localSheetId="3">#REF!</definedName>
    <definedName name="RODAPE1" localSheetId="3">#REF!</definedName>
    <definedName name="RODAPE6" localSheetId="3">#REF!</definedName>
    <definedName name="RODAPE7" localSheetId="3">#REF!</definedName>
    <definedName name="RODAPE8" localSheetId="3">#REF!</definedName>
    <definedName name="s" localSheetId="3">#REF!</definedName>
    <definedName name="Saldos_em_final_de_período" localSheetId="3">#REF!</definedName>
    <definedName name="seleção" localSheetId="3">#REF!</definedName>
    <definedName name="ss" localSheetId="3">#REF!</definedName>
    <definedName name="taxa_de_juros" localSheetId="3">'[5]Anexo B'!#REF!</definedName>
    <definedName name="teste" localSheetId="3">[2]AUTORES!#REF!</definedName>
    <definedName name="ULTMES" localSheetId="3">#REF!</definedName>
    <definedName name="Z" localSheetId="3">#REF!</definedName>
    <definedName name="_xlnm.Print_Area" localSheetId="3">'PRICE 48x'!$A$1:$CC$180</definedName>
    <definedName name="\i" localSheetId="4">#REF!</definedName>
    <definedName name="\l" localSheetId="4">#REF!</definedName>
    <definedName name="__G1002686" localSheetId="4">'[1]Anexo I (2)'!#REF!</definedName>
    <definedName name="_G1002686" localSheetId="4">'[1]Anexo I (2)'!#REF!</definedName>
    <definedName name="a" localSheetId="4">#REF!</definedName>
    <definedName name="aa" localSheetId="4">'[1]Anexo I (2)'!#REF!</definedName>
    <definedName name="Abcd" localSheetId="4">[2]AUTORES!#REF!</definedName>
    <definedName name="Agências_Setores" localSheetId="4">#REF!</definedName>
    <definedName name="agexcel" localSheetId="4">#REF!</definedName>
    <definedName name="aloca" localSheetId="4">#REF!</definedName>
    <definedName name="ANEXO" localSheetId="4">#REF!</definedName>
    <definedName name="ANEXOB" localSheetId="4">'[1]Anexo I (2)'!#REF!</definedName>
    <definedName name="AREA" localSheetId="4">[2]AUTORES!#REF!</definedName>
    <definedName name="area2" localSheetId="4">[2]AUTORES!#REF!</definedName>
    <definedName name="area3" localSheetId="4">[3]AUTORES!#REF!</definedName>
    <definedName name="banco" localSheetId="4">#REF!</definedName>
    <definedName name="_xlnm.Database" localSheetId="4">#REF!</definedName>
    <definedName name="compensacao" localSheetId="4">[2]AUTORES!#REF!</definedName>
    <definedName name="compensacao1" localSheetId="4">'[1]Anexo I (2)'!#REF!</definedName>
    <definedName name="D" localSheetId="4">#REF!</definedName>
    <definedName name="Dados" localSheetId="4">#REF!</definedName>
    <definedName name="data" localSheetId="4">#REF!</definedName>
    <definedName name="DATA_ATUAL" localSheetId="4">#REF!</definedName>
    <definedName name="Débitos" localSheetId="4">#REF!</definedName>
    <definedName name="descrição" localSheetId="4">'[4]Anexo A'!#REF!</definedName>
    <definedName name="DIARIO1B" localSheetId="4">#REF!</definedName>
    <definedName name="DIARIO1E" localSheetId="4">#REF!</definedName>
    <definedName name="DIARIO2A" localSheetId="4">#REF!</definedName>
    <definedName name="DIARIO2B" localSheetId="4">#REF!</definedName>
    <definedName name="DIARIO2E" localSheetId="4">#REF!</definedName>
    <definedName name="DT_ATUAL" localSheetId="4">#REF!</definedName>
    <definedName name="Erro" localSheetId="4">#REF!</definedName>
    <definedName name="Erro2" localSheetId="4">#REF!</definedName>
    <definedName name="Erro3" localSheetId="4">#REF!</definedName>
    <definedName name="f" localSheetId="4">#REF!</definedName>
    <definedName name="g" localSheetId="4">#REF!</definedName>
    <definedName name="G_ÿ_P_" localSheetId="4">#REF!</definedName>
    <definedName name="guilherme" localSheetId="4">'[5]Anexo B'!#REF!</definedName>
    <definedName name="INFLAÇÃO" localSheetId="4">#REF!</definedName>
    <definedName name="ing" localSheetId="4">#REF!</definedName>
    <definedName name="inpc" localSheetId="4">#REF!</definedName>
    <definedName name="J276J276" localSheetId="4">#REF!</definedName>
    <definedName name="LIBOR" localSheetId="4">#REF!</definedName>
    <definedName name="MENSAL2" localSheetId="4">#REF!</definedName>
    <definedName name="MENSAL4" localSheetId="4">#REF!</definedName>
    <definedName name="MESTRE2" localSheetId="4">[6]BTNF_TRD!#REF!</definedName>
    <definedName name="NOVO" localSheetId="4">[6]BTNF_TRD!#REF!</definedName>
    <definedName name="Per" localSheetId="4">#REF!</definedName>
    <definedName name="Período" localSheetId="4">#REF!</definedName>
    <definedName name="plan" localSheetId="4">[2]AUTORES!#REF!</definedName>
    <definedName name="port" localSheetId="4">#REF!</definedName>
    <definedName name="Print_Area_MI" localSheetId="4">'[8]Quadro 1'!#REF!</definedName>
    <definedName name="Quadro_II___Base_monetária_e_componentes" localSheetId="4">#REF!</definedName>
    <definedName name="Quadro_VI___Meios_de_pagamento_e_componentes" localSheetId="4">#REF!</definedName>
    <definedName name="qualqer" localSheetId="4">#REF!</definedName>
    <definedName name="qualquerum" localSheetId="4">#REF!</definedName>
    <definedName name="RODAPE1" localSheetId="4">#REF!</definedName>
    <definedName name="RODAPE6" localSheetId="4">#REF!</definedName>
    <definedName name="RODAPE7" localSheetId="4">#REF!</definedName>
    <definedName name="RODAPE8" localSheetId="4">#REF!</definedName>
    <definedName name="s" localSheetId="4">#REF!</definedName>
    <definedName name="Saldos_em_final_de_período" localSheetId="4">#REF!</definedName>
    <definedName name="seleção" localSheetId="4">#REF!</definedName>
    <definedName name="ss" localSheetId="4">#REF!</definedName>
    <definedName name="taxa_de_juros" localSheetId="4">'[5]Anexo B'!#REF!</definedName>
    <definedName name="teste" localSheetId="4">[2]AUTORES!#REF!</definedName>
    <definedName name="ULTMES" localSheetId="4">#REF!</definedName>
    <definedName name="Z" localSheetId="4">#REF!</definedName>
    <definedName name="_xlnm.Print_Area" localSheetId="4">'PRICE 60x'!$A$1:$CC$192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(* #,##0_);_(* \(#,##0\);_(* &quot;-&quot;??_);_(@_)"/>
    <numFmt numFmtId="165" formatCode="_-* #,##0.00_-;\-* #,##0.00_-;_-* &quot;-&quot;??_-;_-@_-"/>
    <numFmt numFmtId="166" formatCode="#,##0.000000"/>
    <numFmt numFmtId="167" formatCode="#,##0.000000_);\(#,##0.000000\)"/>
    <numFmt numFmtId="168" formatCode="0.0000%"/>
    <numFmt numFmtId="169" formatCode="0.000%"/>
    <numFmt numFmtId="170" formatCode="_-&quot;R$&quot;\ * #,##0.00_-;\-&quot;R$&quot;\ * #,##0.00_-;_-&quot;R$&quot;\ * &quot;-&quot;??_-;_-@_-"/>
    <numFmt numFmtId="171" formatCode="dd/mm/yyyy"/>
    <numFmt numFmtId="172" formatCode="R$ #,##0.00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sz val="10"/>
    </font>
    <font>
      <name val="Arial Narrow"/>
      <family val="2"/>
      <sz val="9"/>
    </font>
    <font>
      <name val="Arial"/>
      <family val="2"/>
      <sz val="10"/>
    </font>
    <font>
      <name val="Arial Narrow"/>
      <family val="2"/>
      <color rgb="FFFF0000"/>
      <sz val="9"/>
    </font>
    <font>
      <name val="Arial"/>
      <family val="2"/>
      <sz val="10"/>
    </font>
    <font>
      <name val="Arial Narrow"/>
      <family val="2"/>
      <b val="1"/>
      <sz val="9"/>
      <u val="single"/>
    </font>
    <font>
      <name val="Arial Narrow"/>
      <family val="2"/>
      <b val="1"/>
      <sz val="9"/>
    </font>
    <font>
      <name val="Arial Narrow"/>
      <family val="2"/>
      <b val="1"/>
      <sz val="9"/>
      <vertAlign val="superscript"/>
    </font>
    <font>
      <name val="Segoe UI"/>
      <family val="2"/>
      <color indexed="81"/>
      <sz val="9"/>
    </font>
    <font>
      <name val="Arial Narrow"/>
      <family val="2"/>
      <sz val="11"/>
    </font>
    <font>
      <name val="Arial Narrow"/>
      <family val="2"/>
      <color rgb="FFFF0000"/>
      <sz val="11"/>
    </font>
    <font>
      <name val="Arial Narrow"/>
      <family val="2"/>
      <b val="1"/>
      <sz val="11"/>
    </font>
    <font>
      <name val="Segoe UI"/>
      <family val="2"/>
      <b val="1"/>
      <color indexed="81"/>
      <sz val="9"/>
    </font>
    <font>
      <name val="Arial"/>
      <family val="2"/>
      <color theme="1"/>
      <sz val="10"/>
    </font>
    <font>
      <name val="Arial Narrow"/>
      <family val="2"/>
      <b val="1"/>
      <sz val="8"/>
    </font>
    <font>
      <name val="Arial Narrow"/>
      <family val="2"/>
      <sz val="8"/>
    </font>
    <font>
      <name val="Arial Narrow"/>
      <family val="2"/>
      <b val="1"/>
      <color theme="1" tint="0.0499893185216834"/>
      <sz val="8"/>
    </font>
    <font>
      <name val="Arial Narrow"/>
      <family val="2"/>
      <color theme="1" tint="0.0499893185216834"/>
      <sz val="8"/>
    </font>
    <font>
      <name val="Arial Narrow"/>
      <family val="2"/>
      <b val="1"/>
      <sz val="13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u val="single"/>
      <scheme val="minor"/>
    </font>
    <font>
      <name val="Calibri"/>
      <family val="2"/>
      <b val="1"/>
      <sz val="12"/>
      <vertAlign val="superscript"/>
      <scheme val="minor"/>
    </font>
    <font>
      <b val="1"/>
    </font>
    <font/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DDDDD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1" fillId="0" borderId="0"/>
    <xf numFmtId="43" fontId="1" fillId="0" borderId="0"/>
    <xf numFmtId="9" fontId="1" fillId="0" borderId="0"/>
    <xf numFmtId="0" fontId="2" fillId="0" borderId="0"/>
    <xf numFmtId="43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43" fontId="6" fillId="0" borderId="0"/>
    <xf numFmtId="0" fontId="6" fillId="0" borderId="0"/>
    <xf numFmtId="43" fontId="6" fillId="0" borderId="0"/>
    <xf numFmtId="43" fontId="15" fillId="0" borderId="0"/>
    <xf numFmtId="9" fontId="6" fillId="0" borderId="0"/>
    <xf numFmtId="43" fontId="6" fillId="0" borderId="0"/>
    <xf numFmtId="44" fontId="1" fillId="0" borderId="0"/>
  </cellStyleXfs>
  <cellXfs count="573">
    <xf numFmtId="0" fontId="0" fillId="0" borderId="0" pivotButton="0" quotePrefix="0" xfId="0"/>
    <xf numFmtId="0" fontId="3" fillId="0" borderId="0" applyAlignment="1" pivotButton="0" quotePrefix="0" xfId="3">
      <alignment vertical="center"/>
    </xf>
    <xf numFmtId="43" fontId="5" fillId="0" borderId="0" applyAlignment="1" pivotButton="0" quotePrefix="0" xfId="4">
      <alignment vertical="center"/>
    </xf>
    <xf numFmtId="14" fontId="5" fillId="0" borderId="0" applyAlignment="1" pivotButton="0" quotePrefix="0" xfId="3">
      <alignment vertical="center"/>
    </xf>
    <xf numFmtId="14" fontId="3" fillId="0" borderId="0" applyAlignment="1" pivotButton="0" quotePrefix="0" xfId="3">
      <alignment vertical="center"/>
    </xf>
    <xf numFmtId="0" fontId="5" fillId="0" borderId="0" applyAlignment="1" pivotButton="0" quotePrefix="0" xfId="3">
      <alignment vertical="center"/>
    </xf>
    <xf numFmtId="0" fontId="3" fillId="0" borderId="4" applyAlignment="1" pivotButton="0" quotePrefix="0" xfId="3">
      <alignment vertical="center"/>
    </xf>
    <xf numFmtId="0" fontId="3" fillId="0" borderId="5" applyAlignment="1" pivotButton="0" quotePrefix="0" xfId="3">
      <alignment vertical="center"/>
    </xf>
    <xf numFmtId="164" fontId="5" fillId="0" borderId="0" applyAlignment="1" pivotButton="0" quotePrefix="0" xfId="4">
      <alignment vertical="center"/>
    </xf>
    <xf numFmtId="0" fontId="8" fillId="0" borderId="4" applyAlignment="1" pivotButton="0" quotePrefix="0" xfId="3">
      <alignment vertical="center"/>
    </xf>
    <xf numFmtId="0" fontId="8" fillId="0" borderId="0" applyAlignment="1" pivotButton="0" quotePrefix="0" xfId="3">
      <alignment vertical="center"/>
    </xf>
    <xf numFmtId="1" fontId="5" fillId="0" borderId="0" applyAlignment="1" pivotButton="0" quotePrefix="0" xfId="4">
      <alignment vertical="center"/>
    </xf>
    <xf numFmtId="165" fontId="3" fillId="0" borderId="5" applyAlignment="1" pivotButton="0" quotePrefix="0" xfId="3">
      <alignment vertical="center"/>
    </xf>
    <xf numFmtId="43" fontId="5" fillId="0" borderId="0" applyAlignment="1" pivotButton="0" quotePrefix="0" xfId="4">
      <alignment vertical="center"/>
    </xf>
    <xf numFmtId="9" fontId="3" fillId="0" borderId="0" applyAlignment="1" pivotButton="0" quotePrefix="0" xfId="6">
      <alignment vertical="center"/>
    </xf>
    <xf numFmtId="2" fontId="5" fillId="0" borderId="0" applyAlignment="1" pivotButton="0" quotePrefix="0" xfId="4">
      <alignment vertical="center"/>
    </xf>
    <xf numFmtId="0" fontId="3" fillId="0" borderId="0" applyAlignment="1" pivotButton="0" quotePrefix="0" xfId="3">
      <alignment horizontal="center" vertical="center"/>
    </xf>
    <xf numFmtId="10" fontId="5" fillId="0" borderId="0" applyAlignment="1" pivotButton="0" quotePrefix="0" xfId="6">
      <alignment vertical="center"/>
    </xf>
    <xf numFmtId="0" fontId="8" fillId="0" borderId="5" applyAlignment="1" pivotButton="0" quotePrefix="0" xfId="3">
      <alignment vertical="center"/>
    </xf>
    <xf numFmtId="0" fontId="3" fillId="0" borderId="6" applyAlignment="1" pivotButton="0" quotePrefix="0" xfId="3">
      <alignment vertical="center"/>
    </xf>
    <xf numFmtId="0" fontId="3" fillId="0" borderId="2" applyAlignment="1" pivotButton="0" quotePrefix="0" xfId="3">
      <alignment vertical="center"/>
    </xf>
    <xf numFmtId="0" fontId="8" fillId="0" borderId="5" pivotButton="0" quotePrefix="0" xfId="5"/>
    <xf numFmtId="0" fontId="3" fillId="0" borderId="0" pivotButton="0" quotePrefix="0" xfId="5"/>
    <xf numFmtId="166" fontId="3" fillId="0" borderId="0" applyAlignment="1" pivotButton="0" quotePrefix="0" xfId="4">
      <alignment vertical="center"/>
    </xf>
    <xf numFmtId="167" fontId="8" fillId="0" borderId="0" applyAlignment="1" pivotButton="0" quotePrefix="0" xfId="4">
      <alignment horizontal="center" vertical="center"/>
    </xf>
    <xf numFmtId="0" fontId="3" fillId="0" borderId="6" applyAlignment="1" pivotButton="0" quotePrefix="0" xfId="3">
      <alignment horizontal="center" vertical="center"/>
    </xf>
    <xf numFmtId="167" fontId="8" fillId="0" borderId="6" applyAlignment="1" pivotButton="0" quotePrefix="0" xfId="4">
      <alignment horizontal="center" vertical="center"/>
    </xf>
    <xf numFmtId="0" fontId="3" fillId="0" borderId="8" applyAlignment="1" pivotButton="0" quotePrefix="0" xfId="3">
      <alignment vertical="center"/>
    </xf>
    <xf numFmtId="0" fontId="8" fillId="0" borderId="0" applyAlignment="1" pivotButton="0" quotePrefix="0" xfId="3">
      <alignment horizontal="center" vertical="center" wrapText="1"/>
    </xf>
    <xf numFmtId="0" fontId="9" fillId="0" borderId="0" applyAlignment="1" pivotButton="0" quotePrefix="0" xfId="3">
      <alignment horizontal="left" vertical="center"/>
    </xf>
    <xf numFmtId="0" fontId="8" fillId="0" borderId="0" pivotButton="0" quotePrefix="0" xfId="5"/>
    <xf numFmtId="168" fontId="5" fillId="0" borderId="0" applyAlignment="1" pivotButton="0" quotePrefix="0" xfId="3">
      <alignment vertical="center"/>
    </xf>
    <xf numFmtId="169" fontId="5" fillId="0" borderId="0" applyAlignment="1" pivotButton="0" quotePrefix="0" xfId="6">
      <alignment vertical="center"/>
    </xf>
    <xf numFmtId="0" fontId="11" fillId="0" borderId="0" applyAlignment="1" pivotButton="0" quotePrefix="0" xfId="3">
      <alignment vertical="center"/>
    </xf>
    <xf numFmtId="14" fontId="12" fillId="0" borderId="0" applyAlignment="1" pivotButton="0" quotePrefix="0" xfId="3">
      <alignment vertical="center"/>
    </xf>
    <xf numFmtId="0" fontId="12" fillId="0" borderId="0" applyAlignment="1" pivotButton="0" quotePrefix="0" xfId="3">
      <alignment vertical="center"/>
    </xf>
    <xf numFmtId="43" fontId="12" fillId="0" borderId="0" applyAlignment="1" pivotButton="0" quotePrefix="0" xfId="4">
      <alignment vertical="center"/>
    </xf>
    <xf numFmtId="14" fontId="11" fillId="0" borderId="0" applyAlignment="1" pivotButton="0" quotePrefix="0" xfId="3">
      <alignment vertical="center"/>
    </xf>
    <xf numFmtId="43" fontId="12" fillId="0" borderId="0" applyAlignment="1" pivotButton="0" quotePrefix="0" xfId="4">
      <alignment vertical="center"/>
    </xf>
    <xf numFmtId="0" fontId="8" fillId="0" borderId="11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0" fontId="3" fillId="0" borderId="13" applyAlignment="1" pivotButton="0" quotePrefix="0" xfId="3">
      <alignment vertical="center"/>
    </xf>
    <xf numFmtId="0" fontId="8" fillId="0" borderId="10" applyAlignment="1" pivotButton="0" quotePrefix="0" xfId="3">
      <alignment vertical="center"/>
    </xf>
    <xf numFmtId="0" fontId="3" fillId="0" borderId="10" applyAlignment="1" pivotButton="0" quotePrefix="0" xfId="3">
      <alignment vertical="center"/>
    </xf>
    <xf numFmtId="165" fontId="3" fillId="0" borderId="0" applyAlignment="1" pivotButton="0" quotePrefix="0" xfId="3">
      <alignment vertical="center"/>
    </xf>
    <xf numFmtId="2" fontId="5" fillId="0" borderId="0" applyAlignment="1" pivotButton="0" quotePrefix="0" xfId="4">
      <alignment vertical="center"/>
    </xf>
    <xf numFmtId="10" fontId="5" fillId="0" borderId="0" applyAlignment="1" pivotButton="0" quotePrefix="0" xfId="6">
      <alignment vertical="center"/>
    </xf>
    <xf numFmtId="166" fontId="3" fillId="0" borderId="0" applyAlignment="1" pivotButton="0" quotePrefix="0" xfId="4">
      <alignment vertical="center"/>
    </xf>
    <xf numFmtId="167" fontId="8" fillId="0" borderId="0" applyAlignment="1" pivotButton="0" quotePrefix="0" xfId="4">
      <alignment horizontal="center" vertical="center"/>
    </xf>
    <xf numFmtId="0" fontId="13" fillId="0" borderId="0" applyAlignment="1" pivotButton="0" quotePrefix="0" xfId="3">
      <alignment horizontal="center" vertical="center"/>
    </xf>
    <xf numFmtId="0" fontId="13" fillId="0" borderId="0" applyAlignment="1" pivotButton="0" quotePrefix="0" xfId="3">
      <alignment vertical="center"/>
    </xf>
    <xf numFmtId="0" fontId="13" fillId="0" borderId="23" applyAlignment="1" pivotButton="0" quotePrefix="0" xfId="3">
      <alignment vertical="center"/>
    </xf>
    <xf numFmtId="39" fontId="8" fillId="0" borderId="0" applyAlignment="1" pivotButton="0" quotePrefix="0" xfId="4">
      <alignment horizontal="center" vertical="center"/>
    </xf>
    <xf numFmtId="0" fontId="8" fillId="0" borderId="0" applyAlignment="1" pivotButton="0" quotePrefix="0" xfId="3">
      <alignment horizontal="center" vertical="center"/>
    </xf>
    <xf numFmtId="168" fontId="8" fillId="0" borderId="0" applyAlignment="1" pivotButton="0" quotePrefix="0" xfId="5">
      <alignment vertical="center"/>
    </xf>
    <xf numFmtId="168" fontId="8" fillId="0" borderId="0" applyAlignment="1" pivotButton="0" quotePrefix="0" xfId="4">
      <alignment vertical="center"/>
    </xf>
    <xf numFmtId="0" fontId="7" fillId="0" borderId="0" applyAlignment="1" pivotButton="0" quotePrefix="0" xfId="5">
      <alignment vertical="center"/>
    </xf>
    <xf numFmtId="0" fontId="8" fillId="0" borderId="0" applyAlignment="1" pivotButton="0" quotePrefix="0" xfId="3">
      <alignment vertical="center" wrapText="1"/>
    </xf>
    <xf numFmtId="39" fontId="8" fillId="0" borderId="0" applyAlignment="1" pivotButton="0" quotePrefix="0" xfId="4">
      <alignment vertical="center"/>
    </xf>
    <xf numFmtId="168" fontId="8" fillId="0" borderId="0" applyAlignment="1" pivotButton="0" quotePrefix="0" xfId="6">
      <alignment vertical="center"/>
    </xf>
    <xf numFmtId="3" fontId="8" fillId="0" borderId="0" applyAlignment="1" pivotButton="0" quotePrefix="0" xfId="4">
      <alignment vertical="center"/>
    </xf>
    <xf numFmtId="170" fontId="11" fillId="0" borderId="0" applyAlignment="1" pivotButton="0" quotePrefix="0" xfId="1">
      <alignment vertical="center"/>
    </xf>
    <xf numFmtId="0" fontId="8" fillId="0" borderId="33" applyAlignment="1" pivotButton="0" quotePrefix="0" xfId="3">
      <alignment vertical="center" wrapText="1"/>
    </xf>
    <xf numFmtId="10" fontId="8" fillId="0" borderId="0" applyAlignment="1" pivotButton="0" quotePrefix="0" xfId="3">
      <alignment vertical="center"/>
    </xf>
    <xf numFmtId="10" fontId="8" fillId="0" borderId="44" applyAlignment="1" pivotButton="0" quotePrefix="0" xfId="3">
      <alignment vertical="center"/>
    </xf>
    <xf numFmtId="0" fontId="17" fillId="0" borderId="0" applyAlignment="1" pivotButton="0" quotePrefix="0" xfId="3">
      <alignment vertical="center"/>
    </xf>
    <xf numFmtId="0" fontId="17" fillId="0" borderId="9" applyAlignment="1" pivotButton="0" quotePrefix="0" xfId="3">
      <alignment horizontal="center" vertical="center"/>
    </xf>
    <xf numFmtId="14" fontId="17" fillId="0" borderId="9" applyAlignment="1" pivotButton="0" quotePrefix="0" xfId="3">
      <alignment horizontal="center" vertical="center"/>
    </xf>
    <xf numFmtId="0" fontId="17" fillId="0" borderId="31" applyAlignment="1" pivotButton="0" quotePrefix="0" xfId="3">
      <alignment horizontal="center" vertical="center"/>
    </xf>
    <xf numFmtId="0" fontId="16" fillId="0" borderId="23" applyAlignment="1" pivotButton="0" quotePrefix="0" xfId="3">
      <alignment horizontal="center" vertical="center"/>
    </xf>
    <xf numFmtId="0" fontId="22" fillId="0" borderId="0" applyAlignment="1" pivotButton="0" quotePrefix="0" xfId="3">
      <alignment vertical="center"/>
    </xf>
    <xf numFmtId="0" fontId="21" fillId="0" borderId="0" applyAlignment="1" pivotButton="0" quotePrefix="0" xfId="3">
      <alignment vertical="center"/>
    </xf>
    <xf numFmtId="0" fontId="21" fillId="0" borderId="23" applyAlignment="1" pivotButton="0" quotePrefix="0" xfId="3">
      <alignment vertical="center"/>
    </xf>
    <xf numFmtId="0" fontId="21" fillId="0" borderId="0" applyAlignment="1" pivotButton="0" quotePrefix="0" xfId="3">
      <alignment horizontal="center" vertical="center"/>
    </xf>
    <xf numFmtId="0" fontId="22" fillId="0" borderId="9" applyAlignment="1" pivotButton="0" quotePrefix="0" xfId="3">
      <alignment horizontal="center" vertical="center"/>
    </xf>
    <xf numFmtId="170" fontId="22" fillId="0" borderId="0" applyAlignment="1" pivotButton="0" quotePrefix="0" xfId="1">
      <alignment vertical="center"/>
    </xf>
    <xf numFmtId="0" fontId="23" fillId="0" borderId="0" applyAlignment="1" pivotButton="0" quotePrefix="0" xfId="5">
      <alignment vertical="center"/>
    </xf>
    <xf numFmtId="0" fontId="22" fillId="0" borderId="4" applyAlignment="1" pivotButton="0" quotePrefix="0" xfId="3">
      <alignment vertical="center"/>
    </xf>
    <xf numFmtId="0" fontId="22" fillId="0" borderId="5" applyAlignment="1" pivotButton="0" quotePrefix="0" xfId="3">
      <alignment vertical="center"/>
    </xf>
    <xf numFmtId="0" fontId="21" fillId="0" borderId="4" applyAlignment="1" pivotButton="0" quotePrefix="0" xfId="3">
      <alignment vertical="center"/>
    </xf>
    <xf numFmtId="0" fontId="21" fillId="0" borderId="11" applyAlignment="1" pivotButton="0" quotePrefix="0" xfId="3">
      <alignment vertical="center"/>
    </xf>
    <xf numFmtId="0" fontId="21" fillId="0" borderId="13" applyAlignment="1" pivotButton="0" quotePrefix="0" xfId="3">
      <alignment vertical="center"/>
    </xf>
    <xf numFmtId="0" fontId="22" fillId="0" borderId="13" applyAlignment="1" pivotButton="0" quotePrefix="0" xfId="3">
      <alignment vertical="center"/>
    </xf>
    <xf numFmtId="165" fontId="22" fillId="0" borderId="5" applyAlignment="1" pivotButton="0" quotePrefix="0" xfId="3">
      <alignment vertical="center"/>
    </xf>
    <xf numFmtId="0" fontId="21" fillId="0" borderId="33" applyAlignment="1" pivotButton="0" quotePrefix="0" xfId="3">
      <alignment vertical="center" wrapText="1"/>
    </xf>
    <xf numFmtId="0" fontId="21" fillId="0" borderId="10" applyAlignment="1" pivotButton="0" quotePrefix="0" xfId="3">
      <alignment vertical="center"/>
    </xf>
    <xf numFmtId="9" fontId="22" fillId="0" borderId="0" applyAlignment="1" pivotButton="0" quotePrefix="0" xfId="6">
      <alignment vertical="center"/>
    </xf>
    <xf numFmtId="10" fontId="21" fillId="0" borderId="0" applyAlignment="1" pivotButton="0" quotePrefix="0" xfId="3">
      <alignment vertical="center"/>
    </xf>
    <xf numFmtId="0" fontId="22" fillId="0" borderId="10" applyAlignment="1" pivotButton="0" quotePrefix="0" xfId="3">
      <alignment vertical="center"/>
    </xf>
    <xf numFmtId="10" fontId="21" fillId="0" borderId="44" applyAlignment="1" pivotButton="0" quotePrefix="0" xfId="3">
      <alignment vertical="center"/>
    </xf>
    <xf numFmtId="0" fontId="24" fillId="0" borderId="0" applyAlignment="1" pivotButton="0" quotePrefix="0" xfId="3">
      <alignment horizontal="left" vertical="center"/>
    </xf>
    <xf numFmtId="0" fontId="21" fillId="0" borderId="0" applyAlignment="1" pivotButton="0" quotePrefix="0" xfId="3">
      <alignment vertical="center" wrapText="1"/>
    </xf>
    <xf numFmtId="0" fontId="21" fillId="0" borderId="5" applyAlignment="1" pivotButton="0" quotePrefix="0" xfId="3">
      <alignment vertical="center"/>
    </xf>
    <xf numFmtId="39" fontId="21" fillId="0" borderId="0" applyAlignment="1" pivotButton="0" quotePrefix="0" xfId="4">
      <alignment vertical="center"/>
    </xf>
    <xf numFmtId="168" fontId="21" fillId="0" borderId="0" applyAlignment="1" pivotButton="0" quotePrefix="0" xfId="6">
      <alignment vertical="center"/>
    </xf>
    <xf numFmtId="3" fontId="21" fillId="0" borderId="0" applyAlignment="1" pivotButton="0" quotePrefix="0" xfId="4">
      <alignment vertical="center"/>
    </xf>
    <xf numFmtId="168" fontId="21" fillId="0" borderId="0" applyAlignment="1" pivotButton="0" quotePrefix="0" xfId="4">
      <alignment vertical="center"/>
    </xf>
    <xf numFmtId="0" fontId="22" fillId="0" borderId="6" applyAlignment="1" pivotButton="0" quotePrefix="0" xfId="3">
      <alignment vertical="center"/>
    </xf>
    <xf numFmtId="0" fontId="22" fillId="0" borderId="2" applyAlignment="1" pivotButton="0" quotePrefix="0" xfId="3">
      <alignment vertical="center"/>
    </xf>
    <xf numFmtId="168" fontId="21" fillId="0" borderId="0" applyAlignment="1" pivotButton="0" quotePrefix="0" xfId="5">
      <alignment vertical="center"/>
    </xf>
    <xf numFmtId="0" fontId="21" fillId="0" borderId="0" pivotButton="0" quotePrefix="0" xfId="5"/>
    <xf numFmtId="0" fontId="21" fillId="0" borderId="5" pivotButton="0" quotePrefix="0" xfId="5"/>
    <xf numFmtId="0" fontId="22" fillId="0" borderId="0" pivotButton="0" quotePrefix="0" xfId="5"/>
    <xf numFmtId="0" fontId="22" fillId="0" borderId="0" applyAlignment="1" pivotButton="0" quotePrefix="0" xfId="3">
      <alignment horizontal="center" vertical="center"/>
    </xf>
    <xf numFmtId="166" fontId="22" fillId="0" borderId="0" applyAlignment="1" pivotButton="0" quotePrefix="0" xfId="4">
      <alignment vertical="center"/>
    </xf>
    <xf numFmtId="166" fontId="22" fillId="0" borderId="0" applyAlignment="1" pivotButton="0" quotePrefix="0" xfId="4">
      <alignment vertical="center"/>
    </xf>
    <xf numFmtId="39" fontId="21" fillId="0" borderId="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center" vertical="center"/>
    </xf>
    <xf numFmtId="0" fontId="22" fillId="0" borderId="6" applyAlignment="1" pivotButton="0" quotePrefix="0" xfId="3">
      <alignment horizontal="center" vertical="center"/>
    </xf>
    <xf numFmtId="167" fontId="21" fillId="0" borderId="6" applyAlignment="1" pivotButton="0" quotePrefix="0" xfId="4">
      <alignment horizontal="center" vertical="center"/>
    </xf>
    <xf numFmtId="0" fontId="22" fillId="0" borderId="8" applyAlignment="1" pivotButton="0" quotePrefix="0" xfId="3">
      <alignment vertical="center"/>
    </xf>
    <xf numFmtId="0" fontId="21" fillId="0" borderId="0" applyAlignment="1" pivotButton="0" quotePrefix="0" xfId="3">
      <alignment horizontal="center" vertical="center" wrapText="1"/>
    </xf>
    <xf numFmtId="0" fontId="21" fillId="0" borderId="23" applyAlignment="1" pivotButton="0" quotePrefix="0" xfId="3">
      <alignment horizontal="center" vertical="center"/>
    </xf>
    <xf numFmtId="0" fontId="22" fillId="0" borderId="31" applyAlignment="1" pivotButton="0" quotePrefix="0" xfId="3">
      <alignment horizontal="center" vertical="center"/>
    </xf>
    <xf numFmtId="14" fontId="22" fillId="0" borderId="31" applyAlignment="1" pivotButton="0" quotePrefix="0" xfId="3">
      <alignment horizontal="center" vertical="center"/>
    </xf>
    <xf numFmtId="170" fontId="22" fillId="0" borderId="9" applyAlignment="1" pivotButton="0" quotePrefix="0" xfId="3">
      <alignment horizontal="center" vertical="center"/>
    </xf>
    <xf numFmtId="0" fontId="22" fillId="0" borderId="9" applyAlignment="1" pivotButton="0" quotePrefix="0" xfId="3">
      <alignment horizontal="center" vertical="center"/>
    </xf>
    <xf numFmtId="14" fontId="22" fillId="0" borderId="9" applyAlignment="1" pivotButton="0" quotePrefix="0" xfId="3">
      <alignment horizontal="center" vertical="center"/>
    </xf>
    <xf numFmtId="14" fontId="22" fillId="0" borderId="24" applyAlignment="1" pivotButton="0" quotePrefix="0" xfId="3">
      <alignment horizontal="center" vertical="center"/>
    </xf>
    <xf numFmtId="0" fontId="22" fillId="0" borderId="24" applyAlignment="1" pivotButton="0" quotePrefix="0" xfId="3">
      <alignment horizontal="center" vertical="center"/>
    </xf>
    <xf numFmtId="0" fontId="22" fillId="0" borderId="25" applyAlignment="1" pivotButton="0" quotePrefix="0" xfId="3">
      <alignment horizontal="center" vertical="center"/>
    </xf>
    <xf numFmtId="0" fontId="21" fillId="4" borderId="26" applyAlignment="1" pivotButton="0" quotePrefix="0" xfId="3">
      <alignment horizontal="center" vertical="center"/>
    </xf>
    <xf numFmtId="0" fontId="21" fillId="4" borderId="27" applyAlignment="1" pivotButton="0" quotePrefix="0" xfId="3">
      <alignment horizontal="center" vertical="center"/>
    </xf>
    <xf numFmtId="0" fontId="21" fillId="4" borderId="28" applyAlignment="1" pivotButton="0" quotePrefix="0" xfId="3">
      <alignment horizontal="center" vertical="center"/>
    </xf>
    <xf numFmtId="0" fontId="22" fillId="0" borderId="16" applyAlignment="1" pivotButton="0" quotePrefix="0" xfId="3">
      <alignment horizontal="right" vertical="center"/>
    </xf>
    <xf numFmtId="0" fontId="22" fillId="0" borderId="9" applyAlignment="1" pivotButton="0" quotePrefix="0" xfId="3">
      <alignment horizontal="right" vertical="center"/>
    </xf>
    <xf numFmtId="170" fontId="22" fillId="0" borderId="9" applyAlignment="1" pivotButton="0" quotePrefix="0" xfId="1">
      <alignment horizontal="center" vertical="center"/>
    </xf>
    <xf numFmtId="170" fontId="22" fillId="0" borderId="17" applyAlignment="1" pivotButton="0" quotePrefix="0" xfId="1">
      <alignment horizontal="center" vertical="center"/>
    </xf>
    <xf numFmtId="0" fontId="21" fillId="0" borderId="4" applyAlignment="1" pivotButton="0" quotePrefix="0" xfId="3">
      <alignment horizontal="center" vertical="center" wrapText="1"/>
    </xf>
    <xf numFmtId="0" fontId="21" fillId="0" borderId="0" applyAlignment="1" pivotButton="0" quotePrefix="0" xfId="3">
      <alignment horizontal="center" vertical="center"/>
    </xf>
    <xf numFmtId="39" fontId="21" fillId="0" borderId="0" applyAlignment="1" pivotButton="0" quotePrefix="0" xfId="4">
      <alignment horizontal="center" vertical="center"/>
    </xf>
    <xf numFmtId="10" fontId="21" fillId="0" borderId="0" applyAlignment="1" pivotButton="0" quotePrefix="0" xfId="6">
      <alignment horizontal="center" vertical="center"/>
    </xf>
    <xf numFmtId="3" fontId="21" fillId="0" borderId="0" applyAlignment="1" pivotButton="0" quotePrefix="0" xfId="4">
      <alignment horizontal="left" vertical="center"/>
    </xf>
    <xf numFmtId="0" fontId="21" fillId="4" borderId="23" applyAlignment="1" pivotButton="0" quotePrefix="0" xfId="3">
      <alignment horizontal="center" vertical="center"/>
    </xf>
    <xf numFmtId="0" fontId="21" fillId="4" borderId="24" applyAlignment="1" pivotButton="0" quotePrefix="0" xfId="3">
      <alignment horizontal="center" vertical="center"/>
    </xf>
    <xf numFmtId="0" fontId="21" fillId="4" borderId="25" applyAlignment="1" pivotButton="0" quotePrefix="0" xfId="3">
      <alignment horizontal="center" vertical="center"/>
    </xf>
    <xf numFmtId="0" fontId="21" fillId="4" borderId="34" applyAlignment="1" pivotButton="0" quotePrefix="0" xfId="3">
      <alignment horizontal="center" vertical="center" wrapText="1"/>
    </xf>
    <xf numFmtId="0" fontId="21" fillId="4" borderId="33" applyAlignment="1" pivotButton="0" quotePrefix="0" xfId="3">
      <alignment horizontal="center" vertical="center" wrapText="1"/>
    </xf>
    <xf numFmtId="0" fontId="21" fillId="4" borderId="35" applyAlignment="1" pivotButton="0" quotePrefix="0" xfId="3">
      <alignment horizontal="center" vertical="center" wrapText="1"/>
    </xf>
    <xf numFmtId="0" fontId="22" fillId="0" borderId="14" applyAlignment="1" pivotButton="0" quotePrefix="0" xfId="3">
      <alignment horizontal="right" vertical="center"/>
    </xf>
    <xf numFmtId="0" fontId="22" fillId="0" borderId="15" applyAlignment="1" pivotButton="0" quotePrefix="0" xfId="3">
      <alignment horizontal="right" vertical="center"/>
    </xf>
    <xf numFmtId="170" fontId="22" fillId="0" borderId="15" applyAlignment="1" pivotButton="0" quotePrefix="0" xfId="1">
      <alignment horizontal="center" vertical="center"/>
    </xf>
    <xf numFmtId="170" fontId="22" fillId="0" borderId="12" applyAlignment="1" pivotButton="0" quotePrefix="0" xfId="1">
      <alignment horizontal="center" vertical="center"/>
    </xf>
    <xf numFmtId="0" fontId="22" fillId="0" borderId="30" applyAlignment="1" pivotButton="0" quotePrefix="0" xfId="3">
      <alignment horizontal="right" vertical="center"/>
    </xf>
    <xf numFmtId="0" fontId="22" fillId="0" borderId="31" applyAlignment="1" pivotButton="0" quotePrefix="0" xfId="3">
      <alignment horizontal="right" vertical="center"/>
    </xf>
    <xf numFmtId="170" fontId="22" fillId="0" borderId="31" applyAlignment="1" pivotButton="0" quotePrefix="0" xfId="3">
      <alignment horizontal="center" vertical="center"/>
    </xf>
    <xf numFmtId="170" fontId="22" fillId="0" borderId="32" applyAlignment="1" pivotButton="0" quotePrefix="0" xfId="3">
      <alignment horizontal="center" vertical="center"/>
    </xf>
    <xf numFmtId="170" fontId="22" fillId="0" borderId="15" applyAlignment="1" pivotButton="0" quotePrefix="0" xfId="3">
      <alignment horizontal="center" vertical="center"/>
    </xf>
    <xf numFmtId="170" fontId="22" fillId="0" borderId="12" applyAlignment="1" pivotButton="0" quotePrefix="0" xfId="3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7" applyAlignment="1" pivotButton="0" quotePrefix="0" xfId="1">
      <alignment horizontal="center" vertical="center"/>
    </xf>
    <xf numFmtId="165" fontId="22" fillId="0" borderId="9" applyAlignment="1" pivotButton="0" quotePrefix="0" xfId="3">
      <alignment horizontal="center" vertical="center"/>
    </xf>
    <xf numFmtId="165" fontId="22" fillId="0" borderId="17" applyAlignment="1" pivotButton="0" quotePrefix="0" xfId="3">
      <alignment horizontal="center" vertical="center"/>
    </xf>
    <xf numFmtId="0" fontId="22" fillId="0" borderId="17" applyAlignment="1" pivotButton="0" quotePrefix="0" xfId="3">
      <alignment horizontal="center" vertical="center"/>
    </xf>
    <xf numFmtId="10" fontId="22" fillId="0" borderId="9" applyAlignment="1" pivotButton="0" quotePrefix="0" xfId="2">
      <alignment horizontal="center" vertical="center"/>
    </xf>
    <xf numFmtId="10" fontId="22" fillId="0" borderId="17" applyAlignment="1" pivotButton="0" quotePrefix="0" xfId="2">
      <alignment horizontal="center" vertical="center"/>
    </xf>
    <xf numFmtId="0" fontId="22" fillId="0" borderId="37" applyAlignment="1" pivotButton="0" quotePrefix="1" xfId="3">
      <alignment horizontal="right" vertical="center"/>
    </xf>
    <xf numFmtId="0" fontId="22" fillId="0" borderId="38" applyAlignment="1" pivotButton="0" quotePrefix="0" xfId="3">
      <alignment horizontal="right" vertical="center"/>
    </xf>
    <xf numFmtId="170" fontId="22" fillId="0" borderId="38" applyAlignment="1" pivotButton="0" quotePrefix="0" xfId="1">
      <alignment horizontal="center" vertical="center"/>
    </xf>
    <xf numFmtId="170" fontId="22" fillId="0" borderId="39" applyAlignment="1" pivotButton="0" quotePrefix="0" xfId="1">
      <alignment horizontal="center" vertical="center"/>
    </xf>
    <xf numFmtId="170" fontId="22" fillId="0" borderId="15" applyAlignment="1" pivotButton="0" quotePrefix="0" xfId="1">
      <alignment horizontal="center" vertical="center"/>
    </xf>
    <xf numFmtId="170" fontId="22" fillId="0" borderId="12" applyAlignment="1" pivotButton="0" quotePrefix="0" xfId="1">
      <alignment horizontal="center" vertical="center"/>
    </xf>
    <xf numFmtId="165" fontId="22" fillId="0" borderId="9" applyAlignment="1" pivotButton="0" quotePrefix="0" xfId="1">
      <alignment horizontal="center" vertical="center"/>
    </xf>
    <xf numFmtId="165" fontId="22" fillId="0" borderId="17" applyAlignment="1" pivotButton="0" quotePrefix="0" xfId="1">
      <alignment horizontal="center" vertical="center"/>
    </xf>
    <xf numFmtId="0" fontId="21" fillId="2" borderId="18" applyAlignment="1" pivotButton="0" quotePrefix="0" xfId="3">
      <alignment horizontal="right" vertical="center"/>
    </xf>
    <xf numFmtId="0" fontId="21" fillId="2" borderId="19" applyAlignment="1" pivotButton="0" quotePrefix="0" xfId="3">
      <alignment horizontal="right" vertical="center"/>
    </xf>
    <xf numFmtId="0" fontId="23" fillId="4" borderId="1" applyAlignment="1" pivotButton="0" quotePrefix="0" xfId="5">
      <alignment horizontal="center" vertical="center"/>
    </xf>
    <xf numFmtId="0" fontId="23" fillId="4" borderId="2" applyAlignment="1" pivotButton="0" quotePrefix="0" xfId="5">
      <alignment horizontal="center" vertical="center"/>
    </xf>
    <xf numFmtId="0" fontId="23" fillId="4" borderId="3" applyAlignment="1" pivotButton="0" quotePrefix="0" xfId="5">
      <alignment horizontal="center" vertical="center"/>
    </xf>
    <xf numFmtId="170" fontId="21" fillId="2" borderId="19" applyAlignment="1" pivotButton="0" quotePrefix="0" xfId="1">
      <alignment horizontal="center" vertical="center"/>
    </xf>
    <xf numFmtId="170" fontId="21" fillId="2" borderId="20" applyAlignment="1" pivotButton="0" quotePrefix="0" xfId="1">
      <alignment horizontal="center" vertical="center"/>
    </xf>
    <xf numFmtId="0" fontId="22" fillId="0" borderId="18" applyAlignment="1" pivotButton="0" quotePrefix="0" xfId="3">
      <alignment horizontal="right" vertical="center"/>
    </xf>
    <xf numFmtId="0" fontId="22" fillId="0" borderId="19" applyAlignment="1" pivotButton="0" quotePrefix="0" xfId="3">
      <alignment horizontal="right" vertical="center"/>
    </xf>
    <xf numFmtId="170" fontId="22" fillId="0" borderId="19" applyAlignment="1" pivotButton="0" quotePrefix="0" xfId="2">
      <alignment horizontal="center" vertical="center"/>
    </xf>
    <xf numFmtId="170" fontId="22" fillId="0" borderId="20" applyAlignment="1" pivotButton="0" quotePrefix="0" xfId="2">
      <alignment horizontal="center" vertical="center"/>
    </xf>
    <xf numFmtId="0" fontId="21" fillId="3" borderId="16" applyAlignment="1" pivotButton="0" quotePrefix="0" xfId="3">
      <alignment horizontal="right" vertical="center"/>
    </xf>
    <xf numFmtId="0" fontId="21" fillId="3" borderId="9" applyAlignment="1" pivotButton="0" quotePrefix="0" xfId="3">
      <alignment horizontal="right" vertical="center"/>
    </xf>
    <xf numFmtId="170" fontId="21" fillId="3" borderId="9" applyAlignment="1" pivotButton="0" quotePrefix="0" xfId="1">
      <alignment horizontal="center" vertical="center"/>
    </xf>
    <xf numFmtId="170" fontId="21" fillId="3" borderId="17" applyAlignment="1" pivotButton="0" quotePrefix="0" xfId="1">
      <alignment horizontal="center" vertical="center"/>
    </xf>
    <xf numFmtId="0" fontId="21" fillId="2" borderId="14" applyAlignment="1" pivotButton="0" quotePrefix="0" xfId="3">
      <alignment horizontal="right" vertical="center"/>
    </xf>
    <xf numFmtId="0" fontId="21" fillId="2" borderId="15" applyAlignment="1" pivotButton="0" quotePrefix="0" xfId="3">
      <alignment horizontal="right" vertical="center"/>
    </xf>
    <xf numFmtId="170" fontId="21" fillId="2" borderId="15" applyAlignment="1" pivotButton="0" quotePrefix="0" xfId="1">
      <alignment horizontal="center" vertical="center"/>
    </xf>
    <xf numFmtId="170" fontId="21" fillId="2" borderId="12" applyAlignment="1" pivotButton="0" quotePrefix="0" xfId="1">
      <alignment horizontal="center" vertical="center"/>
    </xf>
    <xf numFmtId="0" fontId="21" fillId="0" borderId="5" applyAlignment="1" pivotButton="0" quotePrefix="0" xfId="3">
      <alignment horizontal="center" vertical="center"/>
    </xf>
    <xf numFmtId="0" fontId="21" fillId="0" borderId="0" applyAlignment="1" pivotButton="0" quotePrefix="0" xfId="3">
      <alignment horizontal="left" vertical="center"/>
    </xf>
    <xf numFmtId="10" fontId="21" fillId="0" borderId="5" applyAlignment="1" pivotButton="0" quotePrefix="0" xfId="6">
      <alignment horizontal="center" vertical="center"/>
    </xf>
    <xf numFmtId="168" fontId="21" fillId="0" borderId="0" applyAlignment="1" pivotButton="0" quotePrefix="0" xfId="4">
      <alignment horizontal="center" vertical="center"/>
    </xf>
    <xf numFmtId="168" fontId="21" fillId="0" borderId="0" applyAlignment="1" pivotButton="0" quotePrefix="0" xfId="4">
      <alignment vertical="center"/>
    </xf>
    <xf numFmtId="168" fontId="21" fillId="0" borderId="5" applyAlignment="1" pivotButton="0" quotePrefix="0" xfId="6">
      <alignment horizontal="center" vertical="center"/>
    </xf>
    <xf numFmtId="168" fontId="21" fillId="0" borderId="0" applyAlignment="1" pivotButton="0" quotePrefix="0" xfId="5">
      <alignment vertical="center"/>
    </xf>
    <xf numFmtId="0" fontId="21" fillId="0" borderId="7" applyAlignment="1" pivotButton="0" quotePrefix="0" xfId="3">
      <alignment horizontal="center" vertical="center" wrapText="1"/>
    </xf>
    <xf numFmtId="0" fontId="21" fillId="0" borderId="6" applyAlignment="1" pivotButton="0" quotePrefix="0" xfId="3">
      <alignment horizontal="center" vertical="center"/>
    </xf>
    <xf numFmtId="39" fontId="21" fillId="0" borderId="0" applyAlignment="1" pivotButton="0" quotePrefix="0" xfId="4">
      <alignment horizontal="center" vertical="center"/>
    </xf>
    <xf numFmtId="39" fontId="21" fillId="0" borderId="6" applyAlignment="1" pivotButton="0" quotePrefix="0" xfId="4">
      <alignment horizontal="center" vertical="center"/>
    </xf>
    <xf numFmtId="0" fontId="22" fillId="0" borderId="0" applyAlignment="1" pivotButton="0" quotePrefix="0" xfId="3">
      <alignment horizontal="center" vertical="center"/>
    </xf>
    <xf numFmtId="0" fontId="21" fillId="4" borderId="40" applyAlignment="1" pivotButton="0" quotePrefix="0" xfId="3">
      <alignment horizontal="center" vertical="center"/>
    </xf>
    <xf numFmtId="0" fontId="21" fillId="4" borderId="41" applyAlignment="1" pivotButton="0" quotePrefix="0" xfId="3">
      <alignment horizontal="center" vertical="center"/>
    </xf>
    <xf numFmtId="0" fontId="21" fillId="4" borderId="42" applyAlignment="1" pivotButton="0" quotePrefix="0" xfId="3">
      <alignment horizontal="center" vertical="center"/>
    </xf>
    <xf numFmtId="0" fontId="21" fillId="0" borderId="24" applyAlignment="1" pivotButton="0" quotePrefix="0" xfId="3">
      <alignment horizontal="center" vertical="center"/>
    </xf>
    <xf numFmtId="0" fontId="21" fillId="0" borderId="25" applyAlignment="1" pivotButton="0" quotePrefix="0" xfId="3">
      <alignment horizontal="center" vertical="center"/>
    </xf>
    <xf numFmtId="0" fontId="22" fillId="0" borderId="31" applyAlignment="1" pivotButton="0" quotePrefix="0" xfId="3">
      <alignment horizontal="center" vertical="center"/>
    </xf>
    <xf numFmtId="0" fontId="21" fillId="0" borderId="34" applyAlignment="1" pivotButton="0" quotePrefix="0" xfId="3">
      <alignment horizontal="center" vertical="center" wrapText="1"/>
    </xf>
    <xf numFmtId="0" fontId="21" fillId="0" borderId="33" applyAlignment="1" pivotButton="0" quotePrefix="0" xfId="3">
      <alignment horizontal="center" vertical="center" wrapText="1"/>
    </xf>
    <xf numFmtId="0" fontId="21" fillId="0" borderId="35" applyAlignment="1" pivotButton="0" quotePrefix="0" xfId="3">
      <alignment horizontal="center" vertical="center" wrapText="1"/>
    </xf>
    <xf numFmtId="10" fontId="21" fillId="0" borderId="29" applyAlignment="1" pivotButton="0" quotePrefix="0" xfId="3">
      <alignment horizontal="center" vertical="center"/>
    </xf>
    <xf numFmtId="10" fontId="21" fillId="0" borderId="0" applyAlignment="1" pivotButton="0" quotePrefix="0" xfId="3">
      <alignment horizontal="center" vertical="center"/>
    </xf>
    <xf numFmtId="10" fontId="21" fillId="0" borderId="36" applyAlignment="1" pivotButton="0" quotePrefix="0" xfId="3">
      <alignment horizontal="center" vertical="center"/>
    </xf>
    <xf numFmtId="10" fontId="21" fillId="0" borderId="48" applyAlignment="1" pivotButton="0" quotePrefix="0" xfId="3">
      <alignment horizontal="center" vertical="center"/>
    </xf>
    <xf numFmtId="10" fontId="21" fillId="0" borderId="44" applyAlignment="1" pivotButton="0" quotePrefix="0" xfId="3">
      <alignment horizontal="center" vertical="center"/>
    </xf>
    <xf numFmtId="10" fontId="21" fillId="0" borderId="46" applyAlignment="1" pivotButton="0" quotePrefix="0" xfId="3">
      <alignment horizontal="center" vertical="center"/>
    </xf>
    <xf numFmtId="165" fontId="21" fillId="2" borderId="1" applyAlignment="1" pivotButton="0" quotePrefix="0" xfId="1">
      <alignment horizontal="center" vertical="center"/>
    </xf>
    <xf numFmtId="165" fontId="21" fillId="2" borderId="2" applyAlignment="1" pivotButton="0" quotePrefix="0" xfId="1">
      <alignment horizontal="center" vertical="center"/>
    </xf>
    <xf numFmtId="165" fontId="21" fillId="2" borderId="49" applyAlignment="1" pivotButton="0" quotePrefix="0" xfId="1">
      <alignment horizontal="center" vertical="center"/>
    </xf>
    <xf numFmtId="165" fontId="21" fillId="2" borderId="43" applyAlignment="1" pivotButton="0" quotePrefix="0" xfId="1">
      <alignment horizontal="center" vertical="center"/>
    </xf>
    <xf numFmtId="165" fontId="21" fillId="2" borderId="44" applyAlignment="1" pivotButton="0" quotePrefix="0" xfId="1">
      <alignment horizontal="center" vertical="center"/>
    </xf>
    <xf numFmtId="165" fontId="21" fillId="2" borderId="46" applyAlignment="1" pivotButton="0" quotePrefix="0" xfId="1">
      <alignment horizontal="center" vertical="center"/>
    </xf>
    <xf numFmtId="0" fontId="21" fillId="5" borderId="34" applyAlignment="1" pivotButton="0" quotePrefix="0" xfId="3">
      <alignment horizontal="center" vertical="center" wrapText="1"/>
    </xf>
    <xf numFmtId="0" fontId="21" fillId="5" borderId="33" applyAlignment="1" pivotButton="0" quotePrefix="0" xfId="3">
      <alignment horizontal="center" vertical="center" wrapText="1"/>
    </xf>
    <xf numFmtId="0" fontId="21" fillId="5" borderId="35" applyAlignment="1" pivotButton="0" quotePrefix="0" xfId="3">
      <alignment horizontal="center" vertical="center" wrapText="1"/>
    </xf>
    <xf numFmtId="0" fontId="21" fillId="5" borderId="29" applyAlignment="1" pivotButton="0" quotePrefix="0" xfId="3">
      <alignment horizontal="center" vertical="center" wrapText="1"/>
    </xf>
    <xf numFmtId="0" fontId="21" fillId="5" borderId="0" applyAlignment="1" pivotButton="0" quotePrefix="0" xfId="3">
      <alignment horizontal="center" vertical="center" wrapText="1"/>
    </xf>
    <xf numFmtId="0" fontId="21" fillId="5" borderId="36" applyAlignment="1" pivotButton="0" quotePrefix="0" xfId="3">
      <alignment horizontal="center" vertical="center" wrapText="1"/>
    </xf>
    <xf numFmtId="10" fontId="21" fillId="5" borderId="29" applyAlignment="1" pivotButton="0" quotePrefix="0" xfId="2">
      <alignment horizontal="center" vertical="center" wrapText="1"/>
    </xf>
    <xf numFmtId="10" fontId="21" fillId="5" borderId="0" applyAlignment="1" pivotButton="0" quotePrefix="0" xfId="2">
      <alignment horizontal="center" vertical="center" wrapText="1"/>
    </xf>
    <xf numFmtId="10" fontId="21" fillId="5" borderId="36" applyAlignment="1" pivotButton="0" quotePrefix="0" xfId="2">
      <alignment horizontal="center" vertical="center" wrapText="1"/>
    </xf>
    <xf numFmtId="10" fontId="21" fillId="5" borderId="48" applyAlignment="1" pivotButton="0" quotePrefix="0" xfId="2">
      <alignment horizontal="center" vertical="center" wrapText="1"/>
    </xf>
    <xf numFmtId="10" fontId="21" fillId="5" borderId="44" applyAlignment="1" pivotButton="0" quotePrefix="0" xfId="2">
      <alignment horizontal="center" vertical="center" wrapText="1"/>
    </xf>
    <xf numFmtId="10" fontId="21" fillId="5" borderId="46" applyAlignment="1" pivotButton="0" quotePrefix="0" xfId="2">
      <alignment horizontal="center" vertical="center" wrapText="1"/>
    </xf>
    <xf numFmtId="170" fontId="21" fillId="0" borderId="29" applyAlignment="1" pivotButton="0" quotePrefix="0" xfId="3">
      <alignment horizontal="center" vertical="center"/>
    </xf>
    <xf numFmtId="170" fontId="21" fillId="0" borderId="0" applyAlignment="1" pivotButton="0" quotePrefix="0" xfId="3">
      <alignment horizontal="center" vertical="center"/>
    </xf>
    <xf numFmtId="170" fontId="21" fillId="0" borderId="36" applyAlignment="1" pivotButton="0" quotePrefix="0" xfId="3">
      <alignment horizontal="center" vertical="center"/>
    </xf>
    <xf numFmtId="170" fontId="21" fillId="0" borderId="48" applyAlignment="1" pivotButton="0" quotePrefix="0" xfId="3">
      <alignment horizontal="center" vertical="center"/>
    </xf>
    <xf numFmtId="170" fontId="21" fillId="0" borderId="44" applyAlignment="1" pivotButton="0" quotePrefix="0" xfId="3">
      <alignment horizontal="center" vertical="center"/>
    </xf>
    <xf numFmtId="170" fontId="21" fillId="0" borderId="46" applyAlignment="1" pivotButton="0" quotePrefix="0" xfId="3">
      <alignment horizontal="center" vertical="center"/>
    </xf>
    <xf numFmtId="0" fontId="22" fillId="0" borderId="21" applyAlignment="1" pivotButton="0" quotePrefix="0" xfId="3">
      <alignment horizontal="right" vertical="center"/>
    </xf>
    <xf numFmtId="0" fontId="22" fillId="0" borderId="13" applyAlignment="1" pivotButton="0" quotePrefix="0" xfId="3">
      <alignment horizontal="right" vertical="center"/>
    </xf>
    <xf numFmtId="0" fontId="22" fillId="0" borderId="10" applyAlignment="1" pivotButton="0" quotePrefix="0" xfId="3">
      <alignment horizontal="right" vertical="center"/>
    </xf>
    <xf numFmtId="170" fontId="22" fillId="0" borderId="11" applyAlignment="1" pivotButton="0" quotePrefix="0" xfId="1">
      <alignment horizontal="center" vertical="center"/>
    </xf>
    <xf numFmtId="170" fontId="22" fillId="0" borderId="13" applyAlignment="1" pivotButton="0" quotePrefix="0" xfId="1">
      <alignment horizontal="center" vertical="center"/>
    </xf>
    <xf numFmtId="170" fontId="22" fillId="0" borderId="22" applyAlignment="1" pivotButton="0" quotePrefix="0" xfId="1">
      <alignment horizontal="center" vertical="center"/>
    </xf>
    <xf numFmtId="0" fontId="21" fillId="2" borderId="47" applyAlignment="1" pivotButton="0" quotePrefix="0" xfId="3">
      <alignment horizontal="right" vertical="center"/>
    </xf>
    <xf numFmtId="0" fontId="21" fillId="2" borderId="2" applyAlignment="1" pivotButton="0" quotePrefix="0" xfId="3">
      <alignment horizontal="right" vertical="center"/>
    </xf>
    <xf numFmtId="0" fontId="21" fillId="2" borderId="3" applyAlignment="1" pivotButton="0" quotePrefix="0" xfId="3">
      <alignment horizontal="right" vertical="center"/>
    </xf>
    <xf numFmtId="0" fontId="21" fillId="2" borderId="48" applyAlignment="1" pivotButton="0" quotePrefix="0" xfId="3">
      <alignment horizontal="right" vertical="center"/>
    </xf>
    <xf numFmtId="0" fontId="21" fillId="2" borderId="44" applyAlignment="1" pivotButton="0" quotePrefix="0" xfId="3">
      <alignment horizontal="right" vertical="center"/>
    </xf>
    <xf numFmtId="0" fontId="21" fillId="2" borderId="45" applyAlignment="1" pivotButton="0" quotePrefix="0" xfId="3">
      <alignment horizontal="right" vertical="center"/>
    </xf>
    <xf numFmtId="43" fontId="21" fillId="0" borderId="13" applyAlignment="1" pivotButton="0" quotePrefix="0" xfId="4">
      <alignment horizontal="center" vertical="center"/>
    </xf>
    <xf numFmtId="43" fontId="21" fillId="0" borderId="10" applyAlignment="1" pivotButton="0" quotePrefix="0" xfId="4">
      <alignment horizontal="center" vertical="center"/>
    </xf>
    <xf numFmtId="0" fontId="21" fillId="0" borderId="11" applyAlignment="1" pivotButton="0" quotePrefix="0" xfId="3">
      <alignment horizontal="left" vertical="center" wrapText="1"/>
    </xf>
    <xf numFmtId="0" fontId="21" fillId="0" borderId="13" applyAlignment="1" pivotButton="0" quotePrefix="0" xfId="3">
      <alignment horizontal="left" vertical="center" wrapText="1"/>
    </xf>
    <xf numFmtId="10" fontId="21" fillId="0" borderId="13" applyAlignment="1" pivotButton="0" quotePrefix="0" xfId="6">
      <alignment horizontal="left" vertical="center"/>
    </xf>
    <xf numFmtId="0" fontId="21" fillId="0" borderId="13" applyAlignment="1" pivotButton="0" quotePrefix="0" xfId="3">
      <alignment horizontal="left" vertical="center"/>
    </xf>
    <xf numFmtId="0" fontId="21" fillId="3" borderId="18" applyAlignment="1" pivotButton="0" quotePrefix="0" xfId="3">
      <alignment horizontal="right" vertical="center"/>
    </xf>
    <xf numFmtId="0" fontId="21" fillId="3" borderId="19" applyAlignment="1" pivotButton="0" quotePrefix="0" xfId="3">
      <alignment horizontal="right" vertical="center"/>
    </xf>
    <xf numFmtId="170" fontId="21" fillId="3" borderId="19" applyAlignment="1" pivotButton="0" quotePrefix="0" xfId="1">
      <alignment horizontal="center" vertical="center"/>
    </xf>
    <xf numFmtId="170" fontId="21" fillId="3" borderId="20" applyAlignment="1" pivotButton="0" quotePrefix="0" xfId="1">
      <alignment horizontal="center" vertical="center"/>
    </xf>
    <xf numFmtId="0" fontId="20" fillId="4" borderId="40" applyAlignment="1" pivotButton="0" quotePrefix="0" xfId="3">
      <alignment horizontal="center" vertical="center"/>
    </xf>
    <xf numFmtId="0" fontId="20" fillId="4" borderId="41" applyAlignment="1" pivotButton="0" quotePrefix="0" xfId="3">
      <alignment horizontal="center" vertical="center"/>
    </xf>
    <xf numFmtId="0" fontId="20" fillId="4" borderId="42" applyAlignment="1" pivotButton="0" quotePrefix="0" xfId="3">
      <alignment horizontal="center" vertical="center"/>
    </xf>
    <xf numFmtId="0" fontId="3" fillId="0" borderId="24" applyAlignment="1" pivotButton="0" quotePrefix="0" xfId="3">
      <alignment horizontal="center" vertical="center"/>
    </xf>
    <xf numFmtId="0" fontId="3" fillId="0" borderId="25" applyAlignment="1" pivotButton="0" quotePrefix="0" xfId="3">
      <alignment horizontal="center" vertical="center"/>
    </xf>
    <xf numFmtId="14" fontId="3" fillId="0" borderId="24" applyAlignment="1" pivotButton="0" quotePrefix="0" xfId="3">
      <alignment horizontal="center" vertical="center"/>
    </xf>
    <xf numFmtId="0" fontId="8" fillId="4" borderId="26" applyAlignment="1" pivotButton="0" quotePrefix="0" xfId="3">
      <alignment horizontal="center" vertical="center"/>
    </xf>
    <xf numFmtId="0" fontId="8" fillId="4" borderId="27" applyAlignment="1" pivotButton="0" quotePrefix="0" xfId="3">
      <alignment horizontal="center" vertical="center"/>
    </xf>
    <xf numFmtId="0" fontId="8" fillId="4" borderId="28" applyAlignment="1" pivotButton="0" quotePrefix="0" xfId="3">
      <alignment horizontal="center" vertical="center"/>
    </xf>
    <xf numFmtId="0" fontId="8" fillId="4" borderId="23" applyAlignment="1" pivotButton="0" quotePrefix="0" xfId="3">
      <alignment horizontal="center" vertical="center"/>
    </xf>
    <xf numFmtId="0" fontId="8" fillId="4" borderId="24" applyAlignment="1" pivotButton="0" quotePrefix="0" xfId="3">
      <alignment horizontal="center" vertical="center"/>
    </xf>
    <xf numFmtId="0" fontId="8" fillId="4" borderId="25" applyAlignment="1" pivotButton="0" quotePrefix="0" xfId="3">
      <alignment horizontal="center" vertical="center"/>
    </xf>
    <xf numFmtId="0" fontId="16" fillId="4" borderId="34" applyAlignment="1" pivotButton="0" quotePrefix="0" xfId="3">
      <alignment horizontal="center" vertical="center" wrapText="1"/>
    </xf>
    <xf numFmtId="0" fontId="16" fillId="4" borderId="33" applyAlignment="1" pivotButton="0" quotePrefix="0" xfId="3">
      <alignment horizontal="center" vertical="center" wrapText="1"/>
    </xf>
    <xf numFmtId="0" fontId="16" fillId="4" borderId="35" applyAlignment="1" pivotButton="0" quotePrefix="0" xfId="3">
      <alignment horizontal="center" vertical="center" wrapText="1"/>
    </xf>
    <xf numFmtId="0" fontId="11" fillId="0" borderId="16" applyAlignment="1" pivotButton="0" quotePrefix="0" xfId="3">
      <alignment horizontal="right" vertical="center"/>
    </xf>
    <xf numFmtId="0" fontId="11" fillId="0" borderId="9" applyAlignment="1" pivotButton="0" quotePrefix="0" xfId="3">
      <alignment horizontal="right" vertical="center"/>
    </xf>
    <xf numFmtId="170" fontId="11" fillId="0" borderId="9" applyAlignment="1" pivotButton="0" quotePrefix="0" xfId="1">
      <alignment horizontal="center" vertical="center"/>
    </xf>
    <xf numFmtId="170" fontId="11" fillId="0" borderId="17" applyAlignment="1" pivotButton="0" quotePrefix="0" xfId="1">
      <alignment horizontal="center" vertical="center"/>
    </xf>
    <xf numFmtId="0" fontId="11" fillId="0" borderId="9" applyAlignment="1" pivotButton="0" quotePrefix="0" xfId="3">
      <alignment horizontal="center" vertical="center"/>
    </xf>
    <xf numFmtId="0" fontId="11" fillId="0" borderId="17" applyAlignment="1" pivotButton="0" quotePrefix="0" xfId="3">
      <alignment horizontal="center" vertical="center"/>
    </xf>
    <xf numFmtId="0" fontId="11" fillId="0" borderId="14" applyAlignment="1" pivotButton="0" quotePrefix="0" xfId="3">
      <alignment horizontal="right" vertical="center"/>
    </xf>
    <xf numFmtId="0" fontId="11" fillId="0" borderId="15" applyAlignment="1" pivotButton="0" quotePrefix="0" xfId="3">
      <alignment horizontal="right" vertical="center"/>
    </xf>
    <xf numFmtId="170" fontId="11" fillId="0" borderId="15" applyAlignment="1" pivotButton="0" quotePrefix="0" xfId="1">
      <alignment horizontal="center" vertical="center"/>
    </xf>
    <xf numFmtId="170" fontId="11" fillId="0" borderId="12" applyAlignment="1" pivotButton="0" quotePrefix="0" xfId="1">
      <alignment horizontal="center" vertical="center"/>
    </xf>
    <xf numFmtId="0" fontId="11" fillId="0" borderId="30" applyAlignment="1" pivotButton="0" quotePrefix="0" xfId="3">
      <alignment horizontal="right" vertical="center"/>
    </xf>
    <xf numFmtId="0" fontId="11" fillId="0" borderId="31" applyAlignment="1" pivotButton="0" quotePrefix="0" xfId="3">
      <alignment horizontal="right" vertical="center"/>
    </xf>
    <xf numFmtId="170" fontId="11" fillId="0" borderId="31" applyAlignment="1" pivotButton="0" quotePrefix="0" xfId="3">
      <alignment horizontal="center" vertical="center"/>
    </xf>
    <xf numFmtId="170" fontId="11" fillId="0" borderId="32" applyAlignment="1" pivotButton="0" quotePrefix="0" xfId="3">
      <alignment horizontal="center" vertical="center"/>
    </xf>
    <xf numFmtId="170" fontId="11" fillId="0" borderId="15" applyAlignment="1" pivotButton="0" quotePrefix="0" xfId="3">
      <alignment horizontal="center" vertical="center"/>
    </xf>
    <xf numFmtId="170" fontId="11" fillId="0" borderId="12" applyAlignment="1" pivotButton="0" quotePrefix="0" xfId="3">
      <alignment horizontal="center" vertical="center"/>
    </xf>
    <xf numFmtId="165" fontId="11" fillId="0" borderId="9" applyAlignment="1" pivotButton="0" quotePrefix="0" xfId="3">
      <alignment horizontal="center" vertical="center"/>
    </xf>
    <xf numFmtId="165" fontId="11" fillId="0" borderId="17" applyAlignment="1" pivotButton="0" quotePrefix="0" xfId="3">
      <alignment horizontal="center" vertical="center"/>
    </xf>
    <xf numFmtId="0" fontId="11" fillId="0" borderId="9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11" fillId="0" borderId="21" applyAlignment="1" pivotButton="0" quotePrefix="0" xfId="3">
      <alignment horizontal="right" vertical="center"/>
    </xf>
    <xf numFmtId="0" fontId="11" fillId="0" borderId="13" applyAlignment="1" pivotButton="0" quotePrefix="0" xfId="3">
      <alignment horizontal="right" vertical="center"/>
    </xf>
    <xf numFmtId="0" fontId="11" fillId="0" borderId="10" applyAlignment="1" pivotButton="0" quotePrefix="0" xfId="3">
      <alignment horizontal="right" vertical="center"/>
    </xf>
    <xf numFmtId="170" fontId="11" fillId="0" borderId="11" applyAlignment="1" pivotButton="0" quotePrefix="0" xfId="1">
      <alignment horizontal="center" vertical="center"/>
    </xf>
    <xf numFmtId="170" fontId="11" fillId="0" borderId="13" applyAlignment="1" pivotButton="0" quotePrefix="0" xfId="1">
      <alignment horizontal="center" vertical="center"/>
    </xf>
    <xf numFmtId="170" fontId="11" fillId="0" borderId="22" applyAlignment="1" pivotButton="0" quotePrefix="0" xfId="1">
      <alignment horizontal="center" vertical="center"/>
    </xf>
    <xf numFmtId="0" fontId="13" fillId="2" borderId="47" applyAlignment="1" pivotButton="0" quotePrefix="0" xfId="3">
      <alignment horizontal="right" vertical="center"/>
    </xf>
    <xf numFmtId="0" fontId="13" fillId="2" borderId="2" applyAlignment="1" pivotButton="0" quotePrefix="0" xfId="3">
      <alignment horizontal="right" vertical="center"/>
    </xf>
    <xf numFmtId="0" fontId="13" fillId="2" borderId="3" applyAlignment="1" pivotButton="0" quotePrefix="0" xfId="3">
      <alignment horizontal="right" vertical="center"/>
    </xf>
    <xf numFmtId="0" fontId="13" fillId="2" borderId="48" applyAlignment="1" pivotButton="0" quotePrefix="0" xfId="3">
      <alignment horizontal="right" vertical="center"/>
    </xf>
    <xf numFmtId="0" fontId="13" fillId="2" borderId="44" applyAlignment="1" pivotButton="0" quotePrefix="0" xfId="3">
      <alignment horizontal="right" vertical="center"/>
    </xf>
    <xf numFmtId="0" fontId="13" fillId="2" borderId="45" applyAlignment="1" pivotButton="0" quotePrefix="0" xfId="3">
      <alignment horizontal="right" vertical="center"/>
    </xf>
    <xf numFmtId="165" fontId="13" fillId="2" borderId="1" applyAlignment="1" pivotButton="0" quotePrefix="0" xfId="1">
      <alignment horizontal="center" vertical="center"/>
    </xf>
    <xf numFmtId="165" fontId="13" fillId="2" borderId="2" applyAlignment="1" pivotButton="0" quotePrefix="0" xfId="1">
      <alignment horizontal="center" vertical="center"/>
    </xf>
    <xf numFmtId="165" fontId="13" fillId="2" borderId="49" applyAlignment="1" pivotButton="0" quotePrefix="0" xfId="1">
      <alignment horizontal="center" vertical="center"/>
    </xf>
    <xf numFmtId="165" fontId="13" fillId="2" borderId="43" applyAlignment="1" pivotButton="0" quotePrefix="0" xfId="1">
      <alignment horizontal="center" vertical="center"/>
    </xf>
    <xf numFmtId="165" fontId="13" fillId="2" borderId="44" applyAlignment="1" pivotButton="0" quotePrefix="0" xfId="1">
      <alignment horizontal="center" vertical="center"/>
    </xf>
    <xf numFmtId="165" fontId="13" fillId="2" borderId="46" applyAlignment="1" pivotButton="0" quotePrefix="0" xfId="1">
      <alignment horizontal="center" vertical="center"/>
    </xf>
    <xf numFmtId="170" fontId="11" fillId="0" borderId="15" applyAlignment="1" pivotButton="0" quotePrefix="0" xfId="1">
      <alignment horizontal="center" vertical="center"/>
    </xf>
    <xf numFmtId="170" fontId="11" fillId="0" borderId="12" applyAlignment="1" pivotButton="0" quotePrefix="0" xfId="1">
      <alignment horizontal="center" vertical="center"/>
    </xf>
    <xf numFmtId="10" fontId="11" fillId="0" borderId="9" applyAlignment="1" pivotButton="0" quotePrefix="0" xfId="2">
      <alignment horizontal="center" vertical="center"/>
    </xf>
    <xf numFmtId="10" fontId="11" fillId="0" borderId="17" applyAlignment="1" pivotButton="0" quotePrefix="0" xfId="2">
      <alignment horizontal="center" vertical="center"/>
    </xf>
    <xf numFmtId="0" fontId="11" fillId="0" borderId="37" applyAlignment="1" pivotButton="0" quotePrefix="1" xfId="3">
      <alignment horizontal="right" vertical="center"/>
    </xf>
    <xf numFmtId="0" fontId="11" fillId="0" borderId="38" applyAlignment="1" pivotButton="0" quotePrefix="0" xfId="3">
      <alignment horizontal="right" vertical="center"/>
    </xf>
    <xf numFmtId="170" fontId="11" fillId="0" borderId="38" applyAlignment="1" pivotButton="0" quotePrefix="0" xfId="1">
      <alignment horizontal="center" vertical="center"/>
    </xf>
    <xf numFmtId="170" fontId="11" fillId="0" borderId="39" applyAlignment="1" pivotButton="0" quotePrefix="0" xfId="1">
      <alignment horizontal="center" vertical="center"/>
    </xf>
    <xf numFmtId="165" fontId="11" fillId="0" borderId="9" applyAlignment="1" pivotButton="0" quotePrefix="0" xfId="1">
      <alignment horizontal="center" vertical="center"/>
    </xf>
    <xf numFmtId="165" fontId="11" fillId="0" borderId="17" applyAlignment="1" pivotButton="0" quotePrefix="0" xfId="1">
      <alignment horizontal="center" vertical="center"/>
    </xf>
    <xf numFmtId="0" fontId="13" fillId="4" borderId="18" applyAlignment="1" pivotButton="0" quotePrefix="0" xfId="3">
      <alignment horizontal="right" vertical="center"/>
    </xf>
    <xf numFmtId="0" fontId="13" fillId="4" borderId="19" applyAlignment="1" pivotButton="0" quotePrefix="0" xfId="3">
      <alignment horizontal="right" vertical="center"/>
    </xf>
    <xf numFmtId="170" fontId="13" fillId="4" borderId="19" applyAlignment="1" pivotButton="0" quotePrefix="0" xfId="1">
      <alignment horizontal="center" vertical="center"/>
    </xf>
    <xf numFmtId="170" fontId="13" fillId="4" borderId="20" applyAlignment="1" pivotButton="0" quotePrefix="0" xfId="1">
      <alignment horizontal="center" vertical="center"/>
    </xf>
    <xf numFmtId="0" fontId="13" fillId="2" borderId="18" applyAlignment="1" pivotButton="0" quotePrefix="0" xfId="3">
      <alignment horizontal="right" vertical="center"/>
    </xf>
    <xf numFmtId="0" fontId="13" fillId="2" borderId="19" applyAlignment="1" pivotButton="0" quotePrefix="0" xfId="3">
      <alignment horizontal="right" vertical="center"/>
    </xf>
    <xf numFmtId="170" fontId="13" fillId="2" borderId="19" applyAlignment="1" pivotButton="0" quotePrefix="0" xfId="1">
      <alignment horizontal="center" vertical="center"/>
    </xf>
    <xf numFmtId="170" fontId="13" fillId="2" borderId="20" applyAlignment="1" pivotButton="0" quotePrefix="0" xfId="1">
      <alignment horizontal="center" vertical="center"/>
    </xf>
    <xf numFmtId="0" fontId="7" fillId="4" borderId="1" applyAlignment="1" pivotButton="0" quotePrefix="0" xfId="5">
      <alignment horizontal="center" vertical="center"/>
    </xf>
    <xf numFmtId="0" fontId="7" fillId="4" borderId="2" applyAlignment="1" pivotButton="0" quotePrefix="0" xfId="5">
      <alignment horizontal="center" vertical="center"/>
    </xf>
    <xf numFmtId="0" fontId="7" fillId="4" borderId="3" applyAlignment="1" pivotButton="0" quotePrefix="0" xfId="5">
      <alignment horizontal="center" vertical="center"/>
    </xf>
    <xf numFmtId="0" fontId="11" fillId="0" borderId="18" applyAlignment="1" pivotButton="0" quotePrefix="0" xfId="3">
      <alignment horizontal="right" vertical="center"/>
    </xf>
    <xf numFmtId="0" fontId="11" fillId="0" borderId="19" applyAlignment="1" pivotButton="0" quotePrefix="0" xfId="3">
      <alignment horizontal="right" vertical="center"/>
    </xf>
    <xf numFmtId="170" fontId="11" fillId="0" borderId="19" applyAlignment="1" pivotButton="0" quotePrefix="0" xfId="2">
      <alignment horizontal="center" vertical="center"/>
    </xf>
    <xf numFmtId="170" fontId="11" fillId="0" borderId="20" applyAlignment="1" pivotButton="0" quotePrefix="0" xfId="2">
      <alignment horizontal="center" vertical="center"/>
    </xf>
    <xf numFmtId="0" fontId="13" fillId="4" borderId="16" applyAlignment="1" pivotButton="0" quotePrefix="0" xfId="3">
      <alignment horizontal="right" vertical="center"/>
    </xf>
    <xf numFmtId="0" fontId="13" fillId="4" borderId="9" applyAlignment="1" pivotButton="0" quotePrefix="0" xfId="3">
      <alignment horizontal="right" vertical="center"/>
    </xf>
    <xf numFmtId="170" fontId="13" fillId="4" borderId="9" applyAlignment="1" pivotButton="0" quotePrefix="0" xfId="1">
      <alignment horizontal="center" vertical="center"/>
    </xf>
    <xf numFmtId="170" fontId="13" fillId="4" borderId="17" applyAlignment="1" pivotButton="0" quotePrefix="0" xfId="1">
      <alignment horizontal="center" vertical="center"/>
    </xf>
    <xf numFmtId="0" fontId="13" fillId="2" borderId="14" applyAlignment="1" pivotButton="0" quotePrefix="0" xfId="3">
      <alignment horizontal="right" vertical="center"/>
    </xf>
    <xf numFmtId="0" fontId="13" fillId="2" borderId="15" applyAlignment="1" pivotButton="0" quotePrefix="0" xfId="3">
      <alignment horizontal="right" vertical="center"/>
    </xf>
    <xf numFmtId="170" fontId="13" fillId="2" borderId="15" applyAlignment="1" pivotButton="0" quotePrefix="0" xfId="1">
      <alignment horizontal="center" vertical="center"/>
    </xf>
    <xf numFmtId="170" fontId="13" fillId="2" borderId="12" applyAlignment="1" pivotButton="0" quotePrefix="0" xfId="1">
      <alignment horizontal="center" vertical="center"/>
    </xf>
    <xf numFmtId="43" fontId="8" fillId="0" borderId="13" applyAlignment="1" pivotButton="0" quotePrefix="0" xfId="4">
      <alignment horizontal="center" vertical="center"/>
    </xf>
    <xf numFmtId="43" fontId="8" fillId="0" borderId="10" applyAlignment="1" pivotButton="0" quotePrefix="0" xfId="4">
      <alignment horizontal="center" vertical="center"/>
    </xf>
    <xf numFmtId="0" fontId="8" fillId="0" borderId="11" applyAlignment="1" pivotButton="0" quotePrefix="0" xfId="3">
      <alignment horizontal="left" vertical="center" wrapText="1"/>
    </xf>
    <xf numFmtId="0" fontId="8" fillId="0" borderId="13" applyAlignment="1" pivotButton="0" quotePrefix="0" xfId="3">
      <alignment horizontal="left" vertical="center" wrapText="1"/>
    </xf>
    <xf numFmtId="0" fontId="8" fillId="0" borderId="34" applyAlignment="1" pivotButton="0" quotePrefix="0" xfId="3">
      <alignment horizontal="center" vertical="center" wrapText="1"/>
    </xf>
    <xf numFmtId="0" fontId="8" fillId="0" borderId="33" applyAlignment="1" pivotButton="0" quotePrefix="0" xfId="3">
      <alignment horizontal="center" vertical="center" wrapText="1"/>
    </xf>
    <xf numFmtId="0" fontId="8" fillId="0" borderId="35" applyAlignment="1" pivotButton="0" quotePrefix="0" xfId="3">
      <alignment horizontal="center" vertical="center" wrapText="1"/>
    </xf>
    <xf numFmtId="10" fontId="8" fillId="0" borderId="13" applyAlignment="1" pivotButton="0" quotePrefix="0" xfId="6">
      <alignment horizontal="left" vertical="center"/>
    </xf>
    <xf numFmtId="10" fontId="8" fillId="0" borderId="29" applyAlignment="1" pivotButton="0" quotePrefix="0" xfId="3">
      <alignment horizontal="center" vertical="center"/>
    </xf>
    <xf numFmtId="10" fontId="8" fillId="0" borderId="0" applyAlignment="1" pivotButton="0" quotePrefix="0" xfId="3">
      <alignment horizontal="center" vertical="center"/>
    </xf>
    <xf numFmtId="10" fontId="8" fillId="0" borderId="36" applyAlignment="1" pivotButton="0" quotePrefix="0" xfId="3">
      <alignment horizontal="center" vertical="center"/>
    </xf>
    <xf numFmtId="10" fontId="8" fillId="0" borderId="48" applyAlignment="1" pivotButton="0" quotePrefix="0" xfId="3">
      <alignment horizontal="center" vertical="center"/>
    </xf>
    <xf numFmtId="10" fontId="8" fillId="0" borderId="44" applyAlignment="1" pivotButton="0" quotePrefix="0" xfId="3">
      <alignment horizontal="center" vertical="center"/>
    </xf>
    <xf numFmtId="10" fontId="8" fillId="0" borderId="46" applyAlignment="1" pivotButton="0" quotePrefix="0" xfId="3">
      <alignment horizontal="center" vertical="center"/>
    </xf>
    <xf numFmtId="170" fontId="8" fillId="0" borderId="29" applyAlignment="1" pivotButton="0" quotePrefix="0" xfId="3">
      <alignment horizontal="center" vertical="center"/>
    </xf>
    <xf numFmtId="170" fontId="8" fillId="0" borderId="0" applyAlignment="1" pivotButton="0" quotePrefix="0" xfId="3">
      <alignment horizontal="center" vertical="center"/>
    </xf>
    <xf numFmtId="170" fontId="8" fillId="0" borderId="36" applyAlignment="1" pivotButton="0" quotePrefix="0" xfId="3">
      <alignment horizontal="center" vertical="center"/>
    </xf>
    <xf numFmtId="170" fontId="8" fillId="0" borderId="48" applyAlignment="1" pivotButton="0" quotePrefix="0" xfId="3">
      <alignment horizontal="center" vertical="center"/>
    </xf>
    <xf numFmtId="170" fontId="8" fillId="0" borderId="44" applyAlignment="1" pivotButton="0" quotePrefix="0" xfId="3">
      <alignment horizontal="center" vertical="center"/>
    </xf>
    <xf numFmtId="170" fontId="8" fillId="0" borderId="46" applyAlignment="1" pivotButton="0" quotePrefix="0" xfId="3">
      <alignment horizontal="center" vertical="center"/>
    </xf>
    <xf numFmtId="0" fontId="8" fillId="0" borderId="13" applyAlignment="1" pivotButton="0" quotePrefix="0" xfId="3">
      <alignment horizontal="left" vertical="center"/>
    </xf>
    <xf numFmtId="0" fontId="8" fillId="0" borderId="5" applyAlignment="1" pivotButton="0" quotePrefix="0" xfId="3">
      <alignment horizontal="center" vertical="center"/>
    </xf>
    <xf numFmtId="0" fontId="8" fillId="0" borderId="4" applyAlignment="1" pivotButton="0" quotePrefix="0" xfId="3">
      <alignment horizontal="center" vertical="center" wrapText="1"/>
    </xf>
    <xf numFmtId="0" fontId="8" fillId="0" borderId="0" applyAlignment="1" pivotButton="0" quotePrefix="0" xfId="3">
      <alignment horizontal="center" vertical="center"/>
    </xf>
    <xf numFmtId="0" fontId="8" fillId="0" borderId="0" applyAlignment="1" pivotButton="0" quotePrefix="0" xfId="3">
      <alignment horizontal="left" vertical="center"/>
    </xf>
    <xf numFmtId="0" fontId="8" fillId="7" borderId="34" applyAlignment="1" pivotButton="0" quotePrefix="0" xfId="3">
      <alignment horizontal="center" vertical="center" wrapText="1"/>
    </xf>
    <xf numFmtId="0" fontId="8" fillId="7" borderId="33" applyAlignment="1" pivotButton="0" quotePrefix="0" xfId="3">
      <alignment horizontal="center" vertical="center" wrapText="1"/>
    </xf>
    <xf numFmtId="0" fontId="8" fillId="7" borderId="35" applyAlignment="1" pivotButton="0" quotePrefix="0" xfId="3">
      <alignment horizontal="center" vertical="center" wrapText="1"/>
    </xf>
    <xf numFmtId="0" fontId="8" fillId="7" borderId="29" applyAlignment="1" pivotButton="0" quotePrefix="0" xfId="3">
      <alignment horizontal="center" vertical="center" wrapText="1"/>
    </xf>
    <xf numFmtId="0" fontId="8" fillId="7" borderId="0" applyAlignment="1" pivotButton="0" quotePrefix="0" xfId="3">
      <alignment horizontal="center" vertical="center" wrapText="1"/>
    </xf>
    <xf numFmtId="0" fontId="8" fillId="7" borderId="36" applyAlignment="1" pivotButton="0" quotePrefix="0" xfId="3">
      <alignment horizontal="center" vertical="center" wrapText="1"/>
    </xf>
    <xf numFmtId="10" fontId="8" fillId="7" borderId="29" applyAlignment="1" pivotButton="0" quotePrefix="0" xfId="2">
      <alignment horizontal="center" vertical="center" wrapText="1"/>
    </xf>
    <xf numFmtId="10" fontId="8" fillId="7" borderId="0" applyAlignment="1" pivotButton="0" quotePrefix="0" xfId="2">
      <alignment horizontal="center" vertical="center" wrapText="1"/>
    </xf>
    <xf numFmtId="10" fontId="8" fillId="7" borderId="36" applyAlignment="1" pivotButton="0" quotePrefix="0" xfId="2">
      <alignment horizontal="center" vertical="center" wrapText="1"/>
    </xf>
    <xf numFmtId="10" fontId="8" fillId="7" borderId="48" applyAlignment="1" pivotButton="0" quotePrefix="0" xfId="2">
      <alignment horizontal="center" vertical="center" wrapText="1"/>
    </xf>
    <xf numFmtId="10" fontId="8" fillId="7" borderId="44" applyAlignment="1" pivotButton="0" quotePrefix="0" xfId="2">
      <alignment horizontal="center" vertical="center" wrapText="1"/>
    </xf>
    <xf numFmtId="10" fontId="8" fillId="7" borderId="46" applyAlignment="1" pivotButton="0" quotePrefix="0" xfId="2">
      <alignment horizontal="center" vertical="center" wrapText="1"/>
    </xf>
    <xf numFmtId="39" fontId="8" fillId="0" borderId="0" applyAlignment="1" pivotButton="0" quotePrefix="0" xfId="4">
      <alignment horizontal="center" vertical="center"/>
    </xf>
    <xf numFmtId="10" fontId="8" fillId="0" borderId="0" applyAlignment="1" pivotButton="0" quotePrefix="0" xfId="6">
      <alignment horizontal="center" vertical="center"/>
    </xf>
    <xf numFmtId="3" fontId="8" fillId="0" borderId="0" applyAlignment="1" pivotButton="0" quotePrefix="0" xfId="4">
      <alignment horizontal="left" vertical="center"/>
    </xf>
    <xf numFmtId="10" fontId="8" fillId="0" borderId="5" applyAlignment="1" pivotButton="0" quotePrefix="0" xfId="6">
      <alignment horizontal="center" vertical="center"/>
    </xf>
    <xf numFmtId="168" fontId="8" fillId="0" borderId="0" applyAlignment="1" pivotButton="0" quotePrefix="0" xfId="4">
      <alignment horizontal="center" vertical="center"/>
    </xf>
    <xf numFmtId="168" fontId="8" fillId="0" borderId="0" applyAlignment="1" pivotButton="0" quotePrefix="0" xfId="4">
      <alignment vertical="center"/>
    </xf>
    <xf numFmtId="168" fontId="8" fillId="0" borderId="5" applyAlignment="1" pivotButton="0" quotePrefix="0" xfId="6">
      <alignment horizontal="center" vertical="center"/>
    </xf>
    <xf numFmtId="168" fontId="8" fillId="0" borderId="0" applyAlignment="1" pivotButton="0" quotePrefix="0" xfId="5">
      <alignment vertical="center"/>
    </xf>
    <xf numFmtId="0" fontId="3" fillId="0" borderId="0" applyAlignment="1" pivotButton="0" quotePrefix="0" xfId="3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8" fillId="0" borderId="6" applyAlignment="1" pivotButton="0" quotePrefix="0" xfId="3">
      <alignment horizontal="center" vertical="center"/>
    </xf>
    <xf numFmtId="39" fontId="8" fillId="0" borderId="0" applyAlignment="1" pivotButton="0" quotePrefix="0" xfId="4">
      <alignment horizontal="center" vertical="center"/>
    </xf>
    <xf numFmtId="39" fontId="8" fillId="0" borderId="6" applyAlignment="1" pivotButton="0" quotePrefix="0" xfId="4">
      <alignment horizontal="center" vertical="center"/>
    </xf>
    <xf numFmtId="0" fontId="16" fillId="4" borderId="34" applyAlignment="1" pivotButton="0" quotePrefix="0" xfId="3">
      <alignment horizontal="center" vertical="center"/>
    </xf>
    <xf numFmtId="0" fontId="16" fillId="4" borderId="33" applyAlignment="1" pivotButton="0" quotePrefix="0" xfId="3">
      <alignment horizontal="center" vertical="center"/>
    </xf>
    <xf numFmtId="0" fontId="16" fillId="4" borderId="35" applyAlignment="1" pivotButton="0" quotePrefix="0" xfId="3">
      <alignment horizontal="center" vertical="center"/>
    </xf>
    <xf numFmtId="0" fontId="16" fillId="4" borderId="40" applyAlignment="1" pivotButton="0" quotePrefix="0" xfId="3">
      <alignment horizontal="center" vertical="center"/>
    </xf>
    <xf numFmtId="0" fontId="16" fillId="4" borderId="41" applyAlignment="1" pivotButton="0" quotePrefix="0" xfId="3">
      <alignment horizontal="center" vertical="center"/>
    </xf>
    <xf numFmtId="0" fontId="16" fillId="4" borderId="42" applyAlignment="1" pivotButton="0" quotePrefix="0" xfId="3">
      <alignment horizontal="center" vertical="center"/>
    </xf>
    <xf numFmtId="0" fontId="16" fillId="0" borderId="24" applyAlignment="1" pivotButton="0" quotePrefix="0" xfId="3">
      <alignment horizontal="center" vertical="center"/>
    </xf>
    <xf numFmtId="0" fontId="18" fillId="0" borderId="24" applyAlignment="1" pivotButton="0" quotePrefix="0" xfId="3">
      <alignment horizontal="center" vertical="center"/>
    </xf>
    <xf numFmtId="0" fontId="18" fillId="0" borderId="25" applyAlignment="1" pivotButton="0" quotePrefix="0" xfId="3">
      <alignment horizontal="center" vertical="center"/>
    </xf>
    <xf numFmtId="0" fontId="18" fillId="0" borderId="50" applyAlignment="1" pivotButton="0" quotePrefix="0" xfId="3">
      <alignment horizontal="center" vertical="center"/>
    </xf>
    <xf numFmtId="0" fontId="18" fillId="0" borderId="41" applyAlignment="1" pivotButton="0" quotePrefix="0" xfId="3">
      <alignment horizontal="center" vertical="center"/>
    </xf>
    <xf numFmtId="0" fontId="18" fillId="0" borderId="42" applyAlignment="1" pivotButton="0" quotePrefix="0" xfId="3">
      <alignment horizontal="center" vertical="center"/>
    </xf>
    <xf numFmtId="14" fontId="17" fillId="0" borderId="9" applyAlignment="1" pivotButton="0" quotePrefix="0" xfId="3">
      <alignment horizontal="center" vertical="center"/>
    </xf>
    <xf numFmtId="17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/>
    </xf>
    <xf numFmtId="14" fontId="17" fillId="0" borderId="31" applyAlignment="1" pivotButton="0" quotePrefix="0" xfId="3">
      <alignment horizontal="center" vertical="center"/>
    </xf>
    <xf numFmtId="170" fontId="19" fillId="0" borderId="31" applyAlignment="1" pivotButton="0" quotePrefix="0" xfId="3">
      <alignment horizontal="center" vertical="center"/>
    </xf>
    <xf numFmtId="0" fontId="19" fillId="0" borderId="31" applyAlignment="1" pivotButton="0" quotePrefix="0" xfId="3">
      <alignment horizontal="center" vertical="center"/>
    </xf>
    <xf numFmtId="0" fontId="11" fillId="6" borderId="16" applyAlignment="1" pivotButton="0" quotePrefix="0" xfId="3">
      <alignment horizontal="right" vertical="center"/>
    </xf>
    <xf numFmtId="0" fontId="11" fillId="6" borderId="9" applyAlignment="1" pivotButton="0" quotePrefix="0" xfId="3">
      <alignment horizontal="right" vertical="center"/>
    </xf>
    <xf numFmtId="0" fontId="11" fillId="4" borderId="16" applyAlignment="1" pivotButton="0" quotePrefix="0" xfId="3">
      <alignment horizontal="right" vertical="center"/>
    </xf>
    <xf numFmtId="0" fontId="11" fillId="4" borderId="9" applyAlignment="1" pivotButton="0" quotePrefix="0" xfId="3">
      <alignment horizontal="right" vertical="center"/>
    </xf>
    <xf numFmtId="170" fontId="11" fillId="4" borderId="9" applyAlignment="1" pivotButton="0" quotePrefix="0" xfId="1">
      <alignment horizontal="center" vertical="center"/>
    </xf>
    <xf numFmtId="170" fontId="11" fillId="4" borderId="17" applyAlignment="1" pivotButton="0" quotePrefix="0" xfId="1">
      <alignment horizontal="center" vertical="center"/>
    </xf>
    <xf numFmtId="165" fontId="11" fillId="6" borderId="9" applyAlignment="1" pivotButton="0" quotePrefix="0" xfId="1">
      <alignment horizontal="center" vertical="center"/>
    </xf>
    <xf numFmtId="165" fontId="11" fillId="6" borderId="17" applyAlignment="1" pivotButton="0" quotePrefix="0" xfId="1">
      <alignment horizontal="center" vertical="center"/>
    </xf>
    <xf numFmtId="0" fontId="8" fillId="5" borderId="34" applyAlignment="1" pivotButton="0" quotePrefix="0" xfId="3">
      <alignment horizontal="center" vertical="center" wrapText="1"/>
    </xf>
    <xf numFmtId="0" fontId="8" fillId="5" borderId="33" applyAlignment="1" pivotButton="0" quotePrefix="0" xfId="3">
      <alignment horizontal="center" vertical="center" wrapText="1"/>
    </xf>
    <xf numFmtId="0" fontId="8" fillId="5" borderId="35" applyAlignment="1" pivotButton="0" quotePrefix="0" xfId="3">
      <alignment horizontal="center" vertical="center" wrapText="1"/>
    </xf>
    <xf numFmtId="0" fontId="8" fillId="5" borderId="29" applyAlignment="1" pivotButton="0" quotePrefix="0" xfId="3">
      <alignment horizontal="center" vertical="center" wrapText="1"/>
    </xf>
    <xf numFmtId="0" fontId="8" fillId="5" borderId="0" applyAlignment="1" pivotButton="0" quotePrefix="0" xfId="3">
      <alignment horizontal="center" vertical="center" wrapText="1"/>
    </xf>
    <xf numFmtId="0" fontId="8" fillId="5" borderId="36" applyAlignment="1" pivotButton="0" quotePrefix="0" xfId="3">
      <alignment horizontal="center" vertical="center" wrapText="1"/>
    </xf>
    <xf numFmtId="10" fontId="8" fillId="5" borderId="29" applyAlignment="1" pivotButton="0" quotePrefix="0" xfId="2">
      <alignment horizontal="center" vertical="center" wrapText="1"/>
    </xf>
    <xf numFmtId="10" fontId="8" fillId="5" borderId="0" applyAlignment="1" pivotButton="0" quotePrefix="0" xfId="2">
      <alignment horizontal="center" vertical="center" wrapText="1"/>
    </xf>
    <xf numFmtId="10" fontId="8" fillId="5" borderId="36" applyAlignment="1" pivotButton="0" quotePrefix="0" xfId="2">
      <alignment horizontal="center" vertical="center" wrapText="1"/>
    </xf>
    <xf numFmtId="10" fontId="8" fillId="5" borderId="48" applyAlignment="1" pivotButton="0" quotePrefix="0" xfId="2">
      <alignment horizontal="center" vertical="center" wrapText="1"/>
    </xf>
    <xf numFmtId="10" fontId="8" fillId="5" borderId="44" applyAlignment="1" pivotButton="0" quotePrefix="0" xfId="2">
      <alignment horizontal="center" vertical="center" wrapText="1"/>
    </xf>
    <xf numFmtId="10" fontId="8" fillId="5" borderId="46" applyAlignment="1" pivotButton="0" quotePrefix="0" xfId="2">
      <alignment horizontal="center" vertical="center" wrapText="1"/>
    </xf>
    <xf numFmtId="170" fontId="19" fillId="0" borderId="9" applyAlignment="1" pivotButton="0" quotePrefix="0" xfId="15">
      <alignment horizontal="center" vertical="center"/>
    </xf>
    <xf numFmtId="170" fontId="19" fillId="0" borderId="31" applyAlignment="1" pivotButton="0" quotePrefix="0" xfId="15">
      <alignment horizontal="center" vertical="center"/>
    </xf>
    <xf numFmtId="170" fontId="19" fillId="0" borderId="11" applyAlignment="1" pivotButton="0" quotePrefix="0" xfId="15">
      <alignment horizontal="center" vertical="center"/>
    </xf>
    <xf numFmtId="170" fontId="19" fillId="0" borderId="13" applyAlignment="1" pivotButton="0" quotePrefix="0" xfId="15">
      <alignment horizontal="center" vertical="center"/>
    </xf>
    <xf numFmtId="170" fontId="19" fillId="0" borderId="10" applyAlignment="1" pivotButton="0" quotePrefix="0" xfId="15">
      <alignment horizontal="center" vertical="center"/>
    </xf>
    <xf numFmtId="0" fontId="21" fillId="4" borderId="55" applyAlignment="1" pivotButton="0" quotePrefix="0" xfId="3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71" fontId="22" fillId="0" borderId="24" applyAlignment="1" pivotButton="0" quotePrefix="0" xfId="3">
      <alignment horizontal="center" vertical="center"/>
    </xf>
    <xf numFmtId="0" fontId="0" fillId="0" borderId="57" pivotButton="0" quotePrefix="0" xfId="0"/>
    <xf numFmtId="0" fontId="0" fillId="0" borderId="33" pivotButton="0" quotePrefix="0" xfId="0"/>
    <xf numFmtId="0" fontId="0" fillId="0" borderId="56" pivotButton="0" quotePrefix="0" xfId="0"/>
    <xf numFmtId="0" fontId="21" fillId="4" borderId="51" applyAlignment="1" pivotButton="0" quotePrefix="0" xfId="3">
      <alignment horizontal="center" vertical="center" wrapText="1"/>
    </xf>
    <xf numFmtId="0" fontId="0" fillId="0" borderId="35" pivotButton="0" quotePrefix="0" xfId="0"/>
    <xf numFmtId="0" fontId="0" fillId="0" borderId="58" pivotButton="0" quotePrefix="0" xfId="0"/>
    <xf numFmtId="0" fontId="0" fillId="0" borderId="59" pivotButton="0" quotePrefix="0" xfId="0"/>
    <xf numFmtId="170" fontId="22" fillId="0" borderId="15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170" fontId="22" fillId="0" borderId="31" applyAlignment="1" pivotButton="0" quotePrefix="0" xfId="3">
      <alignment horizontal="center" vertical="center"/>
    </xf>
    <xf numFmtId="170" fontId="22" fillId="0" borderId="15" applyAlignment="1" pivotButton="0" quotePrefix="0" xfId="3">
      <alignment horizontal="center" vertical="center"/>
    </xf>
    <xf numFmtId="171" fontId="12" fillId="0" borderId="0" applyAlignment="1" pivotButton="0" quotePrefix="0" xfId="3">
      <alignment vertical="center"/>
    </xf>
    <xf numFmtId="0" fontId="0" fillId="0" borderId="13" pivotButton="0" quotePrefix="0" xfId="0"/>
    <xf numFmtId="0" fontId="0" fillId="0" borderId="10" pivotButton="0" quotePrefix="0" xfId="0"/>
    <xf numFmtId="170" fontId="22" fillId="0" borderId="9" applyAlignment="1" pivotButton="0" quotePrefix="0" xfId="1">
      <alignment horizontal="center" vertical="center"/>
    </xf>
    <xf numFmtId="165" fontId="22" fillId="0" borderId="9" applyAlignment="1" pivotButton="0" quotePrefix="0" xfId="3">
      <alignment horizontal="center" vertical="center"/>
    </xf>
    <xf numFmtId="43" fontId="12" fillId="0" borderId="0" applyAlignment="1" pivotButton="0" quotePrefix="0" xfId="4">
      <alignment vertical="center"/>
    </xf>
    <xf numFmtId="171" fontId="11" fillId="0" borderId="0" applyAlignment="1" pivotButton="0" quotePrefix="0" xfId="3">
      <alignment vertical="center"/>
    </xf>
    <xf numFmtId="170" fontId="22" fillId="0" borderId="0" applyAlignment="1" pivotButton="0" quotePrefix="0" xfId="1">
      <alignment vertical="center"/>
    </xf>
    <xf numFmtId="170" fontId="22" fillId="0" borderId="17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2" pivotButton="0" quotePrefix="0" xfId="0"/>
    <xf numFmtId="0" fontId="0" fillId="0" borderId="3" pivotButton="0" quotePrefix="0" xfId="0"/>
    <xf numFmtId="165" fontId="21" fillId="2" borderId="20" applyAlignment="1" pivotButton="0" quotePrefix="0" xfId="1">
      <alignment horizontal="center" vertical="center"/>
    </xf>
    <xf numFmtId="0" fontId="0" fillId="0" borderId="49" pivotButton="0" quotePrefix="0" xfId="0"/>
    <xf numFmtId="0" fontId="0" fillId="0" borderId="48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3" pivotButton="0" quotePrefix="0" xfId="0"/>
    <xf numFmtId="0" fontId="0" fillId="0" borderId="46" pivotButton="0" quotePrefix="0" xfId="0"/>
    <xf numFmtId="165" fontId="22" fillId="0" borderId="9" applyAlignment="1" pivotButton="0" quotePrefix="0" xfId="1">
      <alignment horizontal="center" vertical="center"/>
    </xf>
    <xf numFmtId="170" fontId="22" fillId="0" borderId="38" applyAlignment="1" pivotButton="0" quotePrefix="0" xfId="1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170" fontId="22" fillId="0" borderId="19" applyAlignment="1" pivotButton="0" quotePrefix="0" xfId="2">
      <alignment horizontal="center" vertical="center"/>
    </xf>
    <xf numFmtId="170" fontId="21" fillId="3" borderId="9" applyAlignment="1" pivotButton="0" quotePrefix="0" xfId="1">
      <alignment horizontal="center" vertical="center"/>
    </xf>
    <xf numFmtId="170" fontId="21" fillId="2" borderId="15" applyAlignment="1" pivotButton="0" quotePrefix="0" xfId="1">
      <alignment horizontal="center" vertical="center"/>
    </xf>
    <xf numFmtId="170" fontId="21" fillId="3" borderId="19" applyAlignment="1" pivotButton="0" quotePrefix="0" xfId="1">
      <alignment horizontal="center" vertical="center"/>
    </xf>
    <xf numFmtId="170" fontId="21" fillId="2" borderId="19" applyAlignment="1" pivotButton="0" quotePrefix="0" xfId="1">
      <alignment horizontal="center" vertical="center"/>
    </xf>
    <xf numFmtId="43" fontId="5" fillId="0" borderId="0" applyAlignment="1" pivotButton="0" quotePrefix="0" xfId="4">
      <alignment vertical="center"/>
    </xf>
    <xf numFmtId="171" fontId="5" fillId="0" borderId="0" applyAlignment="1" pivotButton="0" quotePrefix="0" xfId="3">
      <alignment vertical="center"/>
    </xf>
    <xf numFmtId="171" fontId="3" fillId="0" borderId="0" applyAlignment="1" pivotButton="0" quotePrefix="0" xfId="3">
      <alignment vertical="center"/>
    </xf>
    <xf numFmtId="0" fontId="23" fillId="4" borderId="38" applyAlignment="1" pivotButton="0" quotePrefix="0" xfId="5">
      <alignment horizontal="center" vertical="center"/>
    </xf>
    <xf numFmtId="168" fontId="5" fillId="0" borderId="0" applyAlignment="1" pivotButton="0" quotePrefix="0" xfId="3">
      <alignment vertical="center"/>
    </xf>
    <xf numFmtId="169" fontId="5" fillId="0" borderId="0" applyAlignment="1" pivotButton="0" quotePrefix="0" xfId="6">
      <alignment vertical="center"/>
    </xf>
    <xf numFmtId="164" fontId="5" fillId="0" borderId="0" applyAlignment="1" pivotButton="0" quotePrefix="0" xfId="4">
      <alignment vertical="center"/>
    </xf>
    <xf numFmtId="43" fontId="21" fillId="0" borderId="10" applyAlignment="1" pivotButton="0" quotePrefix="0" xfId="4">
      <alignment horizontal="center" vertical="center"/>
    </xf>
    <xf numFmtId="165" fontId="22" fillId="0" borderId="5" applyAlignment="1" pivotButton="0" quotePrefix="0" xfId="3">
      <alignment vertical="center"/>
    </xf>
    <xf numFmtId="0" fontId="21" fillId="0" borderId="51" applyAlignment="1" pivotButton="0" quotePrefix="0" xfId="3">
      <alignment horizontal="center" vertical="center" wrapText="1"/>
    </xf>
    <xf numFmtId="165" fontId="3" fillId="0" borderId="0" applyAlignment="1" pivotButton="0" quotePrefix="0" xfId="3">
      <alignment vertical="center"/>
    </xf>
    <xf numFmtId="10" fontId="21" fillId="0" borderId="52" applyAlignment="1" pivotButton="0" quotePrefix="0" xfId="3">
      <alignment horizontal="center" vertical="center"/>
    </xf>
    <xf numFmtId="0" fontId="0" fillId="0" borderId="36" pivotButton="0" quotePrefix="0" xfId="0"/>
    <xf numFmtId="170" fontId="21" fillId="0" borderId="52" applyAlignment="1" pivotButton="0" quotePrefix="0" xfId="3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1" fillId="5" borderId="51" applyAlignment="1" pivotButton="0" quotePrefix="0" xfId="3">
      <alignment horizontal="center" vertical="center" wrapText="1"/>
    </xf>
    <xf numFmtId="0" fontId="0" fillId="0" borderId="29" pivotButton="0" quotePrefix="0" xfId="0"/>
    <xf numFmtId="10" fontId="21" fillId="5" borderId="52" applyAlignment="1" pivotButton="0" quotePrefix="0" xfId="2">
      <alignment horizontal="center" vertical="center" wrapText="1"/>
    </xf>
    <xf numFmtId="168" fontId="21" fillId="0" borderId="0" applyAlignment="1" pivotButton="0" quotePrefix="0" xfId="6">
      <alignment vertical="center"/>
    </xf>
    <xf numFmtId="168" fontId="8" fillId="0" borderId="0" applyAlignment="1" pivotButton="0" quotePrefix="0" xfId="6">
      <alignment vertical="center"/>
    </xf>
    <xf numFmtId="168" fontId="21" fillId="0" borderId="0" applyAlignment="1" pivotButton="0" quotePrefix="0" xfId="4">
      <alignment horizontal="center" vertical="center"/>
    </xf>
    <xf numFmtId="168" fontId="21" fillId="0" borderId="5" applyAlignment="1" pivotButton="0" quotePrefix="0" xfId="6">
      <alignment horizontal="center" vertical="center"/>
    </xf>
    <xf numFmtId="168" fontId="21" fillId="0" borderId="0" applyAlignment="1" pivotButton="0" quotePrefix="0" xfId="4">
      <alignment vertical="center"/>
    </xf>
    <xf numFmtId="168" fontId="21" fillId="0" borderId="0" applyAlignment="1" pivotButton="0" quotePrefix="0" xfId="5">
      <alignment vertical="center"/>
    </xf>
    <xf numFmtId="166" fontId="22" fillId="0" borderId="0" applyAlignment="1" pivotButton="0" quotePrefix="0" xfId="4">
      <alignment vertical="center"/>
    </xf>
    <xf numFmtId="167" fontId="21" fillId="0" borderId="0" applyAlignment="1" pivotButton="0" quotePrefix="0" xfId="4">
      <alignment horizontal="center" vertical="center"/>
    </xf>
    <xf numFmtId="0" fontId="0" fillId="0" borderId="7" pivotButton="0" quotePrefix="0" xfId="0"/>
    <xf numFmtId="167" fontId="21" fillId="0" borderId="6" applyAlignment="1" pivotButton="0" quotePrefix="0" xfId="4">
      <alignment horizontal="center" vertical="center"/>
    </xf>
    <xf numFmtId="171" fontId="22" fillId="0" borderId="31" applyAlignment="1" pivotButton="0" quotePrefix="0" xfId="3">
      <alignment horizontal="center" vertical="center"/>
    </xf>
    <xf numFmtId="170" fontId="22" fillId="0" borderId="9" applyAlignment="1" pivotButton="0" quotePrefix="0" xfId="3">
      <alignment horizontal="center" vertical="center"/>
    </xf>
    <xf numFmtId="171" fontId="22" fillId="0" borderId="9" applyAlignment="1" pivotButton="0" quotePrefix="0" xfId="3">
      <alignment horizontal="center" vertical="center"/>
    </xf>
    <xf numFmtId="0" fontId="1" fillId="0" borderId="0" pivotButton="0" quotePrefix="0" xfId="0"/>
    <xf numFmtId="0" fontId="22" fillId="0" borderId="31" applyAlignment="1" pivotButton="0" quotePrefix="0" xfId="0">
      <alignment horizontal="center" vertical="center"/>
    </xf>
    <xf numFmtId="171" fontId="22" fillId="0" borderId="31" applyAlignment="1" pivotButton="0" quotePrefix="0" xfId="0">
      <alignment horizontal="center" vertical="center"/>
    </xf>
    <xf numFmtId="0" fontId="1" fillId="0" borderId="6" pivotButton="0" quotePrefix="0" xfId="0"/>
    <xf numFmtId="0" fontId="1" fillId="0" borderId="8" pivotButton="0" quotePrefix="0" xfId="0"/>
    <xf numFmtId="170" fontId="22" fillId="0" borderId="31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0" fillId="4" borderId="55" applyAlignment="1" pivotButton="0" quotePrefix="0" xfId="3">
      <alignment horizontal="center" vertical="center"/>
    </xf>
    <xf numFmtId="171" fontId="3" fillId="0" borderId="24" applyAlignment="1" pivotButton="0" quotePrefix="0" xfId="3">
      <alignment horizontal="center" vertical="center"/>
    </xf>
    <xf numFmtId="0" fontId="13" fillId="0" borderId="23" applyAlignment="1" pivotButton="0" quotePrefix="0" xfId="0">
      <alignment vertical="center"/>
    </xf>
    <xf numFmtId="171" fontId="3" fillId="0" borderId="24" applyAlignment="1" pivotButton="0" quotePrefix="0" xfId="0">
      <alignment horizontal="center" vertical="center"/>
    </xf>
    <xf numFmtId="0" fontId="16" fillId="4" borderId="51" applyAlignment="1" pivotButton="0" quotePrefix="0" xfId="3">
      <alignment horizontal="center" vertical="center" wrapText="1"/>
    </xf>
    <xf numFmtId="170" fontId="11" fillId="0" borderId="15" applyAlignment="1" pivotButton="0" quotePrefix="0" xfId="1">
      <alignment horizontal="center" vertical="center"/>
    </xf>
    <xf numFmtId="170" fontId="11" fillId="0" borderId="31" applyAlignment="1" pivotButton="0" quotePrefix="0" xfId="3">
      <alignment horizontal="center" vertical="center"/>
    </xf>
    <xf numFmtId="170" fontId="11" fillId="0" borderId="15" applyAlignment="1" pivotButton="0" quotePrefix="0" xfId="3">
      <alignment horizontal="center" vertical="center"/>
    </xf>
    <xf numFmtId="170" fontId="11" fillId="0" borderId="9" applyAlignment="1" pivotButton="0" quotePrefix="0" xfId="1">
      <alignment horizontal="center" vertical="center"/>
    </xf>
    <xf numFmtId="165" fontId="11" fillId="0" borderId="9" applyAlignment="1" pivotButton="0" quotePrefix="0" xfId="3">
      <alignment horizontal="center" vertical="center"/>
    </xf>
    <xf numFmtId="170" fontId="11" fillId="0" borderId="0" applyAlignment="1" pivotButton="0" quotePrefix="0" xfId="1">
      <alignment vertical="center"/>
    </xf>
    <xf numFmtId="170" fontId="11" fillId="0" borderId="17" applyAlignment="1" pivotButton="0" quotePrefix="0" xfId="1">
      <alignment horizontal="center" vertical="center"/>
    </xf>
    <xf numFmtId="165" fontId="13" fillId="2" borderId="20" applyAlignment="1" pivotButton="0" quotePrefix="0" xfId="1">
      <alignment horizontal="center" vertical="center"/>
    </xf>
    <xf numFmtId="165" fontId="11" fillId="0" borderId="9" applyAlignment="1" pivotButton="0" quotePrefix="0" xfId="1">
      <alignment horizontal="center" vertical="center"/>
    </xf>
    <xf numFmtId="170" fontId="11" fillId="0" borderId="38" applyAlignment="1" pivotButton="0" quotePrefix="0" xfId="1">
      <alignment horizontal="center" vertical="center"/>
    </xf>
    <xf numFmtId="170" fontId="11" fillId="0" borderId="19" applyAlignment="1" pivotButton="0" quotePrefix="0" xfId="2">
      <alignment horizontal="center" vertical="center"/>
    </xf>
    <xf numFmtId="170" fontId="13" fillId="4" borderId="9" applyAlignment="1" pivotButton="0" quotePrefix="0" xfId="1">
      <alignment horizontal="center" vertical="center"/>
    </xf>
    <xf numFmtId="170" fontId="13" fillId="2" borderId="15" applyAlignment="1" pivotButton="0" quotePrefix="0" xfId="1">
      <alignment horizontal="center" vertical="center"/>
    </xf>
    <xf numFmtId="170" fontId="13" fillId="4" borderId="19" applyAlignment="1" pivotButton="0" quotePrefix="0" xfId="1">
      <alignment horizontal="center" vertical="center"/>
    </xf>
    <xf numFmtId="170" fontId="13" fillId="2" borderId="19" applyAlignment="1" pivotButton="0" quotePrefix="0" xfId="1">
      <alignment horizontal="center" vertical="center"/>
    </xf>
    <xf numFmtId="0" fontId="7" fillId="4" borderId="38" applyAlignment="1" pivotButton="0" quotePrefix="0" xfId="5">
      <alignment horizontal="center" vertical="center"/>
    </xf>
    <xf numFmtId="43" fontId="8" fillId="0" borderId="10" applyAlignment="1" pivotButton="0" quotePrefix="0" xfId="4">
      <alignment horizontal="center" vertical="center"/>
    </xf>
    <xf numFmtId="165" fontId="3" fillId="0" borderId="5" applyAlignment="1" pivotButton="0" quotePrefix="0" xfId="3">
      <alignment vertical="center"/>
    </xf>
    <xf numFmtId="0" fontId="8" fillId="0" borderId="51" applyAlignment="1" pivotButton="0" quotePrefix="0" xfId="3">
      <alignment horizontal="center" vertical="center" wrapText="1"/>
    </xf>
    <xf numFmtId="10" fontId="8" fillId="0" borderId="52" applyAlignment="1" pivotButton="0" quotePrefix="0" xfId="3">
      <alignment horizontal="center" vertical="center"/>
    </xf>
    <xf numFmtId="170" fontId="8" fillId="0" borderId="52" applyAlignment="1" pivotButton="0" quotePrefix="0" xfId="3">
      <alignment horizontal="center" vertical="center"/>
    </xf>
    <xf numFmtId="0" fontId="8" fillId="7" borderId="51" applyAlignment="1" pivotButton="0" quotePrefix="0" xfId="3">
      <alignment horizontal="center" vertical="center" wrapText="1"/>
    </xf>
    <xf numFmtId="10" fontId="8" fillId="7" borderId="52" applyAlignment="1" pivotButton="0" quotePrefix="0" xfId="2">
      <alignment horizontal="center" vertical="center" wrapText="1"/>
    </xf>
    <xf numFmtId="168" fontId="8" fillId="0" borderId="0" applyAlignment="1" pivotButton="0" quotePrefix="0" xfId="4">
      <alignment horizontal="center" vertical="center"/>
    </xf>
    <xf numFmtId="168" fontId="8" fillId="0" borderId="5" applyAlignment="1" pivotButton="0" quotePrefix="0" xfId="6">
      <alignment horizontal="center" vertical="center"/>
    </xf>
    <xf numFmtId="168" fontId="8" fillId="0" borderId="0" applyAlignment="1" pivotButton="0" quotePrefix="0" xfId="4">
      <alignment vertical="center"/>
    </xf>
    <xf numFmtId="168" fontId="8" fillId="0" borderId="0" applyAlignment="1" pivotButton="0" quotePrefix="0" xfId="5">
      <alignment vertical="center"/>
    </xf>
    <xf numFmtId="166" fontId="3" fillId="0" borderId="0" applyAlignment="1" pivotButton="0" quotePrefix="0" xfId="4">
      <alignment vertical="center"/>
    </xf>
    <xf numFmtId="167" fontId="8" fillId="0" borderId="0" applyAlignment="1" pivotButton="0" quotePrefix="0" xfId="4">
      <alignment horizontal="center" vertical="center"/>
    </xf>
    <xf numFmtId="167" fontId="8" fillId="0" borderId="6" applyAlignment="1" pivotButton="0" quotePrefix="0" xfId="4">
      <alignment horizontal="center" vertical="center"/>
    </xf>
    <xf numFmtId="0" fontId="16" fillId="4" borderId="51" applyAlignment="1" pivotButton="0" quotePrefix="0" xfId="3">
      <alignment horizontal="center" vertical="center"/>
    </xf>
    <xf numFmtId="0" fontId="16" fillId="4" borderId="55" applyAlignment="1" pivotButton="0" quotePrefix="0" xfId="3">
      <alignment horizontal="center" vertical="center"/>
    </xf>
    <xf numFmtId="171" fontId="17" fillId="0" borderId="31" applyAlignment="1" pivotButton="0" quotePrefix="0" xfId="3">
      <alignment horizontal="center" vertical="center"/>
    </xf>
    <xf numFmtId="170" fontId="19" fillId="0" borderId="31" applyAlignment="1" pivotButton="0" quotePrefix="0" xfId="3">
      <alignment horizontal="center" vertical="center"/>
    </xf>
    <xf numFmtId="171" fontId="17" fillId="0" borderId="9" applyAlignment="1" pivotButton="0" quotePrefix="0" xfId="3">
      <alignment horizontal="center" vertical="center"/>
    </xf>
    <xf numFmtId="170" fontId="19" fillId="0" borderId="9" applyAlignment="1" pivotButton="0" quotePrefix="0" xfId="3">
      <alignment horizontal="center" vertical="center"/>
    </xf>
    <xf numFmtId="170" fontId="11" fillId="4" borderId="9" applyAlignment="1" pivotButton="0" quotePrefix="0" xfId="1">
      <alignment horizontal="center" vertical="center"/>
    </xf>
    <xf numFmtId="165" fontId="11" fillId="6" borderId="9" applyAlignment="1" pivotButton="0" quotePrefix="0" xfId="1">
      <alignment horizontal="center" vertical="center"/>
    </xf>
    <xf numFmtId="0" fontId="8" fillId="5" borderId="51" applyAlignment="1" pivotButton="0" quotePrefix="0" xfId="3">
      <alignment horizontal="center" vertical="center" wrapText="1"/>
    </xf>
    <xf numFmtId="10" fontId="8" fillId="5" borderId="52" applyAlignment="1" pivotButton="0" quotePrefix="0" xfId="2">
      <alignment horizontal="center" vertical="center" wrapText="1"/>
    </xf>
    <xf numFmtId="170" fontId="19" fillId="0" borderId="31" applyAlignment="1" pivotButton="0" quotePrefix="0" xfId="15">
      <alignment horizontal="center" vertical="center"/>
    </xf>
    <xf numFmtId="170" fontId="19" fillId="0" borderId="9" applyAlignment="1" pivotButton="0" quotePrefix="0" xfId="15">
      <alignment horizontal="center" vertical="center"/>
    </xf>
    <xf numFmtId="0" fontId="25" fillId="8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49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6">
    <cellStyle name="Normal" xfId="0" builtinId="0"/>
    <cellStyle name="Vírgula" xfId="1" builtinId="3"/>
    <cellStyle name="Porcentagem" xfId="2" builtinId="5"/>
    <cellStyle name="Normal_modelo_new_SFH" xfId="3"/>
    <cellStyle name="Vírgula 2" xfId="4"/>
    <cellStyle name="Normal 2" xfId="5"/>
    <cellStyle name="Porcentagem 7" xfId="6"/>
    <cellStyle name="Normal 2 2" xfId="7"/>
    <cellStyle name="Separador de milhares 3 2" xfId="8"/>
    <cellStyle name="Separador de milhares 4 2" xfId="9"/>
    <cellStyle name="Normal 2 2 2" xfId="10"/>
    <cellStyle name="Vírgula 2 2" xfId="11"/>
    <cellStyle name="Vírgula 3" xfId="12"/>
    <cellStyle name="Porcentagem 11" xfId="13"/>
    <cellStyle name="Vírgula 2 2 2 6 2" xfId="14"/>
    <cellStyle name="Moeda" xfId="15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externalLink" Target="/xl/externalLinks/externalLink3.xml" Id="rId8"/><Relationship Type="http://schemas.openxmlformats.org/officeDocument/2006/relationships/externalLink" Target="/xl/externalLinks/externalLink4.xml" Id="rId9"/><Relationship Type="http://schemas.openxmlformats.org/officeDocument/2006/relationships/externalLink" Target="/xl/externalLinks/externalLink5.xml" Id="rId10"/><Relationship Type="http://schemas.openxmlformats.org/officeDocument/2006/relationships/externalLink" Target="/xl/externalLinks/externalLink6.xml" Id="rId11"/><Relationship Type="http://schemas.openxmlformats.org/officeDocument/2006/relationships/externalLink" Target="/xl/externalLinks/externalLink7.xml" Id="rId12"/><Relationship Type="http://schemas.openxmlformats.org/officeDocument/2006/relationships/externalLink" Target="/xl/externalLinks/externalLink8.xml" Id="rId13"/><Relationship Type="http://schemas.openxmlformats.org/officeDocument/2006/relationships/externalLink" Target="/xl/externalLinks/externalLink9.xml" Id="rId14"/><Relationship Type="http://schemas.openxmlformats.org/officeDocument/2006/relationships/externalLink" Target="/xl/externalLinks/externalLink10.xml" Id="rId15"/><Relationship Type="http://schemas.openxmlformats.org/officeDocument/2006/relationships/externalLink" Target="/xl/externalLinks/externalLink11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p</author>
  </authors>
  <commentList>
    <comment ref="BE6" authorId="0" shapeId="0">
      <text>
        <t xml:space="preserve">Se caso o contrato não estiver quitado, aqui recalcula as parcelas já descontando as abusividades e os valores já pagos. 
</t>
      </text>
    </comment>
    <comment ref="G121" authorId="0" shapeId="0">
      <text>
        <t>NÃO DIGITAR.</t>
      </text>
    </comment>
    <comment ref="AH121" authorId="0" shapeId="0">
      <text>
        <t>NÃO DIGITAR.</t>
      </text>
    </comment>
  </commentList>
</comments>
</file>

<file path=xl/comments/comment2.xml><?xml version="1.0" encoding="utf-8"?>
<comments xmlns="http://schemas.openxmlformats.org/spreadsheetml/2006/main">
  <authors>
    <author>p</author>
  </authors>
  <commentList>
    <comment ref="BE7" authorId="0" shapeId="0">
      <text>
        <t xml:space="preserve">Se caso o contrato não estiver quitado, aqui recalcula as parcelas já descontando as abusividades e os valores já pagos. 
</t>
      </text>
    </comment>
    <comment ref="G122" authorId="0" shapeId="0">
      <text>
        <t>NÃO DIGITAR.</t>
      </text>
    </comment>
    <comment ref="AH122" authorId="0" shapeId="0">
      <text>
        <t>NÃO DIGITAR.</t>
      </text>
    </comment>
  </commentList>
</comments>
</file>

<file path=xl/comments/comment3.xml><?xml version="1.0" encoding="utf-8"?>
<comments xmlns="http://schemas.openxmlformats.org/spreadsheetml/2006/main">
  <authors>
    <author>p</author>
  </authors>
  <commentList>
    <comment ref="BE7" authorId="0" shapeId="0">
      <text>
        <t xml:space="preserve">Se caso o contrato não estiver quitado, aqui recalcula as parcelas já descontando as abusividades e os valores já pagos. 
</t>
      </text>
    </comment>
    <comment ref="G122" authorId="0" shapeId="0">
      <text>
        <t>NÃO DIGITAR.</t>
      </text>
    </comment>
    <comment ref="AH122" authorId="0" shapeId="0">
      <text>
        <t>NÃO DIGITAR.</t>
      </text>
    </comment>
  </commentList>
</comments>
</file>

<file path=xl/comments/comment4.xml><?xml version="1.0" encoding="utf-8"?>
<comments xmlns="http://schemas.openxmlformats.org/spreadsheetml/2006/main">
  <authors>
    <author>p</author>
  </authors>
  <commentList>
    <comment ref="BE7" authorId="0" shapeId="0">
      <text>
        <t xml:space="preserve">Se caso o contrato não estiver quitado, aqui recalcula as parcelas já descontando as abusividades e os valores já pagos. 
</t>
      </text>
    </comment>
    <comment ref="G122" authorId="0" shapeId="0">
      <text>
        <t>NÃO DIGITAR.</t>
      </text>
    </comment>
    <comment ref="AH122" authorId="0" shapeId="0">
      <text>
        <t>NÃO DIGITAR.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.200\Calc\Daniel\46-2004%20-%20Anexos\46-2004%20-%20Anexos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Micro-1\recepcao\Meus%20documentos\COPA\1999\XLS\compu-4077-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0.1\pericia_auditoria\Meus%20documentos\COPA\1999\XLS\compu-4077-1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Lxserver\Mois&#233;s\Laudos%20Feitos\Contas%20Correntes\0224_2008\0224.2008%20alecio%20&amp;%20araujo%20x%20banco%20brasil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0.1.0.1\pericia_auditoria\a---Pericias-Judiciais\Forum-Estadual\Londrina\2&#172;-Vara-Civel\50156-2011---Terezinha-Meli-x-Banestado\50156-11---Anexos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Micro-1\recepcao\a---Auditoria%20Financeira%20e%20C&#225;lculos\Sebasti&#227;o%20Mattos\Edson%20Y%20Aoki%20x%20Bradesco\Parecer%20Assist.%20T&#233;cnico\WINDOWS\TEMP\cac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Relat&#243;rio%20de%20Infla&#231;&#227;o/2010/1mar&#231;o/Dimob/Graficos%20enviados/Cap%203.2%20Gr&#225;f%20-%20Emiss&#245;es%20prim&#225;rias%20no%20mercado%20de%20capitais%20XXXXXX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Dimob/Nota%20para%20imprensa/Para%20a%20COPIN/2012/08/Notimp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Micro-1\recepcao\a---Auditoria%20Financeira%20e%20C&#225;lculos\Sebasti&#227;o%20Mattos\Edson%20Y%20Aoki%20x%20Bradesco\Parecer%20Assist.%20T&#233;cnico\WINDOWS\TEMP\Tabdiv.tab" TargetMode="External" Id="rId1"/></Relationships>
</file>

<file path=xl/externalLinks/_rels/externalLink10.xml.rels><Relationships xmlns="http://schemas.openxmlformats.org/package/2006/relationships"><Relationship Type="http://schemas.microsoft.com/office/2006/relationships/xlExternalLinkPath/xlPathMissing" Target="ANEXO%20LXI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10.1.0.1\pericia_auditoria\a---Pericias-Judiciais\Forum-Estadual\Londrina\2&#172;-Vara-Civel\2180-2009---Alipio-Souza-X-Banco-Estado-PR\2180-09---Anexo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gestões"/>
      <sheetName val="Anexo I"/>
      <sheetName val="Anexo I (2)"/>
      <sheetName val="historico"/>
      <sheetName val="Anexo II"/>
      <sheetName val="Anexo III"/>
      <sheetName val="IGPM"/>
      <sheetName val="INPC"/>
      <sheetName val="gráfico"/>
      <sheetName val="A - SÓ INPC + 12% aa"/>
      <sheetName val="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CIBO"/>
      <sheetName val="AUTORES"/>
      <sheetName val="AUTOR 1"/>
      <sheetName val="AUTOR 2"/>
      <sheetName val="AUTOR 3"/>
      <sheetName val="AUTOR 4"/>
      <sheetName val="AUTOR 5"/>
      <sheetName val="AUTOR 6"/>
      <sheetName val="AUTOR 7"/>
      <sheetName val="AUTOR 8"/>
      <sheetName val="AUTOR 9"/>
      <sheetName val="AUTOR 10"/>
      <sheetName val="HONORÁRIOS"/>
      <sheetName val="RESUMO"/>
      <sheetName val="DADOS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A - SÓ INPC + 12% aa"/>
      <sheetName val="MOV. 18.4 "/>
      <sheetName val="Planilha1"/>
      <sheetName val="w- juiz "/>
      <sheetName val="w- honorários adv"/>
      <sheetName val="w-custas--não utilizada"/>
      <sheetName val="INPC 11-2016"/>
      <sheetName val="20749-aquisição-veículo"/>
      <sheetName val="INPC 05-2019"/>
      <sheetName val="Planilha3"/>
      <sheetName val="Anexo A"/>
      <sheetName val="Anexo B "/>
      <sheetName val="Anexo C"/>
      <sheetName val="Anexo B teste "/>
      <sheetName val="conta grafica "/>
      <sheetName val="Table 5"/>
      <sheetName val="mov. 17"/>
      <sheetName val="Planilha2"/>
      <sheetName val="cal ré"/>
      <sheetName val="cal auto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CIBO"/>
      <sheetName val="AUTORES"/>
      <sheetName val="AUTOR 1"/>
      <sheetName val="AUTOR 2"/>
      <sheetName val="AUTOR 3"/>
      <sheetName val="AUTOR 4"/>
      <sheetName val="AUTOR 5"/>
      <sheetName val="AUTOR 6"/>
      <sheetName val="AUTOR 7"/>
      <sheetName val="AUTOR 8"/>
      <sheetName val="AUTOR 9"/>
      <sheetName val="AUTOR 10"/>
      <sheetName val="HONORÁRIOS"/>
      <sheetName val="RESUMO"/>
      <sheetName val="DADOS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exo A"/>
      <sheetName val="Anexo B"/>
      <sheetName val="Anexo C"/>
      <sheetName val="Anexo D"/>
      <sheetName val="Anexo E"/>
      <sheetName val="Anexo F"/>
      <sheetName val="Anexo G"/>
      <sheetName val="Anexo H"/>
      <sheetName val="Anexo I - TJ-PR"/>
      <sheetName val="Indices e Fatores utilizados"/>
      <sheetName val="Anexo I"/>
      <sheetName val="Anexo II"/>
      <sheetName val="Tabela Dollar"/>
      <sheetName val="Anexo  I"/>
      <sheetName val="TAB1 - URV"/>
      <sheetName val="TAB2 - BTNF"/>
      <sheetName val="TAB7 - BTNF_TRD"/>
      <sheetName val="TAB3 - Poupança"/>
      <sheetName val="TAB4 - ORTN,OTN,BTN,TR"/>
      <sheetName val="Poup. Índices por Dia"/>
      <sheetName val="TAB 6 -Tabela do Tribunal - SP"/>
      <sheetName val="TAB13 - Tabela Tribunal Paraná"/>
      <sheetName val="Tabela do Tribunal - RS"/>
      <sheetName val="TAB 10 - Tabela do Tribunal RJ"/>
      <sheetName val="TAB 10 - Expurgos I"/>
      <sheetName val="TAB 10 - Expurgos II"/>
      <sheetName val="Justiça Estadual MG - TABMG"/>
      <sheetName val="TAB 8 - FED - Rep. Ind. Tribut."/>
      <sheetName val="TAB11 - Fed. - A. Cond. Geral"/>
      <sheetName val="TAB12 - FED - Desaprop. Diretas"/>
      <sheetName val="Fed. - Expurgos Inflacionários"/>
      <sheetName val="Inflação"/>
      <sheetName val="Índice Mensal"/>
      <sheetName val="Índice Diário"/>
      <sheetName val="Moeda"/>
      <sheetName val="Índice de Dias Úteis"/>
      <sheetName val="TR Pro-Rata"/>
      <sheetName val="SELIC"/>
      <sheetName val="Selic - Explicação dos Expurgos"/>
      <sheetName val="Selic - Expurgos Inflacionários"/>
      <sheetName val="TR - Variação Diária Simples"/>
      <sheetName val="INPC - Variação Diária Simples"/>
    </sheetNames>
    <sheetDataSet>
      <sheetData sheetId="0"/>
      <sheetData sheetId="1"/>
      <sheetData sheetId="2">
        <row r="1">
          <cell r="A1">
            <v>35033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>
            <v>35033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w-quadros"/>
      <sheetName val="w-resumofinal"/>
      <sheetName val="w-Tx cobrada x média"/>
      <sheetName val="Anexo A"/>
      <sheetName val="Anexo B"/>
      <sheetName val="Anexo C"/>
      <sheetName val="auxiliar - digitação"/>
      <sheetName val="aux-fórum -11-2001"/>
      <sheetName val="aux-fórum -03-2014"/>
      <sheetName val="auxiliar - IOF"/>
      <sheetName val="aux-Taxas médias CH espe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TNF_TRD"/>
      <sheetName val="Tabela Dollar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dos"/>
      <sheetName val="Relat Inf 0009 - graf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uadro 1"/>
      <sheetName val="Quadro 2"/>
      <sheetName val="Quadro 3"/>
      <sheetName val="Quadro 4"/>
      <sheetName val="Quadro 5"/>
      <sheetName val="Quadro 6"/>
      <sheetName val="Quadro 6a"/>
      <sheetName val="Quadro 7"/>
      <sheetName val="Quadro 8"/>
      <sheetName val="Quadro 8a"/>
      <sheetName val="Quadro 9"/>
      <sheetName val="Quadro 9a"/>
      <sheetName val="Quadro 9b"/>
      <sheetName val="Quadro 10"/>
      <sheetName val="Quadro 10a"/>
      <sheetName val="Quadro 10b"/>
      <sheetName val="Quadro 11"/>
      <sheetName val="Quadro 11a"/>
      <sheetName val="Quadro 12"/>
      <sheetName val="Quadro 13"/>
      <sheetName val="Quadro 14"/>
      <sheetName val="Quadro 15"/>
      <sheetName val="Quadro 16"/>
      <sheetName val="Quadro 17"/>
      <sheetName val="Quadro 18"/>
      <sheetName val="Quadro 19"/>
      <sheetName val="Quadro 20"/>
      <sheetName val="Quadro 21"/>
      <sheetName val="Quadro 22"/>
      <sheetName val="Quadro 23"/>
      <sheetName val="Quadro 24"/>
      <sheetName val="Quadro 25"/>
      <sheetName val="Quadro 26"/>
      <sheetName val="Quadro 27"/>
      <sheetName val="Quadro 29"/>
      <sheetName val="Quadro 30"/>
      <sheetName val="Quadro 31"/>
      <sheetName val="Quadro 32"/>
      <sheetName val="Quadro 33"/>
      <sheetName val="Quadro 34"/>
      <sheetName val="Quadro 35"/>
      <sheetName val="Quadro 36"/>
      <sheetName val="Quadro 37"/>
      <sheetName val="Quadro 38"/>
      <sheetName val="Quadro 39"/>
      <sheetName val="Quadro 40"/>
      <sheetName val="Quadro 41"/>
      <sheetName val="Quadro 42"/>
      <sheetName val="Quadro 43"/>
      <sheetName val="Quadro 44"/>
      <sheetName val="Quadro 45"/>
      <sheetName val="Quadro 46"/>
      <sheetName val="Quadro 47"/>
      <sheetName val="Quadro 48"/>
      <sheetName val="Quadro 49"/>
      <sheetName val="Quadro 49a"/>
      <sheetName val="Quadro 50"/>
      <sheetName val="Quadro 51"/>
      <sheetName val="Quadro 52"/>
      <sheetName val="Quadro 53"/>
      <sheetName val="Quadro 54"/>
      <sheetName val="Quadro 55"/>
      <sheetName val="Quadro 56"/>
      <sheetName val="Table 22"/>
      <sheetName val="Quadro 28"/>
      <sheetName val="Relat Inf 0009 - gr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alário Mínimo"/>
      <sheetName val="Relat Inf 0009 - graf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NEXO LXIX"/>
      <sheetName val="TAB1 - URV"/>
      <sheetName val="TAB2 - BTNF"/>
      <sheetName val="TAB3 - Poupança"/>
      <sheetName val="TAB4 - ORTN,OTN,BTN,TR"/>
      <sheetName val="TAB5 - Poupança SFH"/>
      <sheetName val="Tabela de Expurgos"/>
      <sheetName val="Poup. Índices por Dia"/>
      <sheetName val="Poup. Índices por Mês"/>
      <sheetName val="TAB 6 -Tabela do Tribunal (AMC)"/>
      <sheetName val="TAB 7 -Tabela da Justiça Fed-SP"/>
      <sheetName val="Inflação"/>
      <sheetName val="Índice Mensal"/>
      <sheetName val="Índice Diário"/>
      <sheetName val="Moeda"/>
      <sheetName val="Índice de Dias Úteis"/>
      <sheetName val="TR Pro-Rata"/>
      <sheetName val="PESCP"/>
      <sheetName val="Lista de E-Mail"/>
      <sheetName val="TAB7 - BTNF_TRD"/>
      <sheetName val="TAB 6 -Tabela do Tribunal - SP"/>
      <sheetName val="TAB 6A - Tribunal SEM EXPURGOS"/>
      <sheetName val="TAB 6B - Tribunal COM EXPURGOS"/>
      <sheetName val="TAB 8 - Fed. - Rep. de Indébito"/>
      <sheetName val="TAB 9 - Fed. - Proc.Expropriat."/>
      <sheetName val="TAB 10 - Tabela do Tribunal RJ"/>
      <sheetName val="Justiça Estadual MG - TABMG"/>
      <sheetName val="SELIC"/>
      <sheetName val="Tabela do Tribunal do Paraná"/>
      <sheetName val="TAB 10 - Expurgos I"/>
      <sheetName val="TAB 10 - Expurgos II"/>
      <sheetName val="TAB 8 - FED - Rep. Ind. Tribut."/>
      <sheetName val="TAB11 - Fed. - A. Cond. Geral"/>
      <sheetName val="TAB12 - FED - Desaprop. Diretas"/>
      <sheetName val="Fed. - Expurgos Inflacionários"/>
      <sheetName val="Selic - Explicação dos Expurgos"/>
      <sheetName val="Selic - Expurgos Inflacionários"/>
      <sheetName val="Quadro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uxiliar - digitação"/>
      <sheetName val="w-resumo"/>
      <sheetName val="w-comparativo"/>
      <sheetName val="Anexo A"/>
      <sheetName val="Anexo B"/>
      <sheetName val="Anexo C"/>
      <sheetName val="w-resumo-final"/>
      <sheetName val="INPC"/>
      <sheetName val="aux-fórum -05-2013"/>
      <sheetName val="aux-Taxas médias CH especial"/>
      <sheetName val="auxiliar - IOF"/>
      <sheetName val="aux INPC 12-2012"/>
      <sheetName val="aux-forum 11-2001"/>
      <sheetName val="aux cabeçalho nao deletar"/>
      <sheetName val="Salário Mínimo"/>
    </sheetNames>
    <sheetDataSet>
      <sheetData sheetId="0"/>
      <sheetData sheetId="1"/>
      <sheetData sheetId="2"/>
      <sheetData sheetId="3">
        <row r="1228">
          <cell r="BB1228">
            <v>2.2759902157970666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566" t="inlineStr">
        <is>
          <t>Campo</t>
        </is>
      </c>
      <c r="B1" s="566" t="inlineStr">
        <is>
          <t>Valor</t>
        </is>
      </c>
    </row>
    <row r="2">
      <c r="A2" s="567" t="inlineStr">
        <is>
          <t>Título da operação</t>
        </is>
      </c>
      <c r="B2" s="568" t="n"/>
    </row>
    <row r="3">
      <c r="A3" s="567" t="inlineStr">
        <is>
          <t>Data de emissão</t>
        </is>
      </c>
      <c r="B3" s="569" t="n"/>
    </row>
    <row r="4">
      <c r="A4" s="567" t="inlineStr">
        <is>
          <t>1º vencimento</t>
        </is>
      </c>
      <c r="B4" s="569" t="n"/>
    </row>
    <row r="5">
      <c r="A5" s="567" t="inlineStr">
        <is>
          <t>Último vencimento</t>
        </is>
      </c>
      <c r="B5" s="569" t="n"/>
    </row>
    <row r="6">
      <c r="A6" s="567" t="inlineStr">
        <is>
          <t>Valor principal</t>
        </is>
      </c>
      <c r="B6" s="570" t="n"/>
    </row>
    <row r="7">
      <c r="A7" s="567" t="inlineStr">
        <is>
          <t>TAC / tarifas</t>
        </is>
      </c>
      <c r="B7" s="570" t="n"/>
    </row>
    <row r="8">
      <c r="A8" s="567" t="inlineStr">
        <is>
          <t>IOF</t>
        </is>
      </c>
      <c r="B8" s="570" t="n"/>
    </row>
    <row r="9">
      <c r="A9" s="567" t="inlineStr">
        <is>
          <t>Quantidade de parcelas</t>
        </is>
      </c>
      <c r="B9" s="571" t="n"/>
    </row>
    <row r="10">
      <c r="A10" s="567" t="inlineStr">
        <is>
          <t>Valor da prestação</t>
        </is>
      </c>
      <c r="B10" s="570" t="n"/>
    </row>
    <row r="11">
      <c r="A11" s="567" t="inlineStr">
        <is>
          <t>Taxa pactuada (mensal)</t>
        </is>
      </c>
      <c r="B11" s="572" t="n"/>
    </row>
    <row r="12">
      <c r="A12" s="567" t="inlineStr">
        <is>
          <t>Taxa BACEN (mensal)</t>
        </is>
      </c>
      <c r="B12" s="572" t="n"/>
    </row>
    <row r="13">
      <c r="A13" s="567" t="inlineStr">
        <is>
          <t>Parcelas pagas</t>
        </is>
      </c>
      <c r="B13" s="571" t="n"/>
    </row>
    <row r="14">
      <c r="A14" s="567" t="inlineStr">
        <is>
          <t>Data do cálculo</t>
        </is>
      </c>
      <c r="B14" s="56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L163"/>
  <sheetViews>
    <sheetView showGridLines="0" tabSelected="1" zoomScale="87" zoomScaleNormal="87" workbookViewId="0">
      <selection activeCell="AP17" sqref="AP17:AZ17"/>
    </sheetView>
  </sheetViews>
  <sheetFormatPr baseColWidth="8" defaultColWidth="0.7109375" defaultRowHeight="13.5"/>
  <cols>
    <col width="3.42578125" customWidth="1" style="1" min="1" max="1"/>
    <col width="1" customWidth="1" style="1" min="2" max="2"/>
    <col width="21.140625" customWidth="1" style="1" min="3" max="3"/>
    <col hidden="1" width="1" customWidth="1" style="1" min="4" max="4"/>
    <col width="1" customWidth="1" style="1" min="5" max="6"/>
    <col width="10.42578125" customWidth="1" style="1" min="7" max="7"/>
    <col width="0.7109375" customWidth="1" style="1" min="8" max="8"/>
    <col width="1.5703125" customWidth="1" style="1" min="9" max="9"/>
    <col width="0.7109375" customWidth="1" style="1" min="10" max="11"/>
    <col width="3.28515625" customWidth="1" style="1" min="12" max="12"/>
    <col width="0.7109375" customWidth="1" style="1" min="13" max="14"/>
    <col width="2.140625" customWidth="1" style="1" min="15" max="15"/>
    <col width="0.7109375" customWidth="1" style="1" min="16" max="16"/>
    <col width="1.5703125" customWidth="1" style="1" min="17" max="17"/>
    <col width="0.7109375" customWidth="1" style="1" min="18" max="18"/>
    <col width="8.28515625" customWidth="1" style="1" min="19" max="19"/>
    <col width="0.7109375" customWidth="1" style="1" min="20" max="20"/>
    <col width="2.42578125" customWidth="1" style="1" min="21" max="21"/>
    <col width="0.7109375" customWidth="1" style="1" min="22" max="22"/>
    <col width="1.5703125" customWidth="1" style="1" min="23" max="23"/>
    <col width="0.7109375" customWidth="1" style="1" min="24" max="24"/>
    <col width="8.5703125" customWidth="1" style="1" min="25" max="25"/>
    <col width="0.7109375" customWidth="1" style="1" min="26" max="28"/>
    <col width="0.42578125" customWidth="1" style="1" min="29" max="29"/>
    <col width="12.7109375" customWidth="1" style="1" min="30" max="30"/>
    <col width="0.7109375" customWidth="1" style="1" min="31" max="31"/>
    <col width="2.28515625" customWidth="1" style="1" min="32" max="32"/>
    <col width="0.7109375" customWidth="1" style="1" min="33" max="33"/>
    <col width="13.5703125" customWidth="1" style="1" min="34" max="34"/>
    <col width="0.7109375" customWidth="1" style="1" min="35" max="35"/>
    <col width="1.5703125" customWidth="1" style="1" min="36" max="36"/>
    <col width="0.7109375" customWidth="1" style="1" min="37" max="40"/>
    <col width="4" customWidth="1" style="1" min="41" max="41"/>
    <col width="2.140625" customWidth="1" style="1" min="42" max="42"/>
    <col width="0.7109375" customWidth="1" style="1" min="43" max="43"/>
    <col width="1.5703125" customWidth="1" style="1" min="44" max="44"/>
    <col width="0.7109375" customWidth="1" style="1" min="45" max="45"/>
    <col width="7" customWidth="1" style="1" min="46" max="46"/>
    <col width="0.7109375" customWidth="1" style="1" min="47" max="47"/>
    <col width="2.28515625" customWidth="1" style="1" min="48" max="48"/>
    <col width="0.7109375" customWidth="1" style="1" min="49" max="49"/>
    <col width="1.5703125" customWidth="1" style="1" min="50" max="50"/>
    <col width="0.7109375" customWidth="1" style="1" min="51" max="51"/>
    <col width="7.7109375" customWidth="1" style="1" min="52" max="52"/>
    <col width="0.7109375" customWidth="1" style="1" min="53" max="54"/>
    <col width="0.5703125" customWidth="1" style="1" min="55" max="55"/>
    <col hidden="1" width="0.7109375" customWidth="1" style="1" min="56" max="56"/>
    <col width="21" customWidth="1" style="1" min="57" max="57"/>
    <col hidden="1" width="0.7109375" customWidth="1" style="1" min="58" max="58"/>
    <col width="2.28515625" customWidth="1" style="1" min="59" max="59"/>
    <col width="4.42578125" customWidth="1" style="1" min="60" max="60"/>
    <col width="1.7109375" customWidth="1" style="1" min="61" max="61"/>
    <col hidden="1" width="7.42578125" customWidth="1" style="1" min="62" max="62"/>
    <col width="3.7109375" customWidth="1" style="1" min="63" max="63"/>
    <col width="4.5703125" customWidth="1" style="1" min="64" max="64"/>
    <col width="0.7109375" customWidth="1" style="1" min="65" max="65"/>
    <col width="1.5703125" customWidth="1" style="1" min="66" max="66"/>
    <col width="0.7109375" customWidth="1" style="1" min="67" max="71"/>
    <col width="2.140625" customWidth="1" style="1" min="72" max="72"/>
    <col width="0.7109375" customWidth="1" style="1" min="73" max="73"/>
    <col width="1.5703125" customWidth="1" style="1" min="74" max="74"/>
    <col width="0.7109375" customWidth="1" style="1" min="75" max="75"/>
    <col width="4.42578125" customWidth="1" style="1" min="76" max="76"/>
    <col width="0.7109375" customWidth="1" style="1" min="77" max="77"/>
    <col width="4" customWidth="1" style="1" min="78" max="78"/>
    <col width="0.7109375" customWidth="1" style="1" min="79" max="79"/>
    <col width="1.5703125" customWidth="1" style="1" min="80" max="80"/>
    <col width="0.7109375" customWidth="1" style="1" min="81" max="81"/>
    <col width="10" bestFit="1" customWidth="1" style="1" min="82" max="82"/>
    <col width="12.5703125" customWidth="1" style="3" min="83" max="83"/>
    <col width="0.7109375" customWidth="1" style="1" min="84" max="86"/>
    <col width="12.42578125" customWidth="1" style="5" min="87" max="87"/>
    <col width="6.28515625" customWidth="1" style="1" min="88" max="88"/>
    <col width="12.5703125" customWidth="1" style="3" min="89" max="89"/>
    <col width="13.28515625" customWidth="1" style="5" min="90" max="90"/>
    <col width="0.7109375" customWidth="1" style="1" min="91" max="303"/>
    <col width="3.42578125" customWidth="1" style="1" min="304" max="304"/>
    <col width="2.42578125" customWidth="1" style="1" min="305" max="305"/>
    <col width="7" customWidth="1" style="1" min="306" max="306"/>
    <col width="0.7109375" customWidth="1" style="1" min="307" max="307"/>
    <col width="1.5703125" customWidth="1" style="1" min="308" max="308"/>
    <col width="0.7109375" customWidth="1" style="1" min="309" max="309"/>
    <col width="11.28515625" customWidth="1" style="1" min="310" max="310"/>
    <col width="0.7109375" customWidth="1" style="1" min="311" max="311"/>
    <col width="1.5703125" customWidth="1" style="1" min="312" max="312"/>
    <col width="0.7109375" customWidth="1" style="1" min="313" max="317"/>
    <col width="2.140625" customWidth="1" style="1" min="318" max="318"/>
    <col width="0.7109375" customWidth="1" style="1" min="319" max="319"/>
    <col width="1.5703125" customWidth="1" style="1" min="320" max="320"/>
    <col width="0.7109375" customWidth="1" style="1" min="321" max="321"/>
    <col width="7" bestFit="1" customWidth="1" style="1" min="322" max="322"/>
    <col width="0.7109375" customWidth="1" style="1" min="323" max="323"/>
    <col width="4" customWidth="1" style="1" min="324" max="324"/>
    <col width="0.7109375" customWidth="1" style="1" min="325" max="325"/>
    <col width="1.5703125" customWidth="1" style="1" min="326" max="326"/>
    <col width="0.7109375" customWidth="1" style="1" min="327" max="327"/>
    <col width="7" bestFit="1" customWidth="1" style="1" min="328" max="328"/>
    <col width="0.7109375" customWidth="1" style="1" min="329" max="331"/>
    <col width="2.42578125" customWidth="1" style="1" min="332" max="332"/>
    <col width="0.7109375" customWidth="1" style="1" min="333" max="338"/>
    <col width="16.5703125" customWidth="1" style="1" min="339" max="339"/>
    <col width="0.7109375" customWidth="1" style="1" min="340" max="342"/>
    <col width="9.85546875" bestFit="1" customWidth="1" style="1" min="343" max="343"/>
    <col width="9.28515625" customWidth="1" style="1" min="344" max="346"/>
    <col width="0.7109375" customWidth="1" style="1" min="347" max="559"/>
    <col width="3.42578125" customWidth="1" style="1" min="560" max="560"/>
    <col width="2.42578125" customWidth="1" style="1" min="561" max="561"/>
    <col width="7" customWidth="1" style="1" min="562" max="562"/>
    <col width="0.7109375" customWidth="1" style="1" min="563" max="563"/>
    <col width="1.5703125" customWidth="1" style="1" min="564" max="564"/>
    <col width="0.7109375" customWidth="1" style="1" min="565" max="565"/>
    <col width="11.28515625" customWidth="1" style="1" min="566" max="566"/>
    <col width="0.7109375" customWidth="1" style="1" min="567" max="567"/>
    <col width="1.5703125" customWidth="1" style="1" min="568" max="568"/>
    <col width="0.7109375" customWidth="1" style="1" min="569" max="573"/>
    <col width="2.140625" customWidth="1" style="1" min="574" max="574"/>
    <col width="0.7109375" customWidth="1" style="1" min="575" max="575"/>
    <col width="1.5703125" customWidth="1" style="1" min="576" max="576"/>
    <col width="0.7109375" customWidth="1" style="1" min="577" max="577"/>
    <col width="7" bestFit="1" customWidth="1" style="1" min="578" max="578"/>
    <col width="0.7109375" customWidth="1" style="1" min="579" max="579"/>
    <col width="4" customWidth="1" style="1" min="580" max="580"/>
    <col width="0.7109375" customWidth="1" style="1" min="581" max="581"/>
    <col width="1.5703125" customWidth="1" style="1" min="582" max="582"/>
    <col width="0.7109375" customWidth="1" style="1" min="583" max="583"/>
    <col width="7" bestFit="1" customWidth="1" style="1" min="584" max="584"/>
    <col width="0.7109375" customWidth="1" style="1" min="585" max="587"/>
    <col width="2.42578125" customWidth="1" style="1" min="588" max="588"/>
    <col width="0.7109375" customWidth="1" style="1" min="589" max="594"/>
    <col width="16.5703125" customWidth="1" style="1" min="595" max="595"/>
    <col width="0.7109375" customWidth="1" style="1" min="596" max="598"/>
    <col width="9.85546875" bestFit="1" customWidth="1" style="1" min="599" max="599"/>
    <col width="9.28515625" customWidth="1" style="1" min="600" max="602"/>
    <col width="0.7109375" customWidth="1" style="1" min="603" max="815"/>
    <col width="3.42578125" customWidth="1" style="1" min="816" max="816"/>
    <col width="2.42578125" customWidth="1" style="1" min="817" max="817"/>
    <col width="7" customWidth="1" style="1" min="818" max="818"/>
    <col width="0.7109375" customWidth="1" style="1" min="819" max="819"/>
    <col width="1.5703125" customWidth="1" style="1" min="820" max="820"/>
    <col width="0.7109375" customWidth="1" style="1" min="821" max="821"/>
    <col width="11.28515625" customWidth="1" style="1" min="822" max="822"/>
    <col width="0.7109375" customWidth="1" style="1" min="823" max="823"/>
    <col width="1.5703125" customWidth="1" style="1" min="824" max="824"/>
    <col width="0.7109375" customWidth="1" style="1" min="825" max="829"/>
    <col width="2.140625" customWidth="1" style="1" min="830" max="830"/>
    <col width="0.7109375" customWidth="1" style="1" min="831" max="831"/>
    <col width="1.5703125" customWidth="1" style="1" min="832" max="832"/>
    <col width="0.7109375" customWidth="1" style="1" min="833" max="833"/>
    <col width="7" bestFit="1" customWidth="1" style="1" min="834" max="834"/>
    <col width="0.7109375" customWidth="1" style="1" min="835" max="835"/>
    <col width="4" customWidth="1" style="1" min="836" max="836"/>
    <col width="0.7109375" customWidth="1" style="1" min="837" max="837"/>
    <col width="1.5703125" customWidth="1" style="1" min="838" max="838"/>
    <col width="0.7109375" customWidth="1" style="1" min="839" max="839"/>
    <col width="7" bestFit="1" customWidth="1" style="1" min="840" max="840"/>
    <col width="0.7109375" customWidth="1" style="1" min="841" max="843"/>
    <col width="2.42578125" customWidth="1" style="1" min="844" max="844"/>
    <col width="0.7109375" customWidth="1" style="1" min="845" max="850"/>
    <col width="16.5703125" customWidth="1" style="1" min="851" max="851"/>
    <col width="0.7109375" customWidth="1" style="1" min="852" max="854"/>
    <col width="9.85546875" bestFit="1" customWidth="1" style="1" min="855" max="855"/>
    <col width="9.28515625" customWidth="1" style="1" min="856" max="858"/>
    <col width="0.7109375" customWidth="1" style="1" min="859" max="1071"/>
    <col width="3.42578125" customWidth="1" style="1" min="1072" max="1072"/>
    <col width="2.42578125" customWidth="1" style="1" min="1073" max="1073"/>
    <col width="7" customWidth="1" style="1" min="1074" max="1074"/>
    <col width="0.7109375" customWidth="1" style="1" min="1075" max="1075"/>
    <col width="1.5703125" customWidth="1" style="1" min="1076" max="1076"/>
    <col width="0.7109375" customWidth="1" style="1" min="1077" max="1077"/>
    <col width="11.28515625" customWidth="1" style="1" min="1078" max="1078"/>
    <col width="0.7109375" customWidth="1" style="1" min="1079" max="1079"/>
    <col width="1.5703125" customWidth="1" style="1" min="1080" max="1080"/>
    <col width="0.7109375" customWidth="1" style="1" min="1081" max="1085"/>
    <col width="2.140625" customWidth="1" style="1" min="1086" max="1086"/>
    <col width="0.7109375" customWidth="1" style="1" min="1087" max="1087"/>
    <col width="1.5703125" customWidth="1" style="1" min="1088" max="1088"/>
    <col width="0.7109375" customWidth="1" style="1" min="1089" max="1089"/>
    <col width="7" bestFit="1" customWidth="1" style="1" min="1090" max="1090"/>
    <col width="0.7109375" customWidth="1" style="1" min="1091" max="1091"/>
    <col width="4" customWidth="1" style="1" min="1092" max="1092"/>
    <col width="0.7109375" customWidth="1" style="1" min="1093" max="1093"/>
    <col width="1.5703125" customWidth="1" style="1" min="1094" max="1094"/>
    <col width="0.7109375" customWidth="1" style="1" min="1095" max="1095"/>
    <col width="7" bestFit="1" customWidth="1" style="1" min="1096" max="1096"/>
    <col width="0.7109375" customWidth="1" style="1" min="1097" max="1099"/>
    <col width="2.42578125" customWidth="1" style="1" min="1100" max="1100"/>
    <col width="0.7109375" customWidth="1" style="1" min="1101" max="1106"/>
    <col width="16.5703125" customWidth="1" style="1" min="1107" max="1107"/>
    <col width="0.7109375" customWidth="1" style="1" min="1108" max="1110"/>
    <col width="9.85546875" bestFit="1" customWidth="1" style="1" min="1111" max="1111"/>
    <col width="9.28515625" customWidth="1" style="1" min="1112" max="1114"/>
    <col width="0.7109375" customWidth="1" style="1" min="1115" max="1327"/>
    <col width="3.42578125" customWidth="1" style="1" min="1328" max="1328"/>
    <col width="2.42578125" customWidth="1" style="1" min="1329" max="1329"/>
    <col width="7" customWidth="1" style="1" min="1330" max="1330"/>
    <col width="0.7109375" customWidth="1" style="1" min="1331" max="1331"/>
    <col width="1.5703125" customWidth="1" style="1" min="1332" max="1332"/>
    <col width="0.7109375" customWidth="1" style="1" min="1333" max="1333"/>
    <col width="11.28515625" customWidth="1" style="1" min="1334" max="1334"/>
    <col width="0.7109375" customWidth="1" style="1" min="1335" max="1335"/>
    <col width="1.5703125" customWidth="1" style="1" min="1336" max="1336"/>
    <col width="0.7109375" customWidth="1" style="1" min="1337" max="1341"/>
    <col width="2.140625" customWidth="1" style="1" min="1342" max="1342"/>
    <col width="0.7109375" customWidth="1" style="1" min="1343" max="1343"/>
    <col width="1.5703125" customWidth="1" style="1" min="1344" max="1344"/>
    <col width="0.7109375" customWidth="1" style="1" min="1345" max="1345"/>
    <col width="7" bestFit="1" customWidth="1" style="1" min="1346" max="1346"/>
    <col width="0.7109375" customWidth="1" style="1" min="1347" max="1347"/>
    <col width="4" customWidth="1" style="1" min="1348" max="1348"/>
    <col width="0.7109375" customWidth="1" style="1" min="1349" max="1349"/>
    <col width="1.5703125" customWidth="1" style="1" min="1350" max="1350"/>
    <col width="0.7109375" customWidth="1" style="1" min="1351" max="1351"/>
    <col width="7" bestFit="1" customWidth="1" style="1" min="1352" max="1352"/>
    <col width="0.7109375" customWidth="1" style="1" min="1353" max="1355"/>
    <col width="2.42578125" customWidth="1" style="1" min="1356" max="1356"/>
    <col width="0.7109375" customWidth="1" style="1" min="1357" max="1362"/>
    <col width="16.5703125" customWidth="1" style="1" min="1363" max="1363"/>
    <col width="0.7109375" customWidth="1" style="1" min="1364" max="1366"/>
    <col width="9.85546875" bestFit="1" customWidth="1" style="1" min="1367" max="1367"/>
    <col width="9.28515625" customWidth="1" style="1" min="1368" max="1370"/>
    <col width="0.7109375" customWidth="1" style="1" min="1371" max="1583"/>
    <col width="3.42578125" customWidth="1" style="1" min="1584" max="1584"/>
    <col width="2.42578125" customWidth="1" style="1" min="1585" max="1585"/>
    <col width="7" customWidth="1" style="1" min="1586" max="1586"/>
    <col width="0.7109375" customWidth="1" style="1" min="1587" max="1587"/>
    <col width="1.5703125" customWidth="1" style="1" min="1588" max="1588"/>
    <col width="0.7109375" customWidth="1" style="1" min="1589" max="1589"/>
    <col width="11.28515625" customWidth="1" style="1" min="1590" max="1590"/>
    <col width="0.7109375" customWidth="1" style="1" min="1591" max="1591"/>
    <col width="1.5703125" customWidth="1" style="1" min="1592" max="1592"/>
    <col width="0.7109375" customWidth="1" style="1" min="1593" max="1597"/>
    <col width="2.140625" customWidth="1" style="1" min="1598" max="1598"/>
    <col width="0.7109375" customWidth="1" style="1" min="1599" max="1599"/>
    <col width="1.5703125" customWidth="1" style="1" min="1600" max="1600"/>
    <col width="0.7109375" customWidth="1" style="1" min="1601" max="1601"/>
    <col width="7" bestFit="1" customWidth="1" style="1" min="1602" max="1602"/>
    <col width="0.7109375" customWidth="1" style="1" min="1603" max="1603"/>
    <col width="4" customWidth="1" style="1" min="1604" max="1604"/>
    <col width="0.7109375" customWidth="1" style="1" min="1605" max="1605"/>
    <col width="1.5703125" customWidth="1" style="1" min="1606" max="1606"/>
    <col width="0.7109375" customWidth="1" style="1" min="1607" max="1607"/>
    <col width="7" bestFit="1" customWidth="1" style="1" min="1608" max="1608"/>
    <col width="0.7109375" customWidth="1" style="1" min="1609" max="1611"/>
    <col width="2.42578125" customWidth="1" style="1" min="1612" max="1612"/>
    <col width="0.7109375" customWidth="1" style="1" min="1613" max="1618"/>
    <col width="16.5703125" customWidth="1" style="1" min="1619" max="1619"/>
    <col width="0.7109375" customWidth="1" style="1" min="1620" max="1622"/>
    <col width="9.85546875" bestFit="1" customWidth="1" style="1" min="1623" max="1623"/>
    <col width="9.28515625" customWidth="1" style="1" min="1624" max="1626"/>
    <col width="0.7109375" customWidth="1" style="1" min="1627" max="1839"/>
    <col width="3.42578125" customWidth="1" style="1" min="1840" max="1840"/>
    <col width="2.42578125" customWidth="1" style="1" min="1841" max="1841"/>
    <col width="7" customWidth="1" style="1" min="1842" max="1842"/>
    <col width="0.7109375" customWidth="1" style="1" min="1843" max="1843"/>
    <col width="1.5703125" customWidth="1" style="1" min="1844" max="1844"/>
    <col width="0.7109375" customWidth="1" style="1" min="1845" max="1845"/>
    <col width="11.28515625" customWidth="1" style="1" min="1846" max="1846"/>
    <col width="0.7109375" customWidth="1" style="1" min="1847" max="1847"/>
    <col width="1.5703125" customWidth="1" style="1" min="1848" max="1848"/>
    <col width="0.7109375" customWidth="1" style="1" min="1849" max="1853"/>
    <col width="2.140625" customWidth="1" style="1" min="1854" max="1854"/>
    <col width="0.7109375" customWidth="1" style="1" min="1855" max="1855"/>
    <col width="1.5703125" customWidth="1" style="1" min="1856" max="1856"/>
    <col width="0.7109375" customWidth="1" style="1" min="1857" max="1857"/>
    <col width="7" bestFit="1" customWidth="1" style="1" min="1858" max="1858"/>
    <col width="0.7109375" customWidth="1" style="1" min="1859" max="1859"/>
    <col width="4" customWidth="1" style="1" min="1860" max="1860"/>
    <col width="0.7109375" customWidth="1" style="1" min="1861" max="1861"/>
    <col width="1.5703125" customWidth="1" style="1" min="1862" max="1862"/>
    <col width="0.7109375" customWidth="1" style="1" min="1863" max="1863"/>
    <col width="7" bestFit="1" customWidth="1" style="1" min="1864" max="1864"/>
    <col width="0.7109375" customWidth="1" style="1" min="1865" max="1867"/>
    <col width="2.42578125" customWidth="1" style="1" min="1868" max="1868"/>
    <col width="0.7109375" customWidth="1" style="1" min="1869" max="1874"/>
    <col width="16.5703125" customWidth="1" style="1" min="1875" max="1875"/>
    <col width="0.7109375" customWidth="1" style="1" min="1876" max="1878"/>
    <col width="9.85546875" bestFit="1" customWidth="1" style="1" min="1879" max="1879"/>
    <col width="9.28515625" customWidth="1" style="1" min="1880" max="1882"/>
    <col width="0.7109375" customWidth="1" style="1" min="1883" max="2095"/>
    <col width="3.42578125" customWidth="1" style="1" min="2096" max="2096"/>
    <col width="2.42578125" customWidth="1" style="1" min="2097" max="2097"/>
    <col width="7" customWidth="1" style="1" min="2098" max="2098"/>
    <col width="0.7109375" customWidth="1" style="1" min="2099" max="2099"/>
    <col width="1.5703125" customWidth="1" style="1" min="2100" max="2100"/>
    <col width="0.7109375" customWidth="1" style="1" min="2101" max="2101"/>
    <col width="11.28515625" customWidth="1" style="1" min="2102" max="2102"/>
    <col width="0.7109375" customWidth="1" style="1" min="2103" max="2103"/>
    <col width="1.5703125" customWidth="1" style="1" min="2104" max="2104"/>
    <col width="0.7109375" customWidth="1" style="1" min="2105" max="2109"/>
    <col width="2.140625" customWidth="1" style="1" min="2110" max="2110"/>
    <col width="0.7109375" customWidth="1" style="1" min="2111" max="2111"/>
    <col width="1.5703125" customWidth="1" style="1" min="2112" max="2112"/>
    <col width="0.7109375" customWidth="1" style="1" min="2113" max="2113"/>
    <col width="7" bestFit="1" customWidth="1" style="1" min="2114" max="2114"/>
    <col width="0.7109375" customWidth="1" style="1" min="2115" max="2115"/>
    <col width="4" customWidth="1" style="1" min="2116" max="2116"/>
    <col width="0.7109375" customWidth="1" style="1" min="2117" max="2117"/>
    <col width="1.5703125" customWidth="1" style="1" min="2118" max="2118"/>
    <col width="0.7109375" customWidth="1" style="1" min="2119" max="2119"/>
    <col width="7" bestFit="1" customWidth="1" style="1" min="2120" max="2120"/>
    <col width="0.7109375" customWidth="1" style="1" min="2121" max="2123"/>
    <col width="2.42578125" customWidth="1" style="1" min="2124" max="2124"/>
    <col width="0.7109375" customWidth="1" style="1" min="2125" max="2130"/>
    <col width="16.5703125" customWidth="1" style="1" min="2131" max="2131"/>
    <col width="0.7109375" customWidth="1" style="1" min="2132" max="2134"/>
    <col width="9.85546875" bestFit="1" customWidth="1" style="1" min="2135" max="2135"/>
    <col width="9.28515625" customWidth="1" style="1" min="2136" max="2138"/>
    <col width="0.7109375" customWidth="1" style="1" min="2139" max="2351"/>
    <col width="3.42578125" customWidth="1" style="1" min="2352" max="2352"/>
    <col width="2.42578125" customWidth="1" style="1" min="2353" max="2353"/>
    <col width="7" customWidth="1" style="1" min="2354" max="2354"/>
    <col width="0.7109375" customWidth="1" style="1" min="2355" max="2355"/>
    <col width="1.5703125" customWidth="1" style="1" min="2356" max="2356"/>
    <col width="0.7109375" customWidth="1" style="1" min="2357" max="2357"/>
    <col width="11.28515625" customWidth="1" style="1" min="2358" max="2358"/>
    <col width="0.7109375" customWidth="1" style="1" min="2359" max="2359"/>
    <col width="1.5703125" customWidth="1" style="1" min="2360" max="2360"/>
    <col width="0.7109375" customWidth="1" style="1" min="2361" max="2365"/>
    <col width="2.140625" customWidth="1" style="1" min="2366" max="2366"/>
    <col width="0.7109375" customWidth="1" style="1" min="2367" max="2367"/>
    <col width="1.5703125" customWidth="1" style="1" min="2368" max="2368"/>
    <col width="0.7109375" customWidth="1" style="1" min="2369" max="2369"/>
    <col width="7" bestFit="1" customWidth="1" style="1" min="2370" max="2370"/>
    <col width="0.7109375" customWidth="1" style="1" min="2371" max="2371"/>
    <col width="4" customWidth="1" style="1" min="2372" max="2372"/>
    <col width="0.7109375" customWidth="1" style="1" min="2373" max="2373"/>
    <col width="1.5703125" customWidth="1" style="1" min="2374" max="2374"/>
    <col width="0.7109375" customWidth="1" style="1" min="2375" max="2375"/>
    <col width="7" bestFit="1" customWidth="1" style="1" min="2376" max="2376"/>
    <col width="0.7109375" customWidth="1" style="1" min="2377" max="2379"/>
    <col width="2.42578125" customWidth="1" style="1" min="2380" max="2380"/>
    <col width="0.7109375" customWidth="1" style="1" min="2381" max="2386"/>
    <col width="16.5703125" customWidth="1" style="1" min="2387" max="2387"/>
    <col width="0.7109375" customWidth="1" style="1" min="2388" max="2390"/>
    <col width="9.85546875" bestFit="1" customWidth="1" style="1" min="2391" max="2391"/>
    <col width="9.28515625" customWidth="1" style="1" min="2392" max="2394"/>
    <col width="0.7109375" customWidth="1" style="1" min="2395" max="2607"/>
    <col width="3.42578125" customWidth="1" style="1" min="2608" max="2608"/>
    <col width="2.42578125" customWidth="1" style="1" min="2609" max="2609"/>
    <col width="7" customWidth="1" style="1" min="2610" max="2610"/>
    <col width="0.7109375" customWidth="1" style="1" min="2611" max="2611"/>
    <col width="1.5703125" customWidth="1" style="1" min="2612" max="2612"/>
    <col width="0.7109375" customWidth="1" style="1" min="2613" max="2613"/>
    <col width="11.28515625" customWidth="1" style="1" min="2614" max="2614"/>
    <col width="0.7109375" customWidth="1" style="1" min="2615" max="2615"/>
    <col width="1.5703125" customWidth="1" style="1" min="2616" max="2616"/>
    <col width="0.7109375" customWidth="1" style="1" min="2617" max="2621"/>
    <col width="2.140625" customWidth="1" style="1" min="2622" max="2622"/>
    <col width="0.7109375" customWidth="1" style="1" min="2623" max="2623"/>
    <col width="1.5703125" customWidth="1" style="1" min="2624" max="2624"/>
    <col width="0.7109375" customWidth="1" style="1" min="2625" max="2625"/>
    <col width="7" bestFit="1" customWidth="1" style="1" min="2626" max="2626"/>
    <col width="0.7109375" customWidth="1" style="1" min="2627" max="2627"/>
    <col width="4" customWidth="1" style="1" min="2628" max="2628"/>
    <col width="0.7109375" customWidth="1" style="1" min="2629" max="2629"/>
    <col width="1.5703125" customWidth="1" style="1" min="2630" max="2630"/>
    <col width="0.7109375" customWidth="1" style="1" min="2631" max="2631"/>
    <col width="7" bestFit="1" customWidth="1" style="1" min="2632" max="2632"/>
    <col width="0.7109375" customWidth="1" style="1" min="2633" max="2635"/>
    <col width="2.42578125" customWidth="1" style="1" min="2636" max="2636"/>
    <col width="0.7109375" customWidth="1" style="1" min="2637" max="2642"/>
    <col width="16.5703125" customWidth="1" style="1" min="2643" max="2643"/>
    <col width="0.7109375" customWidth="1" style="1" min="2644" max="2646"/>
    <col width="9.85546875" bestFit="1" customWidth="1" style="1" min="2647" max="2647"/>
    <col width="9.28515625" customWidth="1" style="1" min="2648" max="2650"/>
    <col width="0.7109375" customWidth="1" style="1" min="2651" max="2863"/>
    <col width="3.42578125" customWidth="1" style="1" min="2864" max="2864"/>
    <col width="2.42578125" customWidth="1" style="1" min="2865" max="2865"/>
    <col width="7" customWidth="1" style="1" min="2866" max="2866"/>
    <col width="0.7109375" customWidth="1" style="1" min="2867" max="2867"/>
    <col width="1.5703125" customWidth="1" style="1" min="2868" max="2868"/>
    <col width="0.7109375" customWidth="1" style="1" min="2869" max="2869"/>
    <col width="11.28515625" customWidth="1" style="1" min="2870" max="2870"/>
    <col width="0.7109375" customWidth="1" style="1" min="2871" max="2871"/>
    <col width="1.5703125" customWidth="1" style="1" min="2872" max="2872"/>
    <col width="0.7109375" customWidth="1" style="1" min="2873" max="2877"/>
    <col width="2.140625" customWidth="1" style="1" min="2878" max="2878"/>
    <col width="0.7109375" customWidth="1" style="1" min="2879" max="2879"/>
    <col width="1.5703125" customWidth="1" style="1" min="2880" max="2880"/>
    <col width="0.7109375" customWidth="1" style="1" min="2881" max="2881"/>
    <col width="7" bestFit="1" customWidth="1" style="1" min="2882" max="2882"/>
    <col width="0.7109375" customWidth="1" style="1" min="2883" max="2883"/>
    <col width="4" customWidth="1" style="1" min="2884" max="2884"/>
    <col width="0.7109375" customWidth="1" style="1" min="2885" max="2885"/>
    <col width="1.5703125" customWidth="1" style="1" min="2886" max="2886"/>
    <col width="0.7109375" customWidth="1" style="1" min="2887" max="2887"/>
    <col width="7" bestFit="1" customWidth="1" style="1" min="2888" max="2888"/>
    <col width="0.7109375" customWidth="1" style="1" min="2889" max="2891"/>
    <col width="2.42578125" customWidth="1" style="1" min="2892" max="2892"/>
    <col width="0.7109375" customWidth="1" style="1" min="2893" max="2898"/>
    <col width="16.5703125" customWidth="1" style="1" min="2899" max="2899"/>
    <col width="0.7109375" customWidth="1" style="1" min="2900" max="2902"/>
    <col width="9.85546875" bestFit="1" customWidth="1" style="1" min="2903" max="2903"/>
    <col width="9.28515625" customWidth="1" style="1" min="2904" max="2906"/>
    <col width="0.7109375" customWidth="1" style="1" min="2907" max="3119"/>
    <col width="3.42578125" customWidth="1" style="1" min="3120" max="3120"/>
    <col width="2.42578125" customWidth="1" style="1" min="3121" max="3121"/>
    <col width="7" customWidth="1" style="1" min="3122" max="3122"/>
    <col width="0.7109375" customWidth="1" style="1" min="3123" max="3123"/>
    <col width="1.5703125" customWidth="1" style="1" min="3124" max="3124"/>
    <col width="0.7109375" customWidth="1" style="1" min="3125" max="3125"/>
    <col width="11.28515625" customWidth="1" style="1" min="3126" max="3126"/>
    <col width="0.7109375" customWidth="1" style="1" min="3127" max="3127"/>
    <col width="1.5703125" customWidth="1" style="1" min="3128" max="3128"/>
    <col width="0.7109375" customWidth="1" style="1" min="3129" max="3133"/>
    <col width="2.140625" customWidth="1" style="1" min="3134" max="3134"/>
    <col width="0.7109375" customWidth="1" style="1" min="3135" max="3135"/>
    <col width="1.5703125" customWidth="1" style="1" min="3136" max="3136"/>
    <col width="0.7109375" customWidth="1" style="1" min="3137" max="3137"/>
    <col width="7" bestFit="1" customWidth="1" style="1" min="3138" max="3138"/>
    <col width="0.7109375" customWidth="1" style="1" min="3139" max="3139"/>
    <col width="4" customWidth="1" style="1" min="3140" max="3140"/>
    <col width="0.7109375" customWidth="1" style="1" min="3141" max="3141"/>
    <col width="1.5703125" customWidth="1" style="1" min="3142" max="3142"/>
    <col width="0.7109375" customWidth="1" style="1" min="3143" max="3143"/>
    <col width="7" bestFit="1" customWidth="1" style="1" min="3144" max="3144"/>
    <col width="0.7109375" customWidth="1" style="1" min="3145" max="3147"/>
    <col width="2.42578125" customWidth="1" style="1" min="3148" max="3148"/>
    <col width="0.7109375" customWidth="1" style="1" min="3149" max="3154"/>
    <col width="16.5703125" customWidth="1" style="1" min="3155" max="3155"/>
    <col width="0.7109375" customWidth="1" style="1" min="3156" max="3158"/>
    <col width="9.85546875" bestFit="1" customWidth="1" style="1" min="3159" max="3159"/>
    <col width="9.28515625" customWidth="1" style="1" min="3160" max="3162"/>
    <col width="0.7109375" customWidth="1" style="1" min="3163" max="3375"/>
    <col width="3.42578125" customWidth="1" style="1" min="3376" max="3376"/>
    <col width="2.42578125" customWidth="1" style="1" min="3377" max="3377"/>
    <col width="7" customWidth="1" style="1" min="3378" max="3378"/>
    <col width="0.7109375" customWidth="1" style="1" min="3379" max="3379"/>
    <col width="1.5703125" customWidth="1" style="1" min="3380" max="3380"/>
    <col width="0.7109375" customWidth="1" style="1" min="3381" max="3381"/>
    <col width="11.28515625" customWidth="1" style="1" min="3382" max="3382"/>
    <col width="0.7109375" customWidth="1" style="1" min="3383" max="3383"/>
    <col width="1.5703125" customWidth="1" style="1" min="3384" max="3384"/>
    <col width="0.7109375" customWidth="1" style="1" min="3385" max="3389"/>
    <col width="2.140625" customWidth="1" style="1" min="3390" max="3390"/>
    <col width="0.7109375" customWidth="1" style="1" min="3391" max="3391"/>
    <col width="1.5703125" customWidth="1" style="1" min="3392" max="3392"/>
    <col width="0.7109375" customWidth="1" style="1" min="3393" max="3393"/>
    <col width="7" bestFit="1" customWidth="1" style="1" min="3394" max="3394"/>
    <col width="0.7109375" customWidth="1" style="1" min="3395" max="3395"/>
    <col width="4" customWidth="1" style="1" min="3396" max="3396"/>
    <col width="0.7109375" customWidth="1" style="1" min="3397" max="3397"/>
    <col width="1.5703125" customWidth="1" style="1" min="3398" max="3398"/>
    <col width="0.7109375" customWidth="1" style="1" min="3399" max="3399"/>
    <col width="7" bestFit="1" customWidth="1" style="1" min="3400" max="3400"/>
    <col width="0.7109375" customWidth="1" style="1" min="3401" max="3403"/>
    <col width="2.42578125" customWidth="1" style="1" min="3404" max="3404"/>
    <col width="0.7109375" customWidth="1" style="1" min="3405" max="3410"/>
    <col width="16.5703125" customWidth="1" style="1" min="3411" max="3411"/>
    <col width="0.7109375" customWidth="1" style="1" min="3412" max="3414"/>
    <col width="9.85546875" bestFit="1" customWidth="1" style="1" min="3415" max="3415"/>
    <col width="9.28515625" customWidth="1" style="1" min="3416" max="3418"/>
    <col width="0.7109375" customWidth="1" style="1" min="3419" max="3631"/>
    <col width="3.42578125" customWidth="1" style="1" min="3632" max="3632"/>
    <col width="2.42578125" customWidth="1" style="1" min="3633" max="3633"/>
    <col width="7" customWidth="1" style="1" min="3634" max="3634"/>
    <col width="0.7109375" customWidth="1" style="1" min="3635" max="3635"/>
    <col width="1.5703125" customWidth="1" style="1" min="3636" max="3636"/>
    <col width="0.7109375" customWidth="1" style="1" min="3637" max="3637"/>
    <col width="11.28515625" customWidth="1" style="1" min="3638" max="3638"/>
    <col width="0.7109375" customWidth="1" style="1" min="3639" max="3639"/>
    <col width="1.5703125" customWidth="1" style="1" min="3640" max="3640"/>
    <col width="0.7109375" customWidth="1" style="1" min="3641" max="3645"/>
    <col width="2.140625" customWidth="1" style="1" min="3646" max="3646"/>
    <col width="0.7109375" customWidth="1" style="1" min="3647" max="3647"/>
    <col width="1.5703125" customWidth="1" style="1" min="3648" max="3648"/>
    <col width="0.7109375" customWidth="1" style="1" min="3649" max="3649"/>
    <col width="7" bestFit="1" customWidth="1" style="1" min="3650" max="3650"/>
    <col width="0.7109375" customWidth="1" style="1" min="3651" max="3651"/>
    <col width="4" customWidth="1" style="1" min="3652" max="3652"/>
    <col width="0.7109375" customWidth="1" style="1" min="3653" max="3653"/>
    <col width="1.5703125" customWidth="1" style="1" min="3654" max="3654"/>
    <col width="0.7109375" customWidth="1" style="1" min="3655" max="3655"/>
    <col width="7" bestFit="1" customWidth="1" style="1" min="3656" max="3656"/>
    <col width="0.7109375" customWidth="1" style="1" min="3657" max="3659"/>
    <col width="2.42578125" customWidth="1" style="1" min="3660" max="3660"/>
    <col width="0.7109375" customWidth="1" style="1" min="3661" max="3666"/>
    <col width="16.5703125" customWidth="1" style="1" min="3667" max="3667"/>
    <col width="0.7109375" customWidth="1" style="1" min="3668" max="3670"/>
    <col width="9.85546875" bestFit="1" customWidth="1" style="1" min="3671" max="3671"/>
    <col width="9.28515625" customWidth="1" style="1" min="3672" max="3674"/>
    <col width="0.7109375" customWidth="1" style="1" min="3675" max="3887"/>
    <col width="3.42578125" customWidth="1" style="1" min="3888" max="3888"/>
    <col width="2.42578125" customWidth="1" style="1" min="3889" max="3889"/>
    <col width="7" customWidth="1" style="1" min="3890" max="3890"/>
    <col width="0.7109375" customWidth="1" style="1" min="3891" max="3891"/>
    <col width="1.5703125" customWidth="1" style="1" min="3892" max="3892"/>
    <col width="0.7109375" customWidth="1" style="1" min="3893" max="3893"/>
    <col width="11.28515625" customWidth="1" style="1" min="3894" max="3894"/>
    <col width="0.7109375" customWidth="1" style="1" min="3895" max="3895"/>
    <col width="1.5703125" customWidth="1" style="1" min="3896" max="3896"/>
    <col width="0.7109375" customWidth="1" style="1" min="3897" max="3901"/>
    <col width="2.140625" customWidth="1" style="1" min="3902" max="3902"/>
    <col width="0.7109375" customWidth="1" style="1" min="3903" max="3903"/>
    <col width="1.5703125" customWidth="1" style="1" min="3904" max="3904"/>
    <col width="0.7109375" customWidth="1" style="1" min="3905" max="3905"/>
    <col width="7" bestFit="1" customWidth="1" style="1" min="3906" max="3906"/>
    <col width="0.7109375" customWidth="1" style="1" min="3907" max="3907"/>
    <col width="4" customWidth="1" style="1" min="3908" max="3908"/>
    <col width="0.7109375" customWidth="1" style="1" min="3909" max="3909"/>
    <col width="1.5703125" customWidth="1" style="1" min="3910" max="3910"/>
    <col width="0.7109375" customWidth="1" style="1" min="3911" max="3911"/>
    <col width="7" bestFit="1" customWidth="1" style="1" min="3912" max="3912"/>
    <col width="0.7109375" customWidth="1" style="1" min="3913" max="3915"/>
    <col width="2.42578125" customWidth="1" style="1" min="3916" max="3916"/>
    <col width="0.7109375" customWidth="1" style="1" min="3917" max="3922"/>
    <col width="16.5703125" customWidth="1" style="1" min="3923" max="3923"/>
    <col width="0.7109375" customWidth="1" style="1" min="3924" max="3926"/>
    <col width="9.85546875" bestFit="1" customWidth="1" style="1" min="3927" max="3927"/>
    <col width="9.28515625" customWidth="1" style="1" min="3928" max="3930"/>
    <col width="0.7109375" customWidth="1" style="1" min="3931" max="4143"/>
    <col width="3.42578125" customWidth="1" style="1" min="4144" max="4144"/>
    <col width="2.42578125" customWidth="1" style="1" min="4145" max="4145"/>
    <col width="7" customWidth="1" style="1" min="4146" max="4146"/>
    <col width="0.7109375" customWidth="1" style="1" min="4147" max="4147"/>
    <col width="1.5703125" customWidth="1" style="1" min="4148" max="4148"/>
    <col width="0.7109375" customWidth="1" style="1" min="4149" max="4149"/>
    <col width="11.28515625" customWidth="1" style="1" min="4150" max="4150"/>
    <col width="0.7109375" customWidth="1" style="1" min="4151" max="4151"/>
    <col width="1.5703125" customWidth="1" style="1" min="4152" max="4152"/>
    <col width="0.7109375" customWidth="1" style="1" min="4153" max="4157"/>
    <col width="2.140625" customWidth="1" style="1" min="4158" max="4158"/>
    <col width="0.7109375" customWidth="1" style="1" min="4159" max="4159"/>
    <col width="1.5703125" customWidth="1" style="1" min="4160" max="4160"/>
    <col width="0.7109375" customWidth="1" style="1" min="4161" max="4161"/>
    <col width="7" bestFit="1" customWidth="1" style="1" min="4162" max="4162"/>
    <col width="0.7109375" customWidth="1" style="1" min="4163" max="4163"/>
    <col width="4" customWidth="1" style="1" min="4164" max="4164"/>
    <col width="0.7109375" customWidth="1" style="1" min="4165" max="4165"/>
    <col width="1.5703125" customWidth="1" style="1" min="4166" max="4166"/>
    <col width="0.7109375" customWidth="1" style="1" min="4167" max="4167"/>
    <col width="7" bestFit="1" customWidth="1" style="1" min="4168" max="4168"/>
    <col width="0.7109375" customWidth="1" style="1" min="4169" max="4171"/>
    <col width="2.42578125" customWidth="1" style="1" min="4172" max="4172"/>
    <col width="0.7109375" customWidth="1" style="1" min="4173" max="4178"/>
    <col width="16.5703125" customWidth="1" style="1" min="4179" max="4179"/>
    <col width="0.7109375" customWidth="1" style="1" min="4180" max="4182"/>
    <col width="9.85546875" bestFit="1" customWidth="1" style="1" min="4183" max="4183"/>
    <col width="9.28515625" customWidth="1" style="1" min="4184" max="4186"/>
    <col width="0.7109375" customWidth="1" style="1" min="4187" max="4399"/>
    <col width="3.42578125" customWidth="1" style="1" min="4400" max="4400"/>
    <col width="2.42578125" customWidth="1" style="1" min="4401" max="4401"/>
    <col width="7" customWidth="1" style="1" min="4402" max="4402"/>
    <col width="0.7109375" customWidth="1" style="1" min="4403" max="4403"/>
    <col width="1.5703125" customWidth="1" style="1" min="4404" max="4404"/>
    <col width="0.7109375" customWidth="1" style="1" min="4405" max="4405"/>
    <col width="11.28515625" customWidth="1" style="1" min="4406" max="4406"/>
    <col width="0.7109375" customWidth="1" style="1" min="4407" max="4407"/>
    <col width="1.5703125" customWidth="1" style="1" min="4408" max="4408"/>
    <col width="0.7109375" customWidth="1" style="1" min="4409" max="4413"/>
    <col width="2.140625" customWidth="1" style="1" min="4414" max="4414"/>
    <col width="0.7109375" customWidth="1" style="1" min="4415" max="4415"/>
    <col width="1.5703125" customWidth="1" style="1" min="4416" max="4416"/>
    <col width="0.7109375" customWidth="1" style="1" min="4417" max="4417"/>
    <col width="7" bestFit="1" customWidth="1" style="1" min="4418" max="4418"/>
    <col width="0.7109375" customWidth="1" style="1" min="4419" max="4419"/>
    <col width="4" customWidth="1" style="1" min="4420" max="4420"/>
    <col width="0.7109375" customWidth="1" style="1" min="4421" max="4421"/>
    <col width="1.5703125" customWidth="1" style="1" min="4422" max="4422"/>
    <col width="0.7109375" customWidth="1" style="1" min="4423" max="4423"/>
    <col width="7" bestFit="1" customWidth="1" style="1" min="4424" max="4424"/>
    <col width="0.7109375" customWidth="1" style="1" min="4425" max="4427"/>
    <col width="2.42578125" customWidth="1" style="1" min="4428" max="4428"/>
    <col width="0.7109375" customWidth="1" style="1" min="4429" max="4434"/>
    <col width="16.5703125" customWidth="1" style="1" min="4435" max="4435"/>
    <col width="0.7109375" customWidth="1" style="1" min="4436" max="4438"/>
    <col width="9.85546875" bestFit="1" customWidth="1" style="1" min="4439" max="4439"/>
    <col width="9.28515625" customWidth="1" style="1" min="4440" max="4442"/>
    <col width="0.7109375" customWidth="1" style="1" min="4443" max="4655"/>
    <col width="3.42578125" customWidth="1" style="1" min="4656" max="4656"/>
    <col width="2.42578125" customWidth="1" style="1" min="4657" max="4657"/>
    <col width="7" customWidth="1" style="1" min="4658" max="4658"/>
    <col width="0.7109375" customWidth="1" style="1" min="4659" max="4659"/>
    <col width="1.5703125" customWidth="1" style="1" min="4660" max="4660"/>
    <col width="0.7109375" customWidth="1" style="1" min="4661" max="4661"/>
    <col width="11.28515625" customWidth="1" style="1" min="4662" max="4662"/>
    <col width="0.7109375" customWidth="1" style="1" min="4663" max="4663"/>
    <col width="1.5703125" customWidth="1" style="1" min="4664" max="4664"/>
    <col width="0.7109375" customWidth="1" style="1" min="4665" max="4669"/>
    <col width="2.140625" customWidth="1" style="1" min="4670" max="4670"/>
    <col width="0.7109375" customWidth="1" style="1" min="4671" max="4671"/>
    <col width="1.5703125" customWidth="1" style="1" min="4672" max="4672"/>
    <col width="0.7109375" customWidth="1" style="1" min="4673" max="4673"/>
    <col width="7" bestFit="1" customWidth="1" style="1" min="4674" max="4674"/>
    <col width="0.7109375" customWidth="1" style="1" min="4675" max="4675"/>
    <col width="4" customWidth="1" style="1" min="4676" max="4676"/>
    <col width="0.7109375" customWidth="1" style="1" min="4677" max="4677"/>
    <col width="1.5703125" customWidth="1" style="1" min="4678" max="4678"/>
    <col width="0.7109375" customWidth="1" style="1" min="4679" max="4679"/>
    <col width="7" bestFit="1" customWidth="1" style="1" min="4680" max="4680"/>
    <col width="0.7109375" customWidth="1" style="1" min="4681" max="4683"/>
    <col width="2.42578125" customWidth="1" style="1" min="4684" max="4684"/>
    <col width="0.7109375" customWidth="1" style="1" min="4685" max="4690"/>
    <col width="16.5703125" customWidth="1" style="1" min="4691" max="4691"/>
    <col width="0.7109375" customWidth="1" style="1" min="4692" max="4694"/>
    <col width="9.85546875" bestFit="1" customWidth="1" style="1" min="4695" max="4695"/>
    <col width="9.28515625" customWidth="1" style="1" min="4696" max="4698"/>
    <col width="0.7109375" customWidth="1" style="1" min="4699" max="4911"/>
    <col width="3.42578125" customWidth="1" style="1" min="4912" max="4912"/>
    <col width="2.42578125" customWidth="1" style="1" min="4913" max="4913"/>
    <col width="7" customWidth="1" style="1" min="4914" max="4914"/>
    <col width="0.7109375" customWidth="1" style="1" min="4915" max="4915"/>
    <col width="1.5703125" customWidth="1" style="1" min="4916" max="4916"/>
    <col width="0.7109375" customWidth="1" style="1" min="4917" max="4917"/>
    <col width="11.28515625" customWidth="1" style="1" min="4918" max="4918"/>
    <col width="0.7109375" customWidth="1" style="1" min="4919" max="4919"/>
    <col width="1.5703125" customWidth="1" style="1" min="4920" max="4920"/>
    <col width="0.7109375" customWidth="1" style="1" min="4921" max="4925"/>
    <col width="2.140625" customWidth="1" style="1" min="4926" max="4926"/>
    <col width="0.7109375" customWidth="1" style="1" min="4927" max="4927"/>
    <col width="1.5703125" customWidth="1" style="1" min="4928" max="4928"/>
    <col width="0.7109375" customWidth="1" style="1" min="4929" max="4929"/>
    <col width="7" bestFit="1" customWidth="1" style="1" min="4930" max="4930"/>
    <col width="0.7109375" customWidth="1" style="1" min="4931" max="4931"/>
    <col width="4" customWidth="1" style="1" min="4932" max="4932"/>
    <col width="0.7109375" customWidth="1" style="1" min="4933" max="4933"/>
    <col width="1.5703125" customWidth="1" style="1" min="4934" max="4934"/>
    <col width="0.7109375" customWidth="1" style="1" min="4935" max="4935"/>
    <col width="7" bestFit="1" customWidth="1" style="1" min="4936" max="4936"/>
    <col width="0.7109375" customWidth="1" style="1" min="4937" max="4939"/>
    <col width="2.42578125" customWidth="1" style="1" min="4940" max="4940"/>
    <col width="0.7109375" customWidth="1" style="1" min="4941" max="4946"/>
    <col width="16.5703125" customWidth="1" style="1" min="4947" max="4947"/>
    <col width="0.7109375" customWidth="1" style="1" min="4948" max="4950"/>
    <col width="9.85546875" bestFit="1" customWidth="1" style="1" min="4951" max="4951"/>
    <col width="9.28515625" customWidth="1" style="1" min="4952" max="4954"/>
    <col width="0.7109375" customWidth="1" style="1" min="4955" max="5167"/>
    <col width="3.42578125" customWidth="1" style="1" min="5168" max="5168"/>
    <col width="2.42578125" customWidth="1" style="1" min="5169" max="5169"/>
    <col width="7" customWidth="1" style="1" min="5170" max="5170"/>
    <col width="0.7109375" customWidth="1" style="1" min="5171" max="5171"/>
    <col width="1.5703125" customWidth="1" style="1" min="5172" max="5172"/>
    <col width="0.7109375" customWidth="1" style="1" min="5173" max="5173"/>
    <col width="11.28515625" customWidth="1" style="1" min="5174" max="5174"/>
    <col width="0.7109375" customWidth="1" style="1" min="5175" max="5175"/>
    <col width="1.5703125" customWidth="1" style="1" min="5176" max="5176"/>
    <col width="0.7109375" customWidth="1" style="1" min="5177" max="5181"/>
    <col width="2.140625" customWidth="1" style="1" min="5182" max="5182"/>
    <col width="0.7109375" customWidth="1" style="1" min="5183" max="5183"/>
    <col width="1.5703125" customWidth="1" style="1" min="5184" max="5184"/>
    <col width="0.7109375" customWidth="1" style="1" min="5185" max="5185"/>
    <col width="7" bestFit="1" customWidth="1" style="1" min="5186" max="5186"/>
    <col width="0.7109375" customWidth="1" style="1" min="5187" max="5187"/>
    <col width="4" customWidth="1" style="1" min="5188" max="5188"/>
    <col width="0.7109375" customWidth="1" style="1" min="5189" max="5189"/>
    <col width="1.5703125" customWidth="1" style="1" min="5190" max="5190"/>
    <col width="0.7109375" customWidth="1" style="1" min="5191" max="5191"/>
    <col width="7" bestFit="1" customWidth="1" style="1" min="5192" max="5192"/>
    <col width="0.7109375" customWidth="1" style="1" min="5193" max="5195"/>
    <col width="2.42578125" customWidth="1" style="1" min="5196" max="5196"/>
    <col width="0.7109375" customWidth="1" style="1" min="5197" max="5202"/>
    <col width="16.5703125" customWidth="1" style="1" min="5203" max="5203"/>
    <col width="0.7109375" customWidth="1" style="1" min="5204" max="5206"/>
    <col width="9.85546875" bestFit="1" customWidth="1" style="1" min="5207" max="5207"/>
    <col width="9.28515625" customWidth="1" style="1" min="5208" max="5210"/>
    <col width="0.7109375" customWidth="1" style="1" min="5211" max="5423"/>
    <col width="3.42578125" customWidth="1" style="1" min="5424" max="5424"/>
    <col width="2.42578125" customWidth="1" style="1" min="5425" max="5425"/>
    <col width="7" customWidth="1" style="1" min="5426" max="5426"/>
    <col width="0.7109375" customWidth="1" style="1" min="5427" max="5427"/>
    <col width="1.5703125" customWidth="1" style="1" min="5428" max="5428"/>
    <col width="0.7109375" customWidth="1" style="1" min="5429" max="5429"/>
    <col width="11.28515625" customWidth="1" style="1" min="5430" max="5430"/>
    <col width="0.7109375" customWidth="1" style="1" min="5431" max="5431"/>
    <col width="1.5703125" customWidth="1" style="1" min="5432" max="5432"/>
    <col width="0.7109375" customWidth="1" style="1" min="5433" max="5437"/>
    <col width="2.140625" customWidth="1" style="1" min="5438" max="5438"/>
    <col width="0.7109375" customWidth="1" style="1" min="5439" max="5439"/>
    <col width="1.5703125" customWidth="1" style="1" min="5440" max="5440"/>
    <col width="0.7109375" customWidth="1" style="1" min="5441" max="5441"/>
    <col width="7" bestFit="1" customWidth="1" style="1" min="5442" max="5442"/>
    <col width="0.7109375" customWidth="1" style="1" min="5443" max="5443"/>
    <col width="4" customWidth="1" style="1" min="5444" max="5444"/>
    <col width="0.7109375" customWidth="1" style="1" min="5445" max="5445"/>
    <col width="1.5703125" customWidth="1" style="1" min="5446" max="5446"/>
    <col width="0.7109375" customWidth="1" style="1" min="5447" max="5447"/>
    <col width="7" bestFit="1" customWidth="1" style="1" min="5448" max="5448"/>
    <col width="0.7109375" customWidth="1" style="1" min="5449" max="5451"/>
    <col width="2.42578125" customWidth="1" style="1" min="5452" max="5452"/>
    <col width="0.7109375" customWidth="1" style="1" min="5453" max="5458"/>
    <col width="16.5703125" customWidth="1" style="1" min="5459" max="5459"/>
    <col width="0.7109375" customWidth="1" style="1" min="5460" max="5462"/>
    <col width="9.85546875" bestFit="1" customWidth="1" style="1" min="5463" max="5463"/>
    <col width="9.28515625" customWidth="1" style="1" min="5464" max="5466"/>
    <col width="0.7109375" customWidth="1" style="1" min="5467" max="5679"/>
    <col width="3.42578125" customWidth="1" style="1" min="5680" max="5680"/>
    <col width="2.42578125" customWidth="1" style="1" min="5681" max="5681"/>
    <col width="7" customWidth="1" style="1" min="5682" max="5682"/>
    <col width="0.7109375" customWidth="1" style="1" min="5683" max="5683"/>
    <col width="1.5703125" customWidth="1" style="1" min="5684" max="5684"/>
    <col width="0.7109375" customWidth="1" style="1" min="5685" max="5685"/>
    <col width="11.28515625" customWidth="1" style="1" min="5686" max="5686"/>
    <col width="0.7109375" customWidth="1" style="1" min="5687" max="5687"/>
    <col width="1.5703125" customWidth="1" style="1" min="5688" max="5688"/>
    <col width="0.7109375" customWidth="1" style="1" min="5689" max="5693"/>
    <col width="2.140625" customWidth="1" style="1" min="5694" max="5694"/>
    <col width="0.7109375" customWidth="1" style="1" min="5695" max="5695"/>
    <col width="1.5703125" customWidth="1" style="1" min="5696" max="5696"/>
    <col width="0.7109375" customWidth="1" style="1" min="5697" max="5697"/>
    <col width="7" bestFit="1" customWidth="1" style="1" min="5698" max="5698"/>
    <col width="0.7109375" customWidth="1" style="1" min="5699" max="5699"/>
    <col width="4" customWidth="1" style="1" min="5700" max="5700"/>
    <col width="0.7109375" customWidth="1" style="1" min="5701" max="5701"/>
    <col width="1.5703125" customWidth="1" style="1" min="5702" max="5702"/>
    <col width="0.7109375" customWidth="1" style="1" min="5703" max="5703"/>
    <col width="7" bestFit="1" customWidth="1" style="1" min="5704" max="5704"/>
    <col width="0.7109375" customWidth="1" style="1" min="5705" max="5707"/>
    <col width="2.42578125" customWidth="1" style="1" min="5708" max="5708"/>
    <col width="0.7109375" customWidth="1" style="1" min="5709" max="5714"/>
    <col width="16.5703125" customWidth="1" style="1" min="5715" max="5715"/>
    <col width="0.7109375" customWidth="1" style="1" min="5716" max="5718"/>
    <col width="9.85546875" bestFit="1" customWidth="1" style="1" min="5719" max="5719"/>
    <col width="9.28515625" customWidth="1" style="1" min="5720" max="5722"/>
    <col width="0.7109375" customWidth="1" style="1" min="5723" max="5935"/>
    <col width="3.42578125" customWidth="1" style="1" min="5936" max="5936"/>
    <col width="2.42578125" customWidth="1" style="1" min="5937" max="5937"/>
    <col width="7" customWidth="1" style="1" min="5938" max="5938"/>
    <col width="0.7109375" customWidth="1" style="1" min="5939" max="5939"/>
    <col width="1.5703125" customWidth="1" style="1" min="5940" max="5940"/>
    <col width="0.7109375" customWidth="1" style="1" min="5941" max="5941"/>
    <col width="11.28515625" customWidth="1" style="1" min="5942" max="5942"/>
    <col width="0.7109375" customWidth="1" style="1" min="5943" max="5943"/>
    <col width="1.5703125" customWidth="1" style="1" min="5944" max="5944"/>
    <col width="0.7109375" customWidth="1" style="1" min="5945" max="5949"/>
    <col width="2.140625" customWidth="1" style="1" min="5950" max="5950"/>
    <col width="0.7109375" customWidth="1" style="1" min="5951" max="5951"/>
    <col width="1.5703125" customWidth="1" style="1" min="5952" max="5952"/>
    <col width="0.7109375" customWidth="1" style="1" min="5953" max="5953"/>
    <col width="7" bestFit="1" customWidth="1" style="1" min="5954" max="5954"/>
    <col width="0.7109375" customWidth="1" style="1" min="5955" max="5955"/>
    <col width="4" customWidth="1" style="1" min="5956" max="5956"/>
    <col width="0.7109375" customWidth="1" style="1" min="5957" max="5957"/>
    <col width="1.5703125" customWidth="1" style="1" min="5958" max="5958"/>
    <col width="0.7109375" customWidth="1" style="1" min="5959" max="5959"/>
    <col width="7" bestFit="1" customWidth="1" style="1" min="5960" max="5960"/>
    <col width="0.7109375" customWidth="1" style="1" min="5961" max="5963"/>
    <col width="2.42578125" customWidth="1" style="1" min="5964" max="5964"/>
    <col width="0.7109375" customWidth="1" style="1" min="5965" max="5970"/>
    <col width="16.5703125" customWidth="1" style="1" min="5971" max="5971"/>
    <col width="0.7109375" customWidth="1" style="1" min="5972" max="5974"/>
    <col width="9.85546875" bestFit="1" customWidth="1" style="1" min="5975" max="5975"/>
    <col width="9.28515625" customWidth="1" style="1" min="5976" max="5978"/>
    <col width="0.7109375" customWidth="1" style="1" min="5979" max="6191"/>
    <col width="3.42578125" customWidth="1" style="1" min="6192" max="6192"/>
    <col width="2.42578125" customWidth="1" style="1" min="6193" max="6193"/>
    <col width="7" customWidth="1" style="1" min="6194" max="6194"/>
    <col width="0.7109375" customWidth="1" style="1" min="6195" max="6195"/>
    <col width="1.5703125" customWidth="1" style="1" min="6196" max="6196"/>
    <col width="0.7109375" customWidth="1" style="1" min="6197" max="6197"/>
    <col width="11.28515625" customWidth="1" style="1" min="6198" max="6198"/>
    <col width="0.7109375" customWidth="1" style="1" min="6199" max="6199"/>
    <col width="1.5703125" customWidth="1" style="1" min="6200" max="6200"/>
    <col width="0.7109375" customWidth="1" style="1" min="6201" max="6205"/>
    <col width="2.140625" customWidth="1" style="1" min="6206" max="6206"/>
    <col width="0.7109375" customWidth="1" style="1" min="6207" max="6207"/>
    <col width="1.5703125" customWidth="1" style="1" min="6208" max="6208"/>
    <col width="0.7109375" customWidth="1" style="1" min="6209" max="6209"/>
    <col width="7" bestFit="1" customWidth="1" style="1" min="6210" max="6210"/>
    <col width="0.7109375" customWidth="1" style="1" min="6211" max="6211"/>
    <col width="4" customWidth="1" style="1" min="6212" max="6212"/>
    <col width="0.7109375" customWidth="1" style="1" min="6213" max="6213"/>
    <col width="1.5703125" customWidth="1" style="1" min="6214" max="6214"/>
    <col width="0.7109375" customWidth="1" style="1" min="6215" max="6215"/>
    <col width="7" bestFit="1" customWidth="1" style="1" min="6216" max="6216"/>
    <col width="0.7109375" customWidth="1" style="1" min="6217" max="6219"/>
    <col width="2.42578125" customWidth="1" style="1" min="6220" max="6220"/>
    <col width="0.7109375" customWidth="1" style="1" min="6221" max="6226"/>
    <col width="16.5703125" customWidth="1" style="1" min="6227" max="6227"/>
    <col width="0.7109375" customWidth="1" style="1" min="6228" max="6230"/>
    <col width="9.85546875" bestFit="1" customWidth="1" style="1" min="6231" max="6231"/>
    <col width="9.28515625" customWidth="1" style="1" min="6232" max="6234"/>
    <col width="0.7109375" customWidth="1" style="1" min="6235" max="6447"/>
    <col width="3.42578125" customWidth="1" style="1" min="6448" max="6448"/>
    <col width="2.42578125" customWidth="1" style="1" min="6449" max="6449"/>
    <col width="7" customWidth="1" style="1" min="6450" max="6450"/>
    <col width="0.7109375" customWidth="1" style="1" min="6451" max="6451"/>
    <col width="1.5703125" customWidth="1" style="1" min="6452" max="6452"/>
    <col width="0.7109375" customWidth="1" style="1" min="6453" max="6453"/>
    <col width="11.28515625" customWidth="1" style="1" min="6454" max="6454"/>
    <col width="0.7109375" customWidth="1" style="1" min="6455" max="6455"/>
    <col width="1.5703125" customWidth="1" style="1" min="6456" max="6456"/>
    <col width="0.7109375" customWidth="1" style="1" min="6457" max="6461"/>
    <col width="2.140625" customWidth="1" style="1" min="6462" max="6462"/>
    <col width="0.7109375" customWidth="1" style="1" min="6463" max="6463"/>
    <col width="1.5703125" customWidth="1" style="1" min="6464" max="6464"/>
    <col width="0.7109375" customWidth="1" style="1" min="6465" max="6465"/>
    <col width="7" bestFit="1" customWidth="1" style="1" min="6466" max="6466"/>
    <col width="0.7109375" customWidth="1" style="1" min="6467" max="6467"/>
    <col width="4" customWidth="1" style="1" min="6468" max="6468"/>
    <col width="0.7109375" customWidth="1" style="1" min="6469" max="6469"/>
    <col width="1.5703125" customWidth="1" style="1" min="6470" max="6470"/>
    <col width="0.7109375" customWidth="1" style="1" min="6471" max="6471"/>
    <col width="7" bestFit="1" customWidth="1" style="1" min="6472" max="6472"/>
    <col width="0.7109375" customWidth="1" style="1" min="6473" max="6475"/>
    <col width="2.42578125" customWidth="1" style="1" min="6476" max="6476"/>
    <col width="0.7109375" customWidth="1" style="1" min="6477" max="6482"/>
    <col width="16.5703125" customWidth="1" style="1" min="6483" max="6483"/>
    <col width="0.7109375" customWidth="1" style="1" min="6484" max="6486"/>
    <col width="9.85546875" bestFit="1" customWidth="1" style="1" min="6487" max="6487"/>
    <col width="9.28515625" customWidth="1" style="1" min="6488" max="6490"/>
    <col width="0.7109375" customWidth="1" style="1" min="6491" max="6703"/>
    <col width="3.42578125" customWidth="1" style="1" min="6704" max="6704"/>
    <col width="2.42578125" customWidth="1" style="1" min="6705" max="6705"/>
    <col width="7" customWidth="1" style="1" min="6706" max="6706"/>
    <col width="0.7109375" customWidth="1" style="1" min="6707" max="6707"/>
    <col width="1.5703125" customWidth="1" style="1" min="6708" max="6708"/>
    <col width="0.7109375" customWidth="1" style="1" min="6709" max="6709"/>
    <col width="11.28515625" customWidth="1" style="1" min="6710" max="6710"/>
    <col width="0.7109375" customWidth="1" style="1" min="6711" max="6711"/>
    <col width="1.5703125" customWidth="1" style="1" min="6712" max="6712"/>
    <col width="0.7109375" customWidth="1" style="1" min="6713" max="6717"/>
    <col width="2.140625" customWidth="1" style="1" min="6718" max="6718"/>
    <col width="0.7109375" customWidth="1" style="1" min="6719" max="6719"/>
    <col width="1.5703125" customWidth="1" style="1" min="6720" max="6720"/>
    <col width="0.7109375" customWidth="1" style="1" min="6721" max="6721"/>
    <col width="7" bestFit="1" customWidth="1" style="1" min="6722" max="6722"/>
    <col width="0.7109375" customWidth="1" style="1" min="6723" max="6723"/>
    <col width="4" customWidth="1" style="1" min="6724" max="6724"/>
    <col width="0.7109375" customWidth="1" style="1" min="6725" max="6725"/>
    <col width="1.5703125" customWidth="1" style="1" min="6726" max="6726"/>
    <col width="0.7109375" customWidth="1" style="1" min="6727" max="6727"/>
    <col width="7" bestFit="1" customWidth="1" style="1" min="6728" max="6728"/>
    <col width="0.7109375" customWidth="1" style="1" min="6729" max="6731"/>
    <col width="2.42578125" customWidth="1" style="1" min="6732" max="6732"/>
    <col width="0.7109375" customWidth="1" style="1" min="6733" max="6738"/>
    <col width="16.5703125" customWidth="1" style="1" min="6739" max="6739"/>
    <col width="0.7109375" customWidth="1" style="1" min="6740" max="6742"/>
    <col width="9.85546875" bestFit="1" customWidth="1" style="1" min="6743" max="6743"/>
    <col width="9.28515625" customWidth="1" style="1" min="6744" max="6746"/>
    <col width="0.7109375" customWidth="1" style="1" min="6747" max="6959"/>
    <col width="3.42578125" customWidth="1" style="1" min="6960" max="6960"/>
    <col width="2.42578125" customWidth="1" style="1" min="6961" max="6961"/>
    <col width="7" customWidth="1" style="1" min="6962" max="6962"/>
    <col width="0.7109375" customWidth="1" style="1" min="6963" max="6963"/>
    <col width="1.5703125" customWidth="1" style="1" min="6964" max="6964"/>
    <col width="0.7109375" customWidth="1" style="1" min="6965" max="6965"/>
    <col width="11.28515625" customWidth="1" style="1" min="6966" max="6966"/>
    <col width="0.7109375" customWidth="1" style="1" min="6967" max="6967"/>
    <col width="1.5703125" customWidth="1" style="1" min="6968" max="6968"/>
    <col width="0.7109375" customWidth="1" style="1" min="6969" max="6973"/>
    <col width="2.140625" customWidth="1" style="1" min="6974" max="6974"/>
    <col width="0.7109375" customWidth="1" style="1" min="6975" max="6975"/>
    <col width="1.5703125" customWidth="1" style="1" min="6976" max="6976"/>
    <col width="0.7109375" customWidth="1" style="1" min="6977" max="6977"/>
    <col width="7" bestFit="1" customWidth="1" style="1" min="6978" max="6978"/>
    <col width="0.7109375" customWidth="1" style="1" min="6979" max="6979"/>
    <col width="4" customWidth="1" style="1" min="6980" max="6980"/>
    <col width="0.7109375" customWidth="1" style="1" min="6981" max="6981"/>
    <col width="1.5703125" customWidth="1" style="1" min="6982" max="6982"/>
    <col width="0.7109375" customWidth="1" style="1" min="6983" max="6983"/>
    <col width="7" bestFit="1" customWidth="1" style="1" min="6984" max="6984"/>
    <col width="0.7109375" customWidth="1" style="1" min="6985" max="6987"/>
    <col width="2.42578125" customWidth="1" style="1" min="6988" max="6988"/>
    <col width="0.7109375" customWidth="1" style="1" min="6989" max="6994"/>
    <col width="16.5703125" customWidth="1" style="1" min="6995" max="6995"/>
    <col width="0.7109375" customWidth="1" style="1" min="6996" max="6998"/>
    <col width="9.85546875" bestFit="1" customWidth="1" style="1" min="6999" max="6999"/>
    <col width="9.28515625" customWidth="1" style="1" min="7000" max="7002"/>
    <col width="0.7109375" customWidth="1" style="1" min="7003" max="7215"/>
    <col width="3.42578125" customWidth="1" style="1" min="7216" max="7216"/>
    <col width="2.42578125" customWidth="1" style="1" min="7217" max="7217"/>
    <col width="7" customWidth="1" style="1" min="7218" max="7218"/>
    <col width="0.7109375" customWidth="1" style="1" min="7219" max="7219"/>
    <col width="1.5703125" customWidth="1" style="1" min="7220" max="7220"/>
    <col width="0.7109375" customWidth="1" style="1" min="7221" max="7221"/>
    <col width="11.28515625" customWidth="1" style="1" min="7222" max="7222"/>
    <col width="0.7109375" customWidth="1" style="1" min="7223" max="7223"/>
    <col width="1.5703125" customWidth="1" style="1" min="7224" max="7224"/>
    <col width="0.7109375" customWidth="1" style="1" min="7225" max="7229"/>
    <col width="2.140625" customWidth="1" style="1" min="7230" max="7230"/>
    <col width="0.7109375" customWidth="1" style="1" min="7231" max="7231"/>
    <col width="1.5703125" customWidth="1" style="1" min="7232" max="7232"/>
    <col width="0.7109375" customWidth="1" style="1" min="7233" max="7233"/>
    <col width="7" bestFit="1" customWidth="1" style="1" min="7234" max="7234"/>
    <col width="0.7109375" customWidth="1" style="1" min="7235" max="7235"/>
    <col width="4" customWidth="1" style="1" min="7236" max="7236"/>
    <col width="0.7109375" customWidth="1" style="1" min="7237" max="7237"/>
    <col width="1.5703125" customWidth="1" style="1" min="7238" max="7238"/>
    <col width="0.7109375" customWidth="1" style="1" min="7239" max="7239"/>
    <col width="7" bestFit="1" customWidth="1" style="1" min="7240" max="7240"/>
    <col width="0.7109375" customWidth="1" style="1" min="7241" max="7243"/>
    <col width="2.42578125" customWidth="1" style="1" min="7244" max="7244"/>
    <col width="0.7109375" customWidth="1" style="1" min="7245" max="7250"/>
    <col width="16.5703125" customWidth="1" style="1" min="7251" max="7251"/>
    <col width="0.7109375" customWidth="1" style="1" min="7252" max="7254"/>
    <col width="9.85546875" bestFit="1" customWidth="1" style="1" min="7255" max="7255"/>
    <col width="9.28515625" customWidth="1" style="1" min="7256" max="7258"/>
    <col width="0.7109375" customWidth="1" style="1" min="7259" max="7471"/>
    <col width="3.42578125" customWidth="1" style="1" min="7472" max="7472"/>
    <col width="2.42578125" customWidth="1" style="1" min="7473" max="7473"/>
    <col width="7" customWidth="1" style="1" min="7474" max="7474"/>
    <col width="0.7109375" customWidth="1" style="1" min="7475" max="7475"/>
    <col width="1.5703125" customWidth="1" style="1" min="7476" max="7476"/>
    <col width="0.7109375" customWidth="1" style="1" min="7477" max="7477"/>
    <col width="11.28515625" customWidth="1" style="1" min="7478" max="7478"/>
    <col width="0.7109375" customWidth="1" style="1" min="7479" max="7479"/>
    <col width="1.5703125" customWidth="1" style="1" min="7480" max="7480"/>
    <col width="0.7109375" customWidth="1" style="1" min="7481" max="7485"/>
    <col width="2.140625" customWidth="1" style="1" min="7486" max="7486"/>
    <col width="0.7109375" customWidth="1" style="1" min="7487" max="7487"/>
    <col width="1.5703125" customWidth="1" style="1" min="7488" max="7488"/>
    <col width="0.7109375" customWidth="1" style="1" min="7489" max="7489"/>
    <col width="7" bestFit="1" customWidth="1" style="1" min="7490" max="7490"/>
    <col width="0.7109375" customWidth="1" style="1" min="7491" max="7491"/>
    <col width="4" customWidth="1" style="1" min="7492" max="7492"/>
    <col width="0.7109375" customWidth="1" style="1" min="7493" max="7493"/>
    <col width="1.5703125" customWidth="1" style="1" min="7494" max="7494"/>
    <col width="0.7109375" customWidth="1" style="1" min="7495" max="7495"/>
    <col width="7" bestFit="1" customWidth="1" style="1" min="7496" max="7496"/>
    <col width="0.7109375" customWidth="1" style="1" min="7497" max="7499"/>
    <col width="2.42578125" customWidth="1" style="1" min="7500" max="7500"/>
    <col width="0.7109375" customWidth="1" style="1" min="7501" max="7506"/>
    <col width="16.5703125" customWidth="1" style="1" min="7507" max="7507"/>
    <col width="0.7109375" customWidth="1" style="1" min="7508" max="7510"/>
    <col width="9.85546875" bestFit="1" customWidth="1" style="1" min="7511" max="7511"/>
    <col width="9.28515625" customWidth="1" style="1" min="7512" max="7514"/>
    <col width="0.7109375" customWidth="1" style="1" min="7515" max="7727"/>
    <col width="3.42578125" customWidth="1" style="1" min="7728" max="7728"/>
    <col width="2.42578125" customWidth="1" style="1" min="7729" max="7729"/>
    <col width="7" customWidth="1" style="1" min="7730" max="7730"/>
    <col width="0.7109375" customWidth="1" style="1" min="7731" max="7731"/>
    <col width="1.5703125" customWidth="1" style="1" min="7732" max="7732"/>
    <col width="0.7109375" customWidth="1" style="1" min="7733" max="7733"/>
    <col width="11.28515625" customWidth="1" style="1" min="7734" max="7734"/>
    <col width="0.7109375" customWidth="1" style="1" min="7735" max="7735"/>
    <col width="1.5703125" customWidth="1" style="1" min="7736" max="7736"/>
    <col width="0.7109375" customWidth="1" style="1" min="7737" max="7741"/>
    <col width="2.140625" customWidth="1" style="1" min="7742" max="7742"/>
    <col width="0.7109375" customWidth="1" style="1" min="7743" max="7743"/>
    <col width="1.5703125" customWidth="1" style="1" min="7744" max="7744"/>
    <col width="0.7109375" customWidth="1" style="1" min="7745" max="7745"/>
    <col width="7" bestFit="1" customWidth="1" style="1" min="7746" max="7746"/>
    <col width="0.7109375" customWidth="1" style="1" min="7747" max="7747"/>
    <col width="4" customWidth="1" style="1" min="7748" max="7748"/>
    <col width="0.7109375" customWidth="1" style="1" min="7749" max="7749"/>
    <col width="1.5703125" customWidth="1" style="1" min="7750" max="7750"/>
    <col width="0.7109375" customWidth="1" style="1" min="7751" max="7751"/>
    <col width="7" bestFit="1" customWidth="1" style="1" min="7752" max="7752"/>
    <col width="0.7109375" customWidth="1" style="1" min="7753" max="7755"/>
    <col width="2.42578125" customWidth="1" style="1" min="7756" max="7756"/>
    <col width="0.7109375" customWidth="1" style="1" min="7757" max="7762"/>
    <col width="16.5703125" customWidth="1" style="1" min="7763" max="7763"/>
    <col width="0.7109375" customWidth="1" style="1" min="7764" max="7766"/>
    <col width="9.85546875" bestFit="1" customWidth="1" style="1" min="7767" max="7767"/>
    <col width="9.28515625" customWidth="1" style="1" min="7768" max="7770"/>
    <col width="0.7109375" customWidth="1" style="1" min="7771" max="7983"/>
    <col width="3.42578125" customWidth="1" style="1" min="7984" max="7984"/>
    <col width="2.42578125" customWidth="1" style="1" min="7985" max="7985"/>
    <col width="7" customWidth="1" style="1" min="7986" max="7986"/>
    <col width="0.7109375" customWidth="1" style="1" min="7987" max="7987"/>
    <col width="1.5703125" customWidth="1" style="1" min="7988" max="7988"/>
    <col width="0.7109375" customWidth="1" style="1" min="7989" max="7989"/>
    <col width="11.28515625" customWidth="1" style="1" min="7990" max="7990"/>
    <col width="0.7109375" customWidth="1" style="1" min="7991" max="7991"/>
    <col width="1.5703125" customWidth="1" style="1" min="7992" max="7992"/>
    <col width="0.7109375" customWidth="1" style="1" min="7993" max="7997"/>
    <col width="2.140625" customWidth="1" style="1" min="7998" max="7998"/>
    <col width="0.7109375" customWidth="1" style="1" min="7999" max="7999"/>
    <col width="1.5703125" customWidth="1" style="1" min="8000" max="8000"/>
    <col width="0.7109375" customWidth="1" style="1" min="8001" max="8001"/>
    <col width="7" bestFit="1" customWidth="1" style="1" min="8002" max="8002"/>
    <col width="0.7109375" customWidth="1" style="1" min="8003" max="8003"/>
    <col width="4" customWidth="1" style="1" min="8004" max="8004"/>
    <col width="0.7109375" customWidth="1" style="1" min="8005" max="8005"/>
    <col width="1.5703125" customWidth="1" style="1" min="8006" max="8006"/>
    <col width="0.7109375" customWidth="1" style="1" min="8007" max="8007"/>
    <col width="7" bestFit="1" customWidth="1" style="1" min="8008" max="8008"/>
    <col width="0.7109375" customWidth="1" style="1" min="8009" max="8011"/>
    <col width="2.42578125" customWidth="1" style="1" min="8012" max="8012"/>
    <col width="0.7109375" customWidth="1" style="1" min="8013" max="8018"/>
    <col width="16.5703125" customWidth="1" style="1" min="8019" max="8019"/>
    <col width="0.7109375" customWidth="1" style="1" min="8020" max="8022"/>
    <col width="9.85546875" bestFit="1" customWidth="1" style="1" min="8023" max="8023"/>
    <col width="9.28515625" customWidth="1" style="1" min="8024" max="8026"/>
    <col width="0.7109375" customWidth="1" style="1" min="8027" max="8239"/>
    <col width="3.42578125" customWidth="1" style="1" min="8240" max="8240"/>
    <col width="2.42578125" customWidth="1" style="1" min="8241" max="8241"/>
    <col width="7" customWidth="1" style="1" min="8242" max="8242"/>
    <col width="0.7109375" customWidth="1" style="1" min="8243" max="8243"/>
    <col width="1.5703125" customWidth="1" style="1" min="8244" max="8244"/>
    <col width="0.7109375" customWidth="1" style="1" min="8245" max="8245"/>
    <col width="11.28515625" customWidth="1" style="1" min="8246" max="8246"/>
    <col width="0.7109375" customWidth="1" style="1" min="8247" max="8247"/>
    <col width="1.5703125" customWidth="1" style="1" min="8248" max="8248"/>
    <col width="0.7109375" customWidth="1" style="1" min="8249" max="8253"/>
    <col width="2.140625" customWidth="1" style="1" min="8254" max="8254"/>
    <col width="0.7109375" customWidth="1" style="1" min="8255" max="8255"/>
    <col width="1.5703125" customWidth="1" style="1" min="8256" max="8256"/>
    <col width="0.7109375" customWidth="1" style="1" min="8257" max="8257"/>
    <col width="7" bestFit="1" customWidth="1" style="1" min="8258" max="8258"/>
    <col width="0.7109375" customWidth="1" style="1" min="8259" max="8259"/>
    <col width="4" customWidth="1" style="1" min="8260" max="8260"/>
    <col width="0.7109375" customWidth="1" style="1" min="8261" max="8261"/>
    <col width="1.5703125" customWidth="1" style="1" min="8262" max="8262"/>
    <col width="0.7109375" customWidth="1" style="1" min="8263" max="8263"/>
    <col width="7" bestFit="1" customWidth="1" style="1" min="8264" max="8264"/>
    <col width="0.7109375" customWidth="1" style="1" min="8265" max="8267"/>
    <col width="2.42578125" customWidth="1" style="1" min="8268" max="8268"/>
    <col width="0.7109375" customWidth="1" style="1" min="8269" max="8274"/>
    <col width="16.5703125" customWidth="1" style="1" min="8275" max="8275"/>
    <col width="0.7109375" customWidth="1" style="1" min="8276" max="8278"/>
    <col width="9.85546875" bestFit="1" customWidth="1" style="1" min="8279" max="8279"/>
    <col width="9.28515625" customWidth="1" style="1" min="8280" max="8282"/>
    <col width="0.7109375" customWidth="1" style="1" min="8283" max="8495"/>
    <col width="3.42578125" customWidth="1" style="1" min="8496" max="8496"/>
    <col width="2.42578125" customWidth="1" style="1" min="8497" max="8497"/>
    <col width="7" customWidth="1" style="1" min="8498" max="8498"/>
    <col width="0.7109375" customWidth="1" style="1" min="8499" max="8499"/>
    <col width="1.5703125" customWidth="1" style="1" min="8500" max="8500"/>
    <col width="0.7109375" customWidth="1" style="1" min="8501" max="8501"/>
    <col width="11.28515625" customWidth="1" style="1" min="8502" max="8502"/>
    <col width="0.7109375" customWidth="1" style="1" min="8503" max="8503"/>
    <col width="1.5703125" customWidth="1" style="1" min="8504" max="8504"/>
    <col width="0.7109375" customWidth="1" style="1" min="8505" max="8509"/>
    <col width="2.140625" customWidth="1" style="1" min="8510" max="8510"/>
    <col width="0.7109375" customWidth="1" style="1" min="8511" max="8511"/>
    <col width="1.5703125" customWidth="1" style="1" min="8512" max="8512"/>
    <col width="0.7109375" customWidth="1" style="1" min="8513" max="8513"/>
    <col width="7" bestFit="1" customWidth="1" style="1" min="8514" max="8514"/>
    <col width="0.7109375" customWidth="1" style="1" min="8515" max="8515"/>
    <col width="4" customWidth="1" style="1" min="8516" max="8516"/>
    <col width="0.7109375" customWidth="1" style="1" min="8517" max="8517"/>
    <col width="1.5703125" customWidth="1" style="1" min="8518" max="8518"/>
    <col width="0.7109375" customWidth="1" style="1" min="8519" max="8519"/>
    <col width="7" bestFit="1" customWidth="1" style="1" min="8520" max="8520"/>
    <col width="0.7109375" customWidth="1" style="1" min="8521" max="8523"/>
    <col width="2.42578125" customWidth="1" style="1" min="8524" max="8524"/>
    <col width="0.7109375" customWidth="1" style="1" min="8525" max="8530"/>
    <col width="16.5703125" customWidth="1" style="1" min="8531" max="8531"/>
    <col width="0.7109375" customWidth="1" style="1" min="8532" max="8534"/>
    <col width="9.85546875" bestFit="1" customWidth="1" style="1" min="8535" max="8535"/>
    <col width="9.28515625" customWidth="1" style="1" min="8536" max="8538"/>
    <col width="0.7109375" customWidth="1" style="1" min="8539" max="8751"/>
    <col width="3.42578125" customWidth="1" style="1" min="8752" max="8752"/>
    <col width="2.42578125" customWidth="1" style="1" min="8753" max="8753"/>
    <col width="7" customWidth="1" style="1" min="8754" max="8754"/>
    <col width="0.7109375" customWidth="1" style="1" min="8755" max="8755"/>
    <col width="1.5703125" customWidth="1" style="1" min="8756" max="8756"/>
    <col width="0.7109375" customWidth="1" style="1" min="8757" max="8757"/>
    <col width="11.28515625" customWidth="1" style="1" min="8758" max="8758"/>
    <col width="0.7109375" customWidth="1" style="1" min="8759" max="8759"/>
    <col width="1.5703125" customWidth="1" style="1" min="8760" max="8760"/>
    <col width="0.7109375" customWidth="1" style="1" min="8761" max="8765"/>
    <col width="2.140625" customWidth="1" style="1" min="8766" max="8766"/>
    <col width="0.7109375" customWidth="1" style="1" min="8767" max="8767"/>
    <col width="1.5703125" customWidth="1" style="1" min="8768" max="8768"/>
    <col width="0.7109375" customWidth="1" style="1" min="8769" max="8769"/>
    <col width="7" bestFit="1" customWidth="1" style="1" min="8770" max="8770"/>
    <col width="0.7109375" customWidth="1" style="1" min="8771" max="8771"/>
    <col width="4" customWidth="1" style="1" min="8772" max="8772"/>
    <col width="0.7109375" customWidth="1" style="1" min="8773" max="8773"/>
    <col width="1.5703125" customWidth="1" style="1" min="8774" max="8774"/>
    <col width="0.7109375" customWidth="1" style="1" min="8775" max="8775"/>
    <col width="7" bestFit="1" customWidth="1" style="1" min="8776" max="8776"/>
    <col width="0.7109375" customWidth="1" style="1" min="8777" max="8779"/>
    <col width="2.42578125" customWidth="1" style="1" min="8780" max="8780"/>
    <col width="0.7109375" customWidth="1" style="1" min="8781" max="8786"/>
    <col width="16.5703125" customWidth="1" style="1" min="8787" max="8787"/>
    <col width="0.7109375" customWidth="1" style="1" min="8788" max="8790"/>
    <col width="9.85546875" bestFit="1" customWidth="1" style="1" min="8791" max="8791"/>
    <col width="9.28515625" customWidth="1" style="1" min="8792" max="8794"/>
    <col width="0.7109375" customWidth="1" style="1" min="8795" max="9007"/>
    <col width="3.42578125" customWidth="1" style="1" min="9008" max="9008"/>
    <col width="2.42578125" customWidth="1" style="1" min="9009" max="9009"/>
    <col width="7" customWidth="1" style="1" min="9010" max="9010"/>
    <col width="0.7109375" customWidth="1" style="1" min="9011" max="9011"/>
    <col width="1.5703125" customWidth="1" style="1" min="9012" max="9012"/>
    <col width="0.7109375" customWidth="1" style="1" min="9013" max="9013"/>
    <col width="11.28515625" customWidth="1" style="1" min="9014" max="9014"/>
    <col width="0.7109375" customWidth="1" style="1" min="9015" max="9015"/>
    <col width="1.5703125" customWidth="1" style="1" min="9016" max="9016"/>
    <col width="0.7109375" customWidth="1" style="1" min="9017" max="9021"/>
    <col width="2.140625" customWidth="1" style="1" min="9022" max="9022"/>
    <col width="0.7109375" customWidth="1" style="1" min="9023" max="9023"/>
    <col width="1.5703125" customWidth="1" style="1" min="9024" max="9024"/>
    <col width="0.7109375" customWidth="1" style="1" min="9025" max="9025"/>
    <col width="7" bestFit="1" customWidth="1" style="1" min="9026" max="9026"/>
    <col width="0.7109375" customWidth="1" style="1" min="9027" max="9027"/>
    <col width="4" customWidth="1" style="1" min="9028" max="9028"/>
    <col width="0.7109375" customWidth="1" style="1" min="9029" max="9029"/>
    <col width="1.5703125" customWidth="1" style="1" min="9030" max="9030"/>
    <col width="0.7109375" customWidth="1" style="1" min="9031" max="9031"/>
    <col width="7" bestFit="1" customWidth="1" style="1" min="9032" max="9032"/>
    <col width="0.7109375" customWidth="1" style="1" min="9033" max="9035"/>
    <col width="2.42578125" customWidth="1" style="1" min="9036" max="9036"/>
    <col width="0.7109375" customWidth="1" style="1" min="9037" max="9042"/>
    <col width="16.5703125" customWidth="1" style="1" min="9043" max="9043"/>
    <col width="0.7109375" customWidth="1" style="1" min="9044" max="9046"/>
    <col width="9.85546875" bestFit="1" customWidth="1" style="1" min="9047" max="9047"/>
    <col width="9.28515625" customWidth="1" style="1" min="9048" max="9050"/>
    <col width="0.7109375" customWidth="1" style="1" min="9051" max="9263"/>
    <col width="3.42578125" customWidth="1" style="1" min="9264" max="9264"/>
    <col width="2.42578125" customWidth="1" style="1" min="9265" max="9265"/>
    <col width="7" customWidth="1" style="1" min="9266" max="9266"/>
    <col width="0.7109375" customWidth="1" style="1" min="9267" max="9267"/>
    <col width="1.5703125" customWidth="1" style="1" min="9268" max="9268"/>
    <col width="0.7109375" customWidth="1" style="1" min="9269" max="9269"/>
    <col width="11.28515625" customWidth="1" style="1" min="9270" max="9270"/>
    <col width="0.7109375" customWidth="1" style="1" min="9271" max="9271"/>
    <col width="1.5703125" customWidth="1" style="1" min="9272" max="9272"/>
    <col width="0.7109375" customWidth="1" style="1" min="9273" max="9277"/>
    <col width="2.140625" customWidth="1" style="1" min="9278" max="9278"/>
    <col width="0.7109375" customWidth="1" style="1" min="9279" max="9279"/>
    <col width="1.5703125" customWidth="1" style="1" min="9280" max="9280"/>
    <col width="0.7109375" customWidth="1" style="1" min="9281" max="9281"/>
    <col width="7" bestFit="1" customWidth="1" style="1" min="9282" max="9282"/>
    <col width="0.7109375" customWidth="1" style="1" min="9283" max="9283"/>
    <col width="4" customWidth="1" style="1" min="9284" max="9284"/>
    <col width="0.7109375" customWidth="1" style="1" min="9285" max="9285"/>
    <col width="1.5703125" customWidth="1" style="1" min="9286" max="9286"/>
    <col width="0.7109375" customWidth="1" style="1" min="9287" max="9287"/>
    <col width="7" bestFit="1" customWidth="1" style="1" min="9288" max="9288"/>
    <col width="0.7109375" customWidth="1" style="1" min="9289" max="9291"/>
    <col width="2.42578125" customWidth="1" style="1" min="9292" max="9292"/>
    <col width="0.7109375" customWidth="1" style="1" min="9293" max="9298"/>
    <col width="16.5703125" customWidth="1" style="1" min="9299" max="9299"/>
    <col width="0.7109375" customWidth="1" style="1" min="9300" max="9302"/>
    <col width="9.85546875" bestFit="1" customWidth="1" style="1" min="9303" max="9303"/>
    <col width="9.28515625" customWidth="1" style="1" min="9304" max="9306"/>
    <col width="0.7109375" customWidth="1" style="1" min="9307" max="9519"/>
    <col width="3.42578125" customWidth="1" style="1" min="9520" max="9520"/>
    <col width="2.42578125" customWidth="1" style="1" min="9521" max="9521"/>
    <col width="7" customWidth="1" style="1" min="9522" max="9522"/>
    <col width="0.7109375" customWidth="1" style="1" min="9523" max="9523"/>
    <col width="1.5703125" customWidth="1" style="1" min="9524" max="9524"/>
    <col width="0.7109375" customWidth="1" style="1" min="9525" max="9525"/>
    <col width="11.28515625" customWidth="1" style="1" min="9526" max="9526"/>
    <col width="0.7109375" customWidth="1" style="1" min="9527" max="9527"/>
    <col width="1.5703125" customWidth="1" style="1" min="9528" max="9528"/>
    <col width="0.7109375" customWidth="1" style="1" min="9529" max="9533"/>
    <col width="2.140625" customWidth="1" style="1" min="9534" max="9534"/>
    <col width="0.7109375" customWidth="1" style="1" min="9535" max="9535"/>
    <col width="1.5703125" customWidth="1" style="1" min="9536" max="9536"/>
    <col width="0.7109375" customWidth="1" style="1" min="9537" max="9537"/>
    <col width="7" bestFit="1" customWidth="1" style="1" min="9538" max="9538"/>
    <col width="0.7109375" customWidth="1" style="1" min="9539" max="9539"/>
    <col width="4" customWidth="1" style="1" min="9540" max="9540"/>
    <col width="0.7109375" customWidth="1" style="1" min="9541" max="9541"/>
    <col width="1.5703125" customWidth="1" style="1" min="9542" max="9542"/>
    <col width="0.7109375" customWidth="1" style="1" min="9543" max="9543"/>
    <col width="7" bestFit="1" customWidth="1" style="1" min="9544" max="9544"/>
    <col width="0.7109375" customWidth="1" style="1" min="9545" max="9547"/>
    <col width="2.42578125" customWidth="1" style="1" min="9548" max="9548"/>
    <col width="0.7109375" customWidth="1" style="1" min="9549" max="9554"/>
    <col width="16.5703125" customWidth="1" style="1" min="9555" max="9555"/>
    <col width="0.7109375" customWidth="1" style="1" min="9556" max="9558"/>
    <col width="9.85546875" bestFit="1" customWidth="1" style="1" min="9559" max="9559"/>
    <col width="9.28515625" customWidth="1" style="1" min="9560" max="9562"/>
    <col width="0.7109375" customWidth="1" style="1" min="9563" max="9775"/>
    <col width="3.42578125" customWidth="1" style="1" min="9776" max="9776"/>
    <col width="2.42578125" customWidth="1" style="1" min="9777" max="9777"/>
    <col width="7" customWidth="1" style="1" min="9778" max="9778"/>
    <col width="0.7109375" customWidth="1" style="1" min="9779" max="9779"/>
    <col width="1.5703125" customWidth="1" style="1" min="9780" max="9780"/>
    <col width="0.7109375" customWidth="1" style="1" min="9781" max="9781"/>
    <col width="11.28515625" customWidth="1" style="1" min="9782" max="9782"/>
    <col width="0.7109375" customWidth="1" style="1" min="9783" max="9783"/>
    <col width="1.5703125" customWidth="1" style="1" min="9784" max="9784"/>
    <col width="0.7109375" customWidth="1" style="1" min="9785" max="9789"/>
    <col width="2.140625" customWidth="1" style="1" min="9790" max="9790"/>
    <col width="0.7109375" customWidth="1" style="1" min="9791" max="9791"/>
    <col width="1.5703125" customWidth="1" style="1" min="9792" max="9792"/>
    <col width="0.7109375" customWidth="1" style="1" min="9793" max="9793"/>
    <col width="7" bestFit="1" customWidth="1" style="1" min="9794" max="9794"/>
    <col width="0.7109375" customWidth="1" style="1" min="9795" max="9795"/>
    <col width="4" customWidth="1" style="1" min="9796" max="9796"/>
    <col width="0.7109375" customWidth="1" style="1" min="9797" max="9797"/>
    <col width="1.5703125" customWidth="1" style="1" min="9798" max="9798"/>
    <col width="0.7109375" customWidth="1" style="1" min="9799" max="9799"/>
    <col width="7" bestFit="1" customWidth="1" style="1" min="9800" max="9800"/>
    <col width="0.7109375" customWidth="1" style="1" min="9801" max="9803"/>
    <col width="2.42578125" customWidth="1" style="1" min="9804" max="9804"/>
    <col width="0.7109375" customWidth="1" style="1" min="9805" max="9810"/>
    <col width="16.5703125" customWidth="1" style="1" min="9811" max="9811"/>
    <col width="0.7109375" customWidth="1" style="1" min="9812" max="9814"/>
    <col width="9.85546875" bestFit="1" customWidth="1" style="1" min="9815" max="9815"/>
    <col width="9.28515625" customWidth="1" style="1" min="9816" max="9818"/>
    <col width="0.7109375" customWidth="1" style="1" min="9819" max="10031"/>
    <col width="3.42578125" customWidth="1" style="1" min="10032" max="10032"/>
    <col width="2.42578125" customWidth="1" style="1" min="10033" max="10033"/>
    <col width="7" customWidth="1" style="1" min="10034" max="10034"/>
    <col width="0.7109375" customWidth="1" style="1" min="10035" max="10035"/>
    <col width="1.5703125" customWidth="1" style="1" min="10036" max="10036"/>
    <col width="0.7109375" customWidth="1" style="1" min="10037" max="10037"/>
    <col width="11.28515625" customWidth="1" style="1" min="10038" max="10038"/>
    <col width="0.7109375" customWidth="1" style="1" min="10039" max="10039"/>
    <col width="1.5703125" customWidth="1" style="1" min="10040" max="10040"/>
    <col width="0.7109375" customWidth="1" style="1" min="10041" max="10045"/>
    <col width="2.140625" customWidth="1" style="1" min="10046" max="10046"/>
    <col width="0.7109375" customWidth="1" style="1" min="10047" max="10047"/>
    <col width="1.5703125" customWidth="1" style="1" min="10048" max="10048"/>
    <col width="0.7109375" customWidth="1" style="1" min="10049" max="10049"/>
    <col width="7" bestFit="1" customWidth="1" style="1" min="10050" max="10050"/>
    <col width="0.7109375" customWidth="1" style="1" min="10051" max="10051"/>
    <col width="4" customWidth="1" style="1" min="10052" max="10052"/>
    <col width="0.7109375" customWidth="1" style="1" min="10053" max="10053"/>
    <col width="1.5703125" customWidth="1" style="1" min="10054" max="10054"/>
    <col width="0.7109375" customWidth="1" style="1" min="10055" max="10055"/>
    <col width="7" bestFit="1" customWidth="1" style="1" min="10056" max="10056"/>
    <col width="0.7109375" customWidth="1" style="1" min="10057" max="10059"/>
    <col width="2.42578125" customWidth="1" style="1" min="10060" max="10060"/>
    <col width="0.7109375" customWidth="1" style="1" min="10061" max="10066"/>
    <col width="16.5703125" customWidth="1" style="1" min="10067" max="10067"/>
    <col width="0.7109375" customWidth="1" style="1" min="10068" max="10070"/>
    <col width="9.85546875" bestFit="1" customWidth="1" style="1" min="10071" max="10071"/>
    <col width="9.28515625" customWidth="1" style="1" min="10072" max="10074"/>
    <col width="0.7109375" customWidth="1" style="1" min="10075" max="10287"/>
    <col width="3.42578125" customWidth="1" style="1" min="10288" max="10288"/>
    <col width="2.42578125" customWidth="1" style="1" min="10289" max="10289"/>
    <col width="7" customWidth="1" style="1" min="10290" max="10290"/>
    <col width="0.7109375" customWidth="1" style="1" min="10291" max="10291"/>
    <col width="1.5703125" customWidth="1" style="1" min="10292" max="10292"/>
    <col width="0.7109375" customWidth="1" style="1" min="10293" max="10293"/>
    <col width="11.28515625" customWidth="1" style="1" min="10294" max="10294"/>
    <col width="0.7109375" customWidth="1" style="1" min="10295" max="10295"/>
    <col width="1.5703125" customWidth="1" style="1" min="10296" max="10296"/>
    <col width="0.7109375" customWidth="1" style="1" min="10297" max="10301"/>
    <col width="2.140625" customWidth="1" style="1" min="10302" max="10302"/>
    <col width="0.7109375" customWidth="1" style="1" min="10303" max="10303"/>
    <col width="1.5703125" customWidth="1" style="1" min="10304" max="10304"/>
    <col width="0.7109375" customWidth="1" style="1" min="10305" max="10305"/>
    <col width="7" bestFit="1" customWidth="1" style="1" min="10306" max="10306"/>
    <col width="0.7109375" customWidth="1" style="1" min="10307" max="10307"/>
    <col width="4" customWidth="1" style="1" min="10308" max="10308"/>
    <col width="0.7109375" customWidth="1" style="1" min="10309" max="10309"/>
    <col width="1.5703125" customWidth="1" style="1" min="10310" max="10310"/>
    <col width="0.7109375" customWidth="1" style="1" min="10311" max="10311"/>
    <col width="7" bestFit="1" customWidth="1" style="1" min="10312" max="10312"/>
    <col width="0.7109375" customWidth="1" style="1" min="10313" max="10315"/>
    <col width="2.42578125" customWidth="1" style="1" min="10316" max="10316"/>
    <col width="0.7109375" customWidth="1" style="1" min="10317" max="10322"/>
    <col width="16.5703125" customWidth="1" style="1" min="10323" max="10323"/>
    <col width="0.7109375" customWidth="1" style="1" min="10324" max="10326"/>
    <col width="9.85546875" bestFit="1" customWidth="1" style="1" min="10327" max="10327"/>
    <col width="9.28515625" customWidth="1" style="1" min="10328" max="10330"/>
    <col width="0.7109375" customWidth="1" style="1" min="10331" max="10543"/>
    <col width="3.42578125" customWidth="1" style="1" min="10544" max="10544"/>
    <col width="2.42578125" customWidth="1" style="1" min="10545" max="10545"/>
    <col width="7" customWidth="1" style="1" min="10546" max="10546"/>
    <col width="0.7109375" customWidth="1" style="1" min="10547" max="10547"/>
    <col width="1.5703125" customWidth="1" style="1" min="10548" max="10548"/>
    <col width="0.7109375" customWidth="1" style="1" min="10549" max="10549"/>
    <col width="11.28515625" customWidth="1" style="1" min="10550" max="10550"/>
    <col width="0.7109375" customWidth="1" style="1" min="10551" max="10551"/>
    <col width="1.5703125" customWidth="1" style="1" min="10552" max="10552"/>
    <col width="0.7109375" customWidth="1" style="1" min="10553" max="10557"/>
    <col width="2.140625" customWidth="1" style="1" min="10558" max="10558"/>
    <col width="0.7109375" customWidth="1" style="1" min="10559" max="10559"/>
    <col width="1.5703125" customWidth="1" style="1" min="10560" max="10560"/>
    <col width="0.7109375" customWidth="1" style="1" min="10561" max="10561"/>
    <col width="7" bestFit="1" customWidth="1" style="1" min="10562" max="10562"/>
    <col width="0.7109375" customWidth="1" style="1" min="10563" max="10563"/>
    <col width="4" customWidth="1" style="1" min="10564" max="10564"/>
    <col width="0.7109375" customWidth="1" style="1" min="10565" max="10565"/>
    <col width="1.5703125" customWidth="1" style="1" min="10566" max="10566"/>
    <col width="0.7109375" customWidth="1" style="1" min="10567" max="10567"/>
    <col width="7" bestFit="1" customWidth="1" style="1" min="10568" max="10568"/>
    <col width="0.7109375" customWidth="1" style="1" min="10569" max="10571"/>
    <col width="2.42578125" customWidth="1" style="1" min="10572" max="10572"/>
    <col width="0.7109375" customWidth="1" style="1" min="10573" max="10578"/>
    <col width="16.5703125" customWidth="1" style="1" min="10579" max="10579"/>
    <col width="0.7109375" customWidth="1" style="1" min="10580" max="10582"/>
    <col width="9.85546875" bestFit="1" customWidth="1" style="1" min="10583" max="10583"/>
    <col width="9.28515625" customWidth="1" style="1" min="10584" max="10586"/>
    <col width="0.7109375" customWidth="1" style="1" min="10587" max="10799"/>
    <col width="3.42578125" customWidth="1" style="1" min="10800" max="10800"/>
    <col width="2.42578125" customWidth="1" style="1" min="10801" max="10801"/>
    <col width="7" customWidth="1" style="1" min="10802" max="10802"/>
    <col width="0.7109375" customWidth="1" style="1" min="10803" max="10803"/>
    <col width="1.5703125" customWidth="1" style="1" min="10804" max="10804"/>
    <col width="0.7109375" customWidth="1" style="1" min="10805" max="10805"/>
    <col width="11.28515625" customWidth="1" style="1" min="10806" max="10806"/>
    <col width="0.7109375" customWidth="1" style="1" min="10807" max="10807"/>
    <col width="1.5703125" customWidth="1" style="1" min="10808" max="10808"/>
    <col width="0.7109375" customWidth="1" style="1" min="10809" max="10813"/>
    <col width="2.140625" customWidth="1" style="1" min="10814" max="10814"/>
    <col width="0.7109375" customWidth="1" style="1" min="10815" max="10815"/>
    <col width="1.5703125" customWidth="1" style="1" min="10816" max="10816"/>
    <col width="0.7109375" customWidth="1" style="1" min="10817" max="10817"/>
    <col width="7" bestFit="1" customWidth="1" style="1" min="10818" max="10818"/>
    <col width="0.7109375" customWidth="1" style="1" min="10819" max="10819"/>
    <col width="4" customWidth="1" style="1" min="10820" max="10820"/>
    <col width="0.7109375" customWidth="1" style="1" min="10821" max="10821"/>
    <col width="1.5703125" customWidth="1" style="1" min="10822" max="10822"/>
    <col width="0.7109375" customWidth="1" style="1" min="10823" max="10823"/>
    <col width="7" bestFit="1" customWidth="1" style="1" min="10824" max="10824"/>
    <col width="0.7109375" customWidth="1" style="1" min="10825" max="10827"/>
    <col width="2.42578125" customWidth="1" style="1" min="10828" max="10828"/>
    <col width="0.7109375" customWidth="1" style="1" min="10829" max="10834"/>
    <col width="16.5703125" customWidth="1" style="1" min="10835" max="10835"/>
    <col width="0.7109375" customWidth="1" style="1" min="10836" max="10838"/>
    <col width="9.85546875" bestFit="1" customWidth="1" style="1" min="10839" max="10839"/>
    <col width="9.28515625" customWidth="1" style="1" min="10840" max="10842"/>
    <col width="0.7109375" customWidth="1" style="1" min="10843" max="11055"/>
    <col width="3.42578125" customWidth="1" style="1" min="11056" max="11056"/>
    <col width="2.42578125" customWidth="1" style="1" min="11057" max="11057"/>
    <col width="7" customWidth="1" style="1" min="11058" max="11058"/>
    <col width="0.7109375" customWidth="1" style="1" min="11059" max="11059"/>
    <col width="1.5703125" customWidth="1" style="1" min="11060" max="11060"/>
    <col width="0.7109375" customWidth="1" style="1" min="11061" max="11061"/>
    <col width="11.28515625" customWidth="1" style="1" min="11062" max="11062"/>
    <col width="0.7109375" customWidth="1" style="1" min="11063" max="11063"/>
    <col width="1.5703125" customWidth="1" style="1" min="11064" max="11064"/>
    <col width="0.7109375" customWidth="1" style="1" min="11065" max="11069"/>
    <col width="2.140625" customWidth="1" style="1" min="11070" max="11070"/>
    <col width="0.7109375" customWidth="1" style="1" min="11071" max="11071"/>
    <col width="1.5703125" customWidth="1" style="1" min="11072" max="11072"/>
    <col width="0.7109375" customWidth="1" style="1" min="11073" max="11073"/>
    <col width="7" bestFit="1" customWidth="1" style="1" min="11074" max="11074"/>
    <col width="0.7109375" customWidth="1" style="1" min="11075" max="11075"/>
    <col width="4" customWidth="1" style="1" min="11076" max="11076"/>
    <col width="0.7109375" customWidth="1" style="1" min="11077" max="11077"/>
    <col width="1.5703125" customWidth="1" style="1" min="11078" max="11078"/>
    <col width="0.7109375" customWidth="1" style="1" min="11079" max="11079"/>
    <col width="7" bestFit="1" customWidth="1" style="1" min="11080" max="11080"/>
    <col width="0.7109375" customWidth="1" style="1" min="11081" max="11083"/>
    <col width="2.42578125" customWidth="1" style="1" min="11084" max="11084"/>
    <col width="0.7109375" customWidth="1" style="1" min="11085" max="11090"/>
    <col width="16.5703125" customWidth="1" style="1" min="11091" max="11091"/>
    <col width="0.7109375" customWidth="1" style="1" min="11092" max="11094"/>
    <col width="9.85546875" bestFit="1" customWidth="1" style="1" min="11095" max="11095"/>
    <col width="9.28515625" customWidth="1" style="1" min="11096" max="11098"/>
    <col width="0.7109375" customWidth="1" style="1" min="11099" max="11311"/>
    <col width="3.42578125" customWidth="1" style="1" min="11312" max="11312"/>
    <col width="2.42578125" customWidth="1" style="1" min="11313" max="11313"/>
    <col width="7" customWidth="1" style="1" min="11314" max="11314"/>
    <col width="0.7109375" customWidth="1" style="1" min="11315" max="11315"/>
    <col width="1.5703125" customWidth="1" style="1" min="11316" max="11316"/>
    <col width="0.7109375" customWidth="1" style="1" min="11317" max="11317"/>
    <col width="11.28515625" customWidth="1" style="1" min="11318" max="11318"/>
    <col width="0.7109375" customWidth="1" style="1" min="11319" max="11319"/>
    <col width="1.5703125" customWidth="1" style="1" min="11320" max="11320"/>
    <col width="0.7109375" customWidth="1" style="1" min="11321" max="11325"/>
    <col width="2.140625" customWidth="1" style="1" min="11326" max="11326"/>
    <col width="0.7109375" customWidth="1" style="1" min="11327" max="11327"/>
    <col width="1.5703125" customWidth="1" style="1" min="11328" max="11328"/>
    <col width="0.7109375" customWidth="1" style="1" min="11329" max="11329"/>
    <col width="7" bestFit="1" customWidth="1" style="1" min="11330" max="11330"/>
    <col width="0.7109375" customWidth="1" style="1" min="11331" max="11331"/>
    <col width="4" customWidth="1" style="1" min="11332" max="11332"/>
    <col width="0.7109375" customWidth="1" style="1" min="11333" max="11333"/>
    <col width="1.5703125" customWidth="1" style="1" min="11334" max="11334"/>
    <col width="0.7109375" customWidth="1" style="1" min="11335" max="11335"/>
    <col width="7" bestFit="1" customWidth="1" style="1" min="11336" max="11336"/>
    <col width="0.7109375" customWidth="1" style="1" min="11337" max="11339"/>
    <col width="2.42578125" customWidth="1" style="1" min="11340" max="11340"/>
    <col width="0.7109375" customWidth="1" style="1" min="11341" max="11346"/>
    <col width="16.5703125" customWidth="1" style="1" min="11347" max="11347"/>
    <col width="0.7109375" customWidth="1" style="1" min="11348" max="11350"/>
    <col width="9.85546875" bestFit="1" customWidth="1" style="1" min="11351" max="11351"/>
    <col width="9.28515625" customWidth="1" style="1" min="11352" max="11354"/>
    <col width="0.7109375" customWidth="1" style="1" min="11355" max="11567"/>
    <col width="3.42578125" customWidth="1" style="1" min="11568" max="11568"/>
    <col width="2.42578125" customWidth="1" style="1" min="11569" max="11569"/>
    <col width="7" customWidth="1" style="1" min="11570" max="11570"/>
    <col width="0.7109375" customWidth="1" style="1" min="11571" max="11571"/>
    <col width="1.5703125" customWidth="1" style="1" min="11572" max="11572"/>
    <col width="0.7109375" customWidth="1" style="1" min="11573" max="11573"/>
    <col width="11.28515625" customWidth="1" style="1" min="11574" max="11574"/>
    <col width="0.7109375" customWidth="1" style="1" min="11575" max="11575"/>
    <col width="1.5703125" customWidth="1" style="1" min="11576" max="11576"/>
    <col width="0.7109375" customWidth="1" style="1" min="11577" max="11581"/>
    <col width="2.140625" customWidth="1" style="1" min="11582" max="11582"/>
    <col width="0.7109375" customWidth="1" style="1" min="11583" max="11583"/>
    <col width="1.5703125" customWidth="1" style="1" min="11584" max="11584"/>
    <col width="0.7109375" customWidth="1" style="1" min="11585" max="11585"/>
    <col width="7" bestFit="1" customWidth="1" style="1" min="11586" max="11586"/>
    <col width="0.7109375" customWidth="1" style="1" min="11587" max="11587"/>
    <col width="4" customWidth="1" style="1" min="11588" max="11588"/>
    <col width="0.7109375" customWidth="1" style="1" min="11589" max="11589"/>
    <col width="1.5703125" customWidth="1" style="1" min="11590" max="11590"/>
    <col width="0.7109375" customWidth="1" style="1" min="11591" max="11591"/>
    <col width="7" bestFit="1" customWidth="1" style="1" min="11592" max="11592"/>
    <col width="0.7109375" customWidth="1" style="1" min="11593" max="11595"/>
    <col width="2.42578125" customWidth="1" style="1" min="11596" max="11596"/>
    <col width="0.7109375" customWidth="1" style="1" min="11597" max="11602"/>
    <col width="16.5703125" customWidth="1" style="1" min="11603" max="11603"/>
    <col width="0.7109375" customWidth="1" style="1" min="11604" max="11606"/>
    <col width="9.85546875" bestFit="1" customWidth="1" style="1" min="11607" max="11607"/>
    <col width="9.28515625" customWidth="1" style="1" min="11608" max="11610"/>
    <col width="0.7109375" customWidth="1" style="1" min="11611" max="11823"/>
    <col width="3.42578125" customWidth="1" style="1" min="11824" max="11824"/>
    <col width="2.42578125" customWidth="1" style="1" min="11825" max="11825"/>
    <col width="7" customWidth="1" style="1" min="11826" max="11826"/>
    <col width="0.7109375" customWidth="1" style="1" min="11827" max="11827"/>
    <col width="1.5703125" customWidth="1" style="1" min="11828" max="11828"/>
    <col width="0.7109375" customWidth="1" style="1" min="11829" max="11829"/>
    <col width="11.28515625" customWidth="1" style="1" min="11830" max="11830"/>
    <col width="0.7109375" customWidth="1" style="1" min="11831" max="11831"/>
    <col width="1.5703125" customWidth="1" style="1" min="11832" max="11832"/>
    <col width="0.7109375" customWidth="1" style="1" min="11833" max="11837"/>
    <col width="2.140625" customWidth="1" style="1" min="11838" max="11838"/>
    <col width="0.7109375" customWidth="1" style="1" min="11839" max="11839"/>
    <col width="1.5703125" customWidth="1" style="1" min="11840" max="11840"/>
    <col width="0.7109375" customWidth="1" style="1" min="11841" max="11841"/>
    <col width="7" bestFit="1" customWidth="1" style="1" min="11842" max="11842"/>
    <col width="0.7109375" customWidth="1" style="1" min="11843" max="11843"/>
    <col width="4" customWidth="1" style="1" min="11844" max="11844"/>
    <col width="0.7109375" customWidth="1" style="1" min="11845" max="11845"/>
    <col width="1.5703125" customWidth="1" style="1" min="11846" max="11846"/>
    <col width="0.7109375" customWidth="1" style="1" min="11847" max="11847"/>
    <col width="7" bestFit="1" customWidth="1" style="1" min="11848" max="11848"/>
    <col width="0.7109375" customWidth="1" style="1" min="11849" max="11851"/>
    <col width="2.42578125" customWidth="1" style="1" min="11852" max="11852"/>
    <col width="0.7109375" customWidth="1" style="1" min="11853" max="11858"/>
    <col width="16.5703125" customWidth="1" style="1" min="11859" max="11859"/>
    <col width="0.7109375" customWidth="1" style="1" min="11860" max="11862"/>
    <col width="9.85546875" bestFit="1" customWidth="1" style="1" min="11863" max="11863"/>
    <col width="9.28515625" customWidth="1" style="1" min="11864" max="11866"/>
    <col width="0.7109375" customWidth="1" style="1" min="11867" max="12079"/>
    <col width="3.42578125" customWidth="1" style="1" min="12080" max="12080"/>
    <col width="2.42578125" customWidth="1" style="1" min="12081" max="12081"/>
    <col width="7" customWidth="1" style="1" min="12082" max="12082"/>
    <col width="0.7109375" customWidth="1" style="1" min="12083" max="12083"/>
    <col width="1.5703125" customWidth="1" style="1" min="12084" max="12084"/>
    <col width="0.7109375" customWidth="1" style="1" min="12085" max="12085"/>
    <col width="11.28515625" customWidth="1" style="1" min="12086" max="12086"/>
    <col width="0.7109375" customWidth="1" style="1" min="12087" max="12087"/>
    <col width="1.5703125" customWidth="1" style="1" min="12088" max="12088"/>
    <col width="0.7109375" customWidth="1" style="1" min="12089" max="12093"/>
    <col width="2.140625" customWidth="1" style="1" min="12094" max="12094"/>
    <col width="0.7109375" customWidth="1" style="1" min="12095" max="12095"/>
    <col width="1.5703125" customWidth="1" style="1" min="12096" max="12096"/>
    <col width="0.7109375" customWidth="1" style="1" min="12097" max="12097"/>
    <col width="7" bestFit="1" customWidth="1" style="1" min="12098" max="12098"/>
    <col width="0.7109375" customWidth="1" style="1" min="12099" max="12099"/>
    <col width="4" customWidth="1" style="1" min="12100" max="12100"/>
    <col width="0.7109375" customWidth="1" style="1" min="12101" max="12101"/>
    <col width="1.5703125" customWidth="1" style="1" min="12102" max="12102"/>
    <col width="0.7109375" customWidth="1" style="1" min="12103" max="12103"/>
    <col width="7" bestFit="1" customWidth="1" style="1" min="12104" max="12104"/>
    <col width="0.7109375" customWidth="1" style="1" min="12105" max="12107"/>
    <col width="2.42578125" customWidth="1" style="1" min="12108" max="12108"/>
    <col width="0.7109375" customWidth="1" style="1" min="12109" max="12114"/>
    <col width="16.5703125" customWidth="1" style="1" min="12115" max="12115"/>
    <col width="0.7109375" customWidth="1" style="1" min="12116" max="12118"/>
    <col width="9.85546875" bestFit="1" customWidth="1" style="1" min="12119" max="12119"/>
    <col width="9.28515625" customWidth="1" style="1" min="12120" max="12122"/>
    <col width="0.7109375" customWidth="1" style="1" min="12123" max="12335"/>
    <col width="3.42578125" customWidth="1" style="1" min="12336" max="12336"/>
    <col width="2.42578125" customWidth="1" style="1" min="12337" max="12337"/>
    <col width="7" customWidth="1" style="1" min="12338" max="12338"/>
    <col width="0.7109375" customWidth="1" style="1" min="12339" max="12339"/>
    <col width="1.5703125" customWidth="1" style="1" min="12340" max="12340"/>
    <col width="0.7109375" customWidth="1" style="1" min="12341" max="12341"/>
    <col width="11.28515625" customWidth="1" style="1" min="12342" max="12342"/>
    <col width="0.7109375" customWidth="1" style="1" min="12343" max="12343"/>
    <col width="1.5703125" customWidth="1" style="1" min="12344" max="12344"/>
    <col width="0.7109375" customWidth="1" style="1" min="12345" max="12349"/>
    <col width="2.140625" customWidth="1" style="1" min="12350" max="12350"/>
    <col width="0.7109375" customWidth="1" style="1" min="12351" max="12351"/>
    <col width="1.5703125" customWidth="1" style="1" min="12352" max="12352"/>
    <col width="0.7109375" customWidth="1" style="1" min="12353" max="12353"/>
    <col width="7" bestFit="1" customWidth="1" style="1" min="12354" max="12354"/>
    <col width="0.7109375" customWidth="1" style="1" min="12355" max="12355"/>
    <col width="4" customWidth="1" style="1" min="12356" max="12356"/>
    <col width="0.7109375" customWidth="1" style="1" min="12357" max="12357"/>
    <col width="1.5703125" customWidth="1" style="1" min="12358" max="12358"/>
    <col width="0.7109375" customWidth="1" style="1" min="12359" max="12359"/>
    <col width="7" bestFit="1" customWidth="1" style="1" min="12360" max="12360"/>
    <col width="0.7109375" customWidth="1" style="1" min="12361" max="12363"/>
    <col width="2.42578125" customWidth="1" style="1" min="12364" max="12364"/>
    <col width="0.7109375" customWidth="1" style="1" min="12365" max="12370"/>
    <col width="16.5703125" customWidth="1" style="1" min="12371" max="12371"/>
    <col width="0.7109375" customWidth="1" style="1" min="12372" max="12374"/>
    <col width="9.85546875" bestFit="1" customWidth="1" style="1" min="12375" max="12375"/>
    <col width="9.28515625" customWidth="1" style="1" min="12376" max="12378"/>
    <col width="0.7109375" customWidth="1" style="1" min="12379" max="12591"/>
    <col width="3.42578125" customWidth="1" style="1" min="12592" max="12592"/>
    <col width="2.42578125" customWidth="1" style="1" min="12593" max="12593"/>
    <col width="7" customWidth="1" style="1" min="12594" max="12594"/>
    <col width="0.7109375" customWidth="1" style="1" min="12595" max="12595"/>
    <col width="1.5703125" customWidth="1" style="1" min="12596" max="12596"/>
    <col width="0.7109375" customWidth="1" style="1" min="12597" max="12597"/>
    <col width="11.28515625" customWidth="1" style="1" min="12598" max="12598"/>
    <col width="0.7109375" customWidth="1" style="1" min="12599" max="12599"/>
    <col width="1.5703125" customWidth="1" style="1" min="12600" max="12600"/>
    <col width="0.7109375" customWidth="1" style="1" min="12601" max="12605"/>
    <col width="2.140625" customWidth="1" style="1" min="12606" max="12606"/>
    <col width="0.7109375" customWidth="1" style="1" min="12607" max="12607"/>
    <col width="1.5703125" customWidth="1" style="1" min="12608" max="12608"/>
    <col width="0.7109375" customWidth="1" style="1" min="12609" max="12609"/>
    <col width="7" bestFit="1" customWidth="1" style="1" min="12610" max="12610"/>
    <col width="0.7109375" customWidth="1" style="1" min="12611" max="12611"/>
    <col width="4" customWidth="1" style="1" min="12612" max="12612"/>
    <col width="0.7109375" customWidth="1" style="1" min="12613" max="12613"/>
    <col width="1.5703125" customWidth="1" style="1" min="12614" max="12614"/>
    <col width="0.7109375" customWidth="1" style="1" min="12615" max="12615"/>
    <col width="7" bestFit="1" customWidth="1" style="1" min="12616" max="12616"/>
    <col width="0.7109375" customWidth="1" style="1" min="12617" max="12619"/>
    <col width="2.42578125" customWidth="1" style="1" min="12620" max="12620"/>
    <col width="0.7109375" customWidth="1" style="1" min="12621" max="12626"/>
    <col width="16.5703125" customWidth="1" style="1" min="12627" max="12627"/>
    <col width="0.7109375" customWidth="1" style="1" min="12628" max="12630"/>
    <col width="9.85546875" bestFit="1" customWidth="1" style="1" min="12631" max="12631"/>
    <col width="9.28515625" customWidth="1" style="1" min="12632" max="12634"/>
    <col width="0.7109375" customWidth="1" style="1" min="12635" max="12847"/>
    <col width="3.42578125" customWidth="1" style="1" min="12848" max="12848"/>
    <col width="2.42578125" customWidth="1" style="1" min="12849" max="12849"/>
    <col width="7" customWidth="1" style="1" min="12850" max="12850"/>
    <col width="0.7109375" customWidth="1" style="1" min="12851" max="12851"/>
    <col width="1.5703125" customWidth="1" style="1" min="12852" max="12852"/>
    <col width="0.7109375" customWidth="1" style="1" min="12853" max="12853"/>
    <col width="11.28515625" customWidth="1" style="1" min="12854" max="12854"/>
    <col width="0.7109375" customWidth="1" style="1" min="12855" max="12855"/>
    <col width="1.5703125" customWidth="1" style="1" min="12856" max="12856"/>
    <col width="0.7109375" customWidth="1" style="1" min="12857" max="12861"/>
    <col width="2.140625" customWidth="1" style="1" min="12862" max="12862"/>
    <col width="0.7109375" customWidth="1" style="1" min="12863" max="12863"/>
    <col width="1.5703125" customWidth="1" style="1" min="12864" max="12864"/>
    <col width="0.7109375" customWidth="1" style="1" min="12865" max="12865"/>
    <col width="7" bestFit="1" customWidth="1" style="1" min="12866" max="12866"/>
    <col width="0.7109375" customWidth="1" style="1" min="12867" max="12867"/>
    <col width="4" customWidth="1" style="1" min="12868" max="12868"/>
    <col width="0.7109375" customWidth="1" style="1" min="12869" max="12869"/>
    <col width="1.5703125" customWidth="1" style="1" min="12870" max="12870"/>
    <col width="0.7109375" customWidth="1" style="1" min="12871" max="12871"/>
    <col width="7" bestFit="1" customWidth="1" style="1" min="12872" max="12872"/>
    <col width="0.7109375" customWidth="1" style="1" min="12873" max="12875"/>
    <col width="2.42578125" customWidth="1" style="1" min="12876" max="12876"/>
    <col width="0.7109375" customWidth="1" style="1" min="12877" max="12882"/>
    <col width="16.5703125" customWidth="1" style="1" min="12883" max="12883"/>
    <col width="0.7109375" customWidth="1" style="1" min="12884" max="12886"/>
    <col width="9.85546875" bestFit="1" customWidth="1" style="1" min="12887" max="12887"/>
    <col width="9.28515625" customWidth="1" style="1" min="12888" max="12890"/>
    <col width="0.7109375" customWidth="1" style="1" min="12891" max="13103"/>
    <col width="3.42578125" customWidth="1" style="1" min="13104" max="13104"/>
    <col width="2.42578125" customWidth="1" style="1" min="13105" max="13105"/>
    <col width="7" customWidth="1" style="1" min="13106" max="13106"/>
    <col width="0.7109375" customWidth="1" style="1" min="13107" max="13107"/>
    <col width="1.5703125" customWidth="1" style="1" min="13108" max="13108"/>
    <col width="0.7109375" customWidth="1" style="1" min="13109" max="13109"/>
    <col width="11.28515625" customWidth="1" style="1" min="13110" max="13110"/>
    <col width="0.7109375" customWidth="1" style="1" min="13111" max="13111"/>
    <col width="1.5703125" customWidth="1" style="1" min="13112" max="13112"/>
    <col width="0.7109375" customWidth="1" style="1" min="13113" max="13117"/>
    <col width="2.140625" customWidth="1" style="1" min="13118" max="13118"/>
    <col width="0.7109375" customWidth="1" style="1" min="13119" max="13119"/>
    <col width="1.5703125" customWidth="1" style="1" min="13120" max="13120"/>
    <col width="0.7109375" customWidth="1" style="1" min="13121" max="13121"/>
    <col width="7" bestFit="1" customWidth="1" style="1" min="13122" max="13122"/>
    <col width="0.7109375" customWidth="1" style="1" min="13123" max="13123"/>
    <col width="4" customWidth="1" style="1" min="13124" max="13124"/>
    <col width="0.7109375" customWidth="1" style="1" min="13125" max="13125"/>
    <col width="1.5703125" customWidth="1" style="1" min="13126" max="13126"/>
    <col width="0.7109375" customWidth="1" style="1" min="13127" max="13127"/>
    <col width="7" bestFit="1" customWidth="1" style="1" min="13128" max="13128"/>
    <col width="0.7109375" customWidth="1" style="1" min="13129" max="13131"/>
    <col width="2.42578125" customWidth="1" style="1" min="13132" max="13132"/>
    <col width="0.7109375" customWidth="1" style="1" min="13133" max="13138"/>
    <col width="16.5703125" customWidth="1" style="1" min="13139" max="13139"/>
    <col width="0.7109375" customWidth="1" style="1" min="13140" max="13142"/>
    <col width="9.85546875" bestFit="1" customWidth="1" style="1" min="13143" max="13143"/>
    <col width="9.28515625" customWidth="1" style="1" min="13144" max="13146"/>
    <col width="0.7109375" customWidth="1" style="1" min="13147" max="13359"/>
    <col width="3.42578125" customWidth="1" style="1" min="13360" max="13360"/>
    <col width="2.42578125" customWidth="1" style="1" min="13361" max="13361"/>
    <col width="7" customWidth="1" style="1" min="13362" max="13362"/>
    <col width="0.7109375" customWidth="1" style="1" min="13363" max="13363"/>
    <col width="1.5703125" customWidth="1" style="1" min="13364" max="13364"/>
    <col width="0.7109375" customWidth="1" style="1" min="13365" max="13365"/>
    <col width="11.28515625" customWidth="1" style="1" min="13366" max="13366"/>
    <col width="0.7109375" customWidth="1" style="1" min="13367" max="13367"/>
    <col width="1.5703125" customWidth="1" style="1" min="13368" max="13368"/>
    <col width="0.7109375" customWidth="1" style="1" min="13369" max="13373"/>
    <col width="2.140625" customWidth="1" style="1" min="13374" max="13374"/>
    <col width="0.7109375" customWidth="1" style="1" min="13375" max="13375"/>
    <col width="1.5703125" customWidth="1" style="1" min="13376" max="13376"/>
    <col width="0.7109375" customWidth="1" style="1" min="13377" max="13377"/>
    <col width="7" bestFit="1" customWidth="1" style="1" min="13378" max="13378"/>
    <col width="0.7109375" customWidth="1" style="1" min="13379" max="13379"/>
    <col width="4" customWidth="1" style="1" min="13380" max="13380"/>
    <col width="0.7109375" customWidth="1" style="1" min="13381" max="13381"/>
    <col width="1.5703125" customWidth="1" style="1" min="13382" max="13382"/>
    <col width="0.7109375" customWidth="1" style="1" min="13383" max="13383"/>
    <col width="7" bestFit="1" customWidth="1" style="1" min="13384" max="13384"/>
    <col width="0.7109375" customWidth="1" style="1" min="13385" max="13387"/>
    <col width="2.42578125" customWidth="1" style="1" min="13388" max="13388"/>
    <col width="0.7109375" customWidth="1" style="1" min="13389" max="13394"/>
    <col width="16.5703125" customWidth="1" style="1" min="13395" max="13395"/>
    <col width="0.7109375" customWidth="1" style="1" min="13396" max="13398"/>
    <col width="9.85546875" bestFit="1" customWidth="1" style="1" min="13399" max="13399"/>
    <col width="9.28515625" customWidth="1" style="1" min="13400" max="13402"/>
    <col width="0.7109375" customWidth="1" style="1" min="13403" max="13615"/>
    <col width="3.42578125" customWidth="1" style="1" min="13616" max="13616"/>
    <col width="2.42578125" customWidth="1" style="1" min="13617" max="13617"/>
    <col width="7" customWidth="1" style="1" min="13618" max="13618"/>
    <col width="0.7109375" customWidth="1" style="1" min="13619" max="13619"/>
    <col width="1.5703125" customWidth="1" style="1" min="13620" max="13620"/>
    <col width="0.7109375" customWidth="1" style="1" min="13621" max="13621"/>
    <col width="11.28515625" customWidth="1" style="1" min="13622" max="13622"/>
    <col width="0.7109375" customWidth="1" style="1" min="13623" max="13623"/>
    <col width="1.5703125" customWidth="1" style="1" min="13624" max="13624"/>
    <col width="0.7109375" customWidth="1" style="1" min="13625" max="13629"/>
    <col width="2.140625" customWidth="1" style="1" min="13630" max="13630"/>
    <col width="0.7109375" customWidth="1" style="1" min="13631" max="13631"/>
    <col width="1.5703125" customWidth="1" style="1" min="13632" max="13632"/>
    <col width="0.7109375" customWidth="1" style="1" min="13633" max="13633"/>
    <col width="7" bestFit="1" customWidth="1" style="1" min="13634" max="13634"/>
    <col width="0.7109375" customWidth="1" style="1" min="13635" max="13635"/>
    <col width="4" customWidth="1" style="1" min="13636" max="13636"/>
    <col width="0.7109375" customWidth="1" style="1" min="13637" max="13637"/>
    <col width="1.5703125" customWidth="1" style="1" min="13638" max="13638"/>
    <col width="0.7109375" customWidth="1" style="1" min="13639" max="13639"/>
    <col width="7" bestFit="1" customWidth="1" style="1" min="13640" max="13640"/>
    <col width="0.7109375" customWidth="1" style="1" min="13641" max="13643"/>
    <col width="2.42578125" customWidth="1" style="1" min="13644" max="13644"/>
    <col width="0.7109375" customWidth="1" style="1" min="13645" max="13650"/>
    <col width="16.5703125" customWidth="1" style="1" min="13651" max="13651"/>
    <col width="0.7109375" customWidth="1" style="1" min="13652" max="13654"/>
    <col width="9.85546875" bestFit="1" customWidth="1" style="1" min="13655" max="13655"/>
    <col width="9.28515625" customWidth="1" style="1" min="13656" max="13658"/>
    <col width="0.7109375" customWidth="1" style="1" min="13659" max="13871"/>
    <col width="3.42578125" customWidth="1" style="1" min="13872" max="13872"/>
    <col width="2.42578125" customWidth="1" style="1" min="13873" max="13873"/>
    <col width="7" customWidth="1" style="1" min="13874" max="13874"/>
    <col width="0.7109375" customWidth="1" style="1" min="13875" max="13875"/>
    <col width="1.5703125" customWidth="1" style="1" min="13876" max="13876"/>
    <col width="0.7109375" customWidth="1" style="1" min="13877" max="13877"/>
    <col width="11.28515625" customWidth="1" style="1" min="13878" max="13878"/>
    <col width="0.7109375" customWidth="1" style="1" min="13879" max="13879"/>
    <col width="1.5703125" customWidth="1" style="1" min="13880" max="13880"/>
    <col width="0.7109375" customWidth="1" style="1" min="13881" max="13885"/>
    <col width="2.140625" customWidth="1" style="1" min="13886" max="13886"/>
    <col width="0.7109375" customWidth="1" style="1" min="13887" max="13887"/>
    <col width="1.5703125" customWidth="1" style="1" min="13888" max="13888"/>
    <col width="0.7109375" customWidth="1" style="1" min="13889" max="13889"/>
    <col width="7" bestFit="1" customWidth="1" style="1" min="13890" max="13890"/>
    <col width="0.7109375" customWidth="1" style="1" min="13891" max="13891"/>
    <col width="4" customWidth="1" style="1" min="13892" max="13892"/>
    <col width="0.7109375" customWidth="1" style="1" min="13893" max="13893"/>
    <col width="1.5703125" customWidth="1" style="1" min="13894" max="13894"/>
    <col width="0.7109375" customWidth="1" style="1" min="13895" max="13895"/>
    <col width="7" bestFit="1" customWidth="1" style="1" min="13896" max="13896"/>
    <col width="0.7109375" customWidth="1" style="1" min="13897" max="13899"/>
    <col width="2.42578125" customWidth="1" style="1" min="13900" max="13900"/>
    <col width="0.7109375" customWidth="1" style="1" min="13901" max="13906"/>
    <col width="16.5703125" customWidth="1" style="1" min="13907" max="13907"/>
    <col width="0.7109375" customWidth="1" style="1" min="13908" max="13910"/>
    <col width="9.85546875" bestFit="1" customWidth="1" style="1" min="13911" max="13911"/>
    <col width="9.28515625" customWidth="1" style="1" min="13912" max="13914"/>
    <col width="0.7109375" customWidth="1" style="1" min="13915" max="14127"/>
    <col width="3.42578125" customWidth="1" style="1" min="14128" max="14128"/>
    <col width="2.42578125" customWidth="1" style="1" min="14129" max="14129"/>
    <col width="7" customWidth="1" style="1" min="14130" max="14130"/>
    <col width="0.7109375" customWidth="1" style="1" min="14131" max="14131"/>
    <col width="1.5703125" customWidth="1" style="1" min="14132" max="14132"/>
    <col width="0.7109375" customWidth="1" style="1" min="14133" max="14133"/>
    <col width="11.28515625" customWidth="1" style="1" min="14134" max="14134"/>
    <col width="0.7109375" customWidth="1" style="1" min="14135" max="14135"/>
    <col width="1.5703125" customWidth="1" style="1" min="14136" max="14136"/>
    <col width="0.7109375" customWidth="1" style="1" min="14137" max="14141"/>
    <col width="2.140625" customWidth="1" style="1" min="14142" max="14142"/>
    <col width="0.7109375" customWidth="1" style="1" min="14143" max="14143"/>
    <col width="1.5703125" customWidth="1" style="1" min="14144" max="14144"/>
    <col width="0.7109375" customWidth="1" style="1" min="14145" max="14145"/>
    <col width="7" bestFit="1" customWidth="1" style="1" min="14146" max="14146"/>
    <col width="0.7109375" customWidth="1" style="1" min="14147" max="14147"/>
    <col width="4" customWidth="1" style="1" min="14148" max="14148"/>
    <col width="0.7109375" customWidth="1" style="1" min="14149" max="14149"/>
    <col width="1.5703125" customWidth="1" style="1" min="14150" max="14150"/>
    <col width="0.7109375" customWidth="1" style="1" min="14151" max="14151"/>
    <col width="7" bestFit="1" customWidth="1" style="1" min="14152" max="14152"/>
    <col width="0.7109375" customWidth="1" style="1" min="14153" max="14155"/>
    <col width="2.42578125" customWidth="1" style="1" min="14156" max="14156"/>
    <col width="0.7109375" customWidth="1" style="1" min="14157" max="14162"/>
    <col width="16.5703125" customWidth="1" style="1" min="14163" max="14163"/>
    <col width="0.7109375" customWidth="1" style="1" min="14164" max="14166"/>
    <col width="9.85546875" bestFit="1" customWidth="1" style="1" min="14167" max="14167"/>
    <col width="9.28515625" customWidth="1" style="1" min="14168" max="14170"/>
    <col width="0.7109375" customWidth="1" style="1" min="14171" max="14383"/>
    <col width="3.42578125" customWidth="1" style="1" min="14384" max="14384"/>
    <col width="2.42578125" customWidth="1" style="1" min="14385" max="14385"/>
    <col width="7" customWidth="1" style="1" min="14386" max="14386"/>
    <col width="0.7109375" customWidth="1" style="1" min="14387" max="14387"/>
    <col width="1.5703125" customWidth="1" style="1" min="14388" max="14388"/>
    <col width="0.7109375" customWidth="1" style="1" min="14389" max="14389"/>
    <col width="11.28515625" customWidth="1" style="1" min="14390" max="14390"/>
    <col width="0.7109375" customWidth="1" style="1" min="14391" max="14391"/>
    <col width="1.5703125" customWidth="1" style="1" min="14392" max="14392"/>
    <col width="0.7109375" customWidth="1" style="1" min="14393" max="14397"/>
    <col width="2.140625" customWidth="1" style="1" min="14398" max="14398"/>
    <col width="0.7109375" customWidth="1" style="1" min="14399" max="14399"/>
    <col width="1.5703125" customWidth="1" style="1" min="14400" max="14400"/>
    <col width="0.7109375" customWidth="1" style="1" min="14401" max="14401"/>
    <col width="7" bestFit="1" customWidth="1" style="1" min="14402" max="14402"/>
    <col width="0.7109375" customWidth="1" style="1" min="14403" max="14403"/>
    <col width="4" customWidth="1" style="1" min="14404" max="14404"/>
    <col width="0.7109375" customWidth="1" style="1" min="14405" max="14405"/>
    <col width="1.5703125" customWidth="1" style="1" min="14406" max="14406"/>
    <col width="0.7109375" customWidth="1" style="1" min="14407" max="14407"/>
    <col width="7" bestFit="1" customWidth="1" style="1" min="14408" max="14408"/>
    <col width="0.7109375" customWidth="1" style="1" min="14409" max="14411"/>
    <col width="2.42578125" customWidth="1" style="1" min="14412" max="14412"/>
    <col width="0.7109375" customWidth="1" style="1" min="14413" max="14418"/>
    <col width="16.5703125" customWidth="1" style="1" min="14419" max="14419"/>
    <col width="0.7109375" customWidth="1" style="1" min="14420" max="14422"/>
    <col width="9.85546875" bestFit="1" customWidth="1" style="1" min="14423" max="14423"/>
    <col width="9.28515625" customWidth="1" style="1" min="14424" max="14426"/>
    <col width="0.7109375" customWidth="1" style="1" min="14427" max="14639"/>
    <col width="3.42578125" customWidth="1" style="1" min="14640" max="14640"/>
    <col width="2.42578125" customWidth="1" style="1" min="14641" max="14641"/>
    <col width="7" customWidth="1" style="1" min="14642" max="14642"/>
    <col width="0.7109375" customWidth="1" style="1" min="14643" max="14643"/>
    <col width="1.5703125" customWidth="1" style="1" min="14644" max="14644"/>
    <col width="0.7109375" customWidth="1" style="1" min="14645" max="14645"/>
    <col width="11.28515625" customWidth="1" style="1" min="14646" max="14646"/>
    <col width="0.7109375" customWidth="1" style="1" min="14647" max="14647"/>
    <col width="1.5703125" customWidth="1" style="1" min="14648" max="14648"/>
    <col width="0.7109375" customWidth="1" style="1" min="14649" max="14653"/>
    <col width="2.140625" customWidth="1" style="1" min="14654" max="14654"/>
    <col width="0.7109375" customWidth="1" style="1" min="14655" max="14655"/>
    <col width="1.5703125" customWidth="1" style="1" min="14656" max="14656"/>
    <col width="0.7109375" customWidth="1" style="1" min="14657" max="14657"/>
    <col width="7" bestFit="1" customWidth="1" style="1" min="14658" max="14658"/>
    <col width="0.7109375" customWidth="1" style="1" min="14659" max="14659"/>
    <col width="4" customWidth="1" style="1" min="14660" max="14660"/>
    <col width="0.7109375" customWidth="1" style="1" min="14661" max="14661"/>
    <col width="1.5703125" customWidth="1" style="1" min="14662" max="14662"/>
    <col width="0.7109375" customWidth="1" style="1" min="14663" max="14663"/>
    <col width="7" bestFit="1" customWidth="1" style="1" min="14664" max="14664"/>
    <col width="0.7109375" customWidth="1" style="1" min="14665" max="14667"/>
    <col width="2.42578125" customWidth="1" style="1" min="14668" max="14668"/>
    <col width="0.7109375" customWidth="1" style="1" min="14669" max="14674"/>
    <col width="16.5703125" customWidth="1" style="1" min="14675" max="14675"/>
    <col width="0.7109375" customWidth="1" style="1" min="14676" max="14678"/>
    <col width="9.85546875" bestFit="1" customWidth="1" style="1" min="14679" max="14679"/>
    <col width="9.28515625" customWidth="1" style="1" min="14680" max="14682"/>
    <col width="0.7109375" customWidth="1" style="1" min="14683" max="14895"/>
    <col width="3.42578125" customWidth="1" style="1" min="14896" max="14896"/>
    <col width="2.42578125" customWidth="1" style="1" min="14897" max="14897"/>
    <col width="7" customWidth="1" style="1" min="14898" max="14898"/>
    <col width="0.7109375" customWidth="1" style="1" min="14899" max="14899"/>
    <col width="1.5703125" customWidth="1" style="1" min="14900" max="14900"/>
    <col width="0.7109375" customWidth="1" style="1" min="14901" max="14901"/>
    <col width="11.28515625" customWidth="1" style="1" min="14902" max="14902"/>
    <col width="0.7109375" customWidth="1" style="1" min="14903" max="14903"/>
    <col width="1.5703125" customWidth="1" style="1" min="14904" max="14904"/>
    <col width="0.7109375" customWidth="1" style="1" min="14905" max="14909"/>
    <col width="2.140625" customWidth="1" style="1" min="14910" max="14910"/>
    <col width="0.7109375" customWidth="1" style="1" min="14911" max="14911"/>
    <col width="1.5703125" customWidth="1" style="1" min="14912" max="14912"/>
    <col width="0.7109375" customWidth="1" style="1" min="14913" max="14913"/>
    <col width="7" bestFit="1" customWidth="1" style="1" min="14914" max="14914"/>
    <col width="0.7109375" customWidth="1" style="1" min="14915" max="14915"/>
    <col width="4" customWidth="1" style="1" min="14916" max="14916"/>
    <col width="0.7109375" customWidth="1" style="1" min="14917" max="14917"/>
    <col width="1.5703125" customWidth="1" style="1" min="14918" max="14918"/>
    <col width="0.7109375" customWidth="1" style="1" min="14919" max="14919"/>
    <col width="7" bestFit="1" customWidth="1" style="1" min="14920" max="14920"/>
    <col width="0.7109375" customWidth="1" style="1" min="14921" max="14923"/>
    <col width="2.42578125" customWidth="1" style="1" min="14924" max="14924"/>
    <col width="0.7109375" customWidth="1" style="1" min="14925" max="14930"/>
    <col width="16.5703125" customWidth="1" style="1" min="14931" max="14931"/>
    <col width="0.7109375" customWidth="1" style="1" min="14932" max="14934"/>
    <col width="9.85546875" bestFit="1" customWidth="1" style="1" min="14935" max="14935"/>
    <col width="9.28515625" customWidth="1" style="1" min="14936" max="14938"/>
    <col width="0.7109375" customWidth="1" style="1" min="14939" max="15151"/>
    <col width="3.42578125" customWidth="1" style="1" min="15152" max="15152"/>
    <col width="2.42578125" customWidth="1" style="1" min="15153" max="15153"/>
    <col width="7" customWidth="1" style="1" min="15154" max="15154"/>
    <col width="0.7109375" customWidth="1" style="1" min="15155" max="15155"/>
    <col width="1.5703125" customWidth="1" style="1" min="15156" max="15156"/>
    <col width="0.7109375" customWidth="1" style="1" min="15157" max="15157"/>
    <col width="11.28515625" customWidth="1" style="1" min="15158" max="15158"/>
    <col width="0.7109375" customWidth="1" style="1" min="15159" max="15159"/>
    <col width="1.5703125" customWidth="1" style="1" min="15160" max="15160"/>
    <col width="0.7109375" customWidth="1" style="1" min="15161" max="15165"/>
    <col width="2.140625" customWidth="1" style="1" min="15166" max="15166"/>
    <col width="0.7109375" customWidth="1" style="1" min="15167" max="15167"/>
    <col width="1.5703125" customWidth="1" style="1" min="15168" max="15168"/>
    <col width="0.7109375" customWidth="1" style="1" min="15169" max="15169"/>
    <col width="7" bestFit="1" customWidth="1" style="1" min="15170" max="15170"/>
    <col width="0.7109375" customWidth="1" style="1" min="15171" max="15171"/>
    <col width="4" customWidth="1" style="1" min="15172" max="15172"/>
    <col width="0.7109375" customWidth="1" style="1" min="15173" max="15173"/>
    <col width="1.5703125" customWidth="1" style="1" min="15174" max="15174"/>
    <col width="0.7109375" customWidth="1" style="1" min="15175" max="15175"/>
    <col width="7" bestFit="1" customWidth="1" style="1" min="15176" max="15176"/>
    <col width="0.7109375" customWidth="1" style="1" min="15177" max="15179"/>
    <col width="2.42578125" customWidth="1" style="1" min="15180" max="15180"/>
    <col width="0.7109375" customWidth="1" style="1" min="15181" max="15186"/>
    <col width="16.5703125" customWidth="1" style="1" min="15187" max="15187"/>
    <col width="0.7109375" customWidth="1" style="1" min="15188" max="15190"/>
    <col width="9.85546875" bestFit="1" customWidth="1" style="1" min="15191" max="15191"/>
    <col width="9.28515625" customWidth="1" style="1" min="15192" max="15194"/>
    <col width="0.7109375" customWidth="1" style="1" min="15195" max="15407"/>
    <col width="3.42578125" customWidth="1" style="1" min="15408" max="15408"/>
    <col width="2.42578125" customWidth="1" style="1" min="15409" max="15409"/>
    <col width="7" customWidth="1" style="1" min="15410" max="15410"/>
    <col width="0.7109375" customWidth="1" style="1" min="15411" max="15411"/>
    <col width="1.5703125" customWidth="1" style="1" min="15412" max="15412"/>
    <col width="0.7109375" customWidth="1" style="1" min="15413" max="15413"/>
    <col width="11.28515625" customWidth="1" style="1" min="15414" max="15414"/>
    <col width="0.7109375" customWidth="1" style="1" min="15415" max="15415"/>
    <col width="1.5703125" customWidth="1" style="1" min="15416" max="15416"/>
    <col width="0.7109375" customWidth="1" style="1" min="15417" max="15421"/>
    <col width="2.140625" customWidth="1" style="1" min="15422" max="15422"/>
    <col width="0.7109375" customWidth="1" style="1" min="15423" max="15423"/>
    <col width="1.5703125" customWidth="1" style="1" min="15424" max="15424"/>
    <col width="0.7109375" customWidth="1" style="1" min="15425" max="15425"/>
    <col width="7" bestFit="1" customWidth="1" style="1" min="15426" max="15426"/>
    <col width="0.7109375" customWidth="1" style="1" min="15427" max="15427"/>
    <col width="4" customWidth="1" style="1" min="15428" max="15428"/>
    <col width="0.7109375" customWidth="1" style="1" min="15429" max="15429"/>
    <col width="1.5703125" customWidth="1" style="1" min="15430" max="15430"/>
    <col width="0.7109375" customWidth="1" style="1" min="15431" max="15431"/>
    <col width="7" bestFit="1" customWidth="1" style="1" min="15432" max="15432"/>
    <col width="0.7109375" customWidth="1" style="1" min="15433" max="15435"/>
    <col width="2.42578125" customWidth="1" style="1" min="15436" max="15436"/>
    <col width="0.7109375" customWidth="1" style="1" min="15437" max="15442"/>
    <col width="16.5703125" customWidth="1" style="1" min="15443" max="15443"/>
    <col width="0.7109375" customWidth="1" style="1" min="15444" max="15446"/>
    <col width="9.85546875" bestFit="1" customWidth="1" style="1" min="15447" max="15447"/>
    <col width="9.28515625" customWidth="1" style="1" min="15448" max="15450"/>
    <col width="0.7109375" customWidth="1" style="1" min="15451" max="15663"/>
    <col width="3.42578125" customWidth="1" style="1" min="15664" max="15664"/>
    <col width="2.42578125" customWidth="1" style="1" min="15665" max="15665"/>
    <col width="7" customWidth="1" style="1" min="15666" max="15666"/>
    <col width="0.7109375" customWidth="1" style="1" min="15667" max="15667"/>
    <col width="1.5703125" customWidth="1" style="1" min="15668" max="15668"/>
    <col width="0.7109375" customWidth="1" style="1" min="15669" max="15669"/>
    <col width="11.28515625" customWidth="1" style="1" min="15670" max="15670"/>
    <col width="0.7109375" customWidth="1" style="1" min="15671" max="15671"/>
    <col width="1.5703125" customWidth="1" style="1" min="15672" max="15672"/>
    <col width="0.7109375" customWidth="1" style="1" min="15673" max="15677"/>
    <col width="2.140625" customWidth="1" style="1" min="15678" max="15678"/>
    <col width="0.7109375" customWidth="1" style="1" min="15679" max="15679"/>
    <col width="1.5703125" customWidth="1" style="1" min="15680" max="15680"/>
    <col width="0.7109375" customWidth="1" style="1" min="15681" max="15681"/>
    <col width="7" bestFit="1" customWidth="1" style="1" min="15682" max="15682"/>
    <col width="0.7109375" customWidth="1" style="1" min="15683" max="15683"/>
    <col width="4" customWidth="1" style="1" min="15684" max="15684"/>
    <col width="0.7109375" customWidth="1" style="1" min="15685" max="15685"/>
    <col width="1.5703125" customWidth="1" style="1" min="15686" max="15686"/>
    <col width="0.7109375" customWidth="1" style="1" min="15687" max="15687"/>
    <col width="7" bestFit="1" customWidth="1" style="1" min="15688" max="15688"/>
    <col width="0.7109375" customWidth="1" style="1" min="15689" max="15691"/>
    <col width="2.42578125" customWidth="1" style="1" min="15692" max="15692"/>
    <col width="0.7109375" customWidth="1" style="1" min="15693" max="15698"/>
    <col width="16.5703125" customWidth="1" style="1" min="15699" max="15699"/>
    <col width="0.7109375" customWidth="1" style="1" min="15700" max="15702"/>
    <col width="9.85546875" bestFit="1" customWidth="1" style="1" min="15703" max="15703"/>
    <col width="9.28515625" customWidth="1" style="1" min="15704" max="15706"/>
    <col width="0.7109375" customWidth="1" style="1" min="15707" max="15919"/>
    <col width="3.42578125" customWidth="1" style="1" min="15920" max="15920"/>
    <col width="2.42578125" customWidth="1" style="1" min="15921" max="15921"/>
    <col width="7" customWidth="1" style="1" min="15922" max="15922"/>
    <col width="0.7109375" customWidth="1" style="1" min="15923" max="15923"/>
    <col width="1.5703125" customWidth="1" style="1" min="15924" max="15924"/>
    <col width="0.7109375" customWidth="1" style="1" min="15925" max="15925"/>
    <col width="11.28515625" customWidth="1" style="1" min="15926" max="15926"/>
    <col width="0.7109375" customWidth="1" style="1" min="15927" max="15927"/>
    <col width="1.5703125" customWidth="1" style="1" min="15928" max="15928"/>
    <col width="0.7109375" customWidth="1" style="1" min="15929" max="15933"/>
    <col width="2.140625" customWidth="1" style="1" min="15934" max="15934"/>
    <col width="0.7109375" customWidth="1" style="1" min="15935" max="15935"/>
    <col width="1.5703125" customWidth="1" style="1" min="15936" max="15936"/>
    <col width="0.7109375" customWidth="1" style="1" min="15937" max="15937"/>
    <col width="7" bestFit="1" customWidth="1" style="1" min="15938" max="15938"/>
    <col width="0.7109375" customWidth="1" style="1" min="15939" max="15939"/>
    <col width="4" customWidth="1" style="1" min="15940" max="15940"/>
    <col width="0.7109375" customWidth="1" style="1" min="15941" max="15941"/>
    <col width="1.5703125" customWidth="1" style="1" min="15942" max="15942"/>
    <col width="0.7109375" customWidth="1" style="1" min="15943" max="15943"/>
    <col width="7" bestFit="1" customWidth="1" style="1" min="15944" max="15944"/>
    <col width="0.7109375" customWidth="1" style="1" min="15945" max="15947"/>
    <col width="2.42578125" customWidth="1" style="1" min="15948" max="15948"/>
    <col width="0.7109375" customWidth="1" style="1" min="15949" max="15954"/>
    <col width="16.5703125" customWidth="1" style="1" min="15955" max="15955"/>
    <col width="0.7109375" customWidth="1" style="1" min="15956" max="15958"/>
    <col width="9.85546875" bestFit="1" customWidth="1" style="1" min="15959" max="15959"/>
    <col width="9.28515625" customWidth="1" style="1" min="15960" max="15962"/>
    <col width="0.7109375" customWidth="1" style="1" min="15963" max="16175"/>
    <col width="3.42578125" customWidth="1" style="1" min="16176" max="16176"/>
    <col width="2.42578125" customWidth="1" style="1" min="16177" max="16177"/>
    <col width="7" customWidth="1" style="1" min="16178" max="16178"/>
    <col width="0.7109375" customWidth="1" style="1" min="16179" max="16179"/>
    <col width="1.5703125" customWidth="1" style="1" min="16180" max="16180"/>
    <col width="0.7109375" customWidth="1" style="1" min="16181" max="16181"/>
    <col width="11.28515625" customWidth="1" style="1" min="16182" max="16182"/>
    <col width="0.7109375" customWidth="1" style="1" min="16183" max="16183"/>
    <col width="1.5703125" customWidth="1" style="1" min="16184" max="16184"/>
    <col width="0.7109375" customWidth="1" style="1" min="16185" max="16189"/>
    <col width="2.140625" customWidth="1" style="1" min="16190" max="16190"/>
    <col width="0.7109375" customWidth="1" style="1" min="16191" max="16191"/>
    <col width="1.5703125" customWidth="1" style="1" min="16192" max="16192"/>
    <col width="0.7109375" customWidth="1" style="1" min="16193" max="16193"/>
    <col width="7" bestFit="1" customWidth="1" style="1" min="16194" max="16194"/>
    <col width="0.7109375" customWidth="1" style="1" min="16195" max="16195"/>
    <col width="4" customWidth="1" style="1" min="16196" max="16196"/>
    <col width="0.7109375" customWidth="1" style="1" min="16197" max="16197"/>
    <col width="1.5703125" customWidth="1" style="1" min="16198" max="16198"/>
    <col width="0.7109375" customWidth="1" style="1" min="16199" max="16199"/>
    <col width="7" bestFit="1" customWidth="1" style="1" min="16200" max="16200"/>
    <col width="0.7109375" customWidth="1" style="1" min="16201" max="16203"/>
    <col width="2.42578125" customWidth="1" style="1" min="16204" max="16204"/>
    <col width="0.7109375" customWidth="1" style="1" min="16205" max="16210"/>
    <col width="16.5703125" customWidth="1" style="1" min="16211" max="16211"/>
    <col width="0.7109375" customWidth="1" style="1" min="16212" max="16214"/>
    <col width="9.85546875" bestFit="1" customWidth="1" style="1" min="16215" max="16215"/>
    <col width="9.28515625" customWidth="1" style="1" min="16216" max="16218"/>
    <col width="0.7109375" customWidth="1" style="1" min="16219" max="16384"/>
  </cols>
  <sheetData>
    <row r="1" ht="16.5" customHeight="1" thickBot="1">
      <c r="C1" s="436">
        <f>DADOS!$B$2</f>
        <v/>
      </c>
      <c r="D1" s="437" t="n"/>
      <c r="E1" s="437" t="n"/>
      <c r="F1" s="437" t="n"/>
      <c r="G1" s="437" t="n"/>
      <c r="H1" s="437" t="n"/>
      <c r="I1" s="437" t="n"/>
      <c r="J1" s="437" t="n"/>
      <c r="K1" s="437" t="n"/>
      <c r="L1" s="437" t="n"/>
      <c r="M1" s="437" t="n"/>
      <c r="N1" s="437" t="n"/>
      <c r="O1" s="437" t="n"/>
      <c r="P1" s="437" t="n"/>
      <c r="Q1" s="437" t="n"/>
      <c r="R1" s="437" t="n"/>
      <c r="S1" s="437" t="n"/>
      <c r="T1" s="437" t="n"/>
      <c r="U1" s="437" t="n"/>
      <c r="V1" s="437" t="n"/>
      <c r="W1" s="437" t="n"/>
      <c r="X1" s="437" t="n"/>
      <c r="Y1" s="437" t="n"/>
      <c r="Z1" s="437" t="n"/>
      <c r="AA1" s="437" t="n"/>
      <c r="AB1" s="437" t="n"/>
      <c r="AC1" s="437" t="n"/>
      <c r="AD1" s="437" t="n"/>
      <c r="AE1" s="437" t="n"/>
      <c r="AF1" s="437" t="n"/>
      <c r="AG1" s="437" t="n"/>
      <c r="AH1" s="437" t="n"/>
      <c r="AI1" s="437" t="n"/>
      <c r="AJ1" s="437" t="n"/>
      <c r="AK1" s="437" t="n"/>
      <c r="AL1" s="437" t="n"/>
      <c r="AM1" s="437" t="n"/>
      <c r="AN1" s="437" t="n"/>
      <c r="AO1" s="437" t="n"/>
      <c r="AP1" s="437" t="n"/>
      <c r="AQ1" s="437" t="n"/>
      <c r="AR1" s="437" t="n"/>
      <c r="AS1" s="437" t="n"/>
      <c r="AT1" s="437" t="n"/>
      <c r="AU1" s="437" t="n"/>
      <c r="AV1" s="437" t="n"/>
      <c r="AW1" s="437" t="n"/>
      <c r="AX1" s="437" t="n"/>
      <c r="AY1" s="437" t="n"/>
      <c r="AZ1" s="437" t="n"/>
      <c r="BA1" s="437" t="n"/>
      <c r="BB1" s="437" t="n"/>
      <c r="BC1" s="437" t="n"/>
      <c r="BD1" s="437" t="n"/>
      <c r="BE1" s="437" t="n"/>
      <c r="BF1" s="437" t="n"/>
      <c r="BG1" s="437" t="n"/>
      <c r="BH1" s="437" t="n"/>
      <c r="BI1" s="437" t="n"/>
      <c r="BJ1" s="437" t="n"/>
      <c r="BK1" s="437" t="n"/>
      <c r="BL1" s="437" t="n"/>
      <c r="BM1" s="437" t="n"/>
      <c r="BN1" s="437" t="n"/>
      <c r="BO1" s="437" t="n"/>
      <c r="BP1" s="437" t="n"/>
      <c r="BQ1" s="437" t="n"/>
      <c r="BR1" s="437" t="n"/>
      <c r="BS1" s="437" t="n"/>
      <c r="BT1" s="437" t="n"/>
      <c r="BU1" s="437" t="n"/>
      <c r="BV1" s="437" t="n"/>
      <c r="BW1" s="437" t="n"/>
      <c r="BX1" s="437" t="n"/>
      <c r="BY1" s="437" t="n"/>
      <c r="BZ1" s="437" t="n"/>
      <c r="CA1" s="437" t="n"/>
      <c r="CB1" s="438" t="n"/>
      <c r="CC1" s="70" t="n"/>
    </row>
    <row r="2" ht="6" customHeight="1" thickBot="1"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0" t="n"/>
      <c r="AA2" s="70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  <c r="AM2" s="70" t="n"/>
      <c r="AN2" s="70" t="n"/>
      <c r="AO2" s="70" t="n"/>
      <c r="AP2" s="70" t="n"/>
      <c r="AQ2" s="70" t="n"/>
      <c r="AR2" s="70" t="n"/>
      <c r="AS2" s="70" t="n"/>
      <c r="AT2" s="70" t="n"/>
      <c r="AU2" s="70" t="n"/>
      <c r="AV2" s="70" t="n"/>
      <c r="AW2" s="70" t="n"/>
      <c r="AX2" s="70" t="n"/>
      <c r="AY2" s="70" t="n"/>
      <c r="AZ2" s="70" t="n"/>
      <c r="BA2" s="70" t="n"/>
      <c r="BB2" s="70" t="n"/>
      <c r="BC2" s="70" t="n"/>
      <c r="BD2" s="70" t="n"/>
      <c r="BE2" s="70" t="n"/>
      <c r="BF2" s="70" t="n"/>
      <c r="BG2" s="70" t="n"/>
      <c r="BH2" s="70" t="n"/>
      <c r="BI2" s="70" t="n"/>
      <c r="BJ2" s="70" t="n"/>
      <c r="BK2" s="70" t="n"/>
      <c r="BL2" s="70" t="n"/>
      <c r="BM2" s="70" t="n"/>
      <c r="BN2" s="70" t="n"/>
      <c r="BO2" s="70" t="n"/>
      <c r="BP2" s="70" t="n"/>
      <c r="BQ2" s="70" t="n"/>
      <c r="BR2" s="70" t="n"/>
      <c r="BS2" s="70" t="n"/>
      <c r="BT2" s="70" t="n"/>
      <c r="BU2" s="70" t="n"/>
      <c r="BV2" s="70" t="n"/>
      <c r="BW2" s="70" t="n"/>
      <c r="BX2" s="70" t="n"/>
      <c r="BY2" s="70" t="n"/>
      <c r="BZ2" s="70" t="n"/>
      <c r="CA2" s="70" t="n"/>
      <c r="CB2" s="70" t="n"/>
      <c r="CC2" s="70" t="n"/>
    </row>
    <row r="3" ht="15" customHeight="1" thickBot="1">
      <c r="C3" s="72" t="inlineStr">
        <is>
          <t xml:space="preserve">Data da pactuação: </t>
        </is>
      </c>
      <c r="D3" s="439">
        <f>DADOS!$B$3</f>
        <v/>
      </c>
      <c r="E3" s="437" t="n"/>
      <c r="F3" s="437" t="n"/>
      <c r="G3" s="437" t="n"/>
      <c r="H3" s="437" t="n"/>
      <c r="I3" s="437" t="n"/>
      <c r="J3" s="437" t="n"/>
      <c r="K3" s="437" t="n"/>
      <c r="L3" s="44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  <c r="AQ3" s="70" t="n"/>
      <c r="AR3" s="70" t="n"/>
      <c r="AS3" s="70" t="n"/>
      <c r="AT3" s="70" t="n"/>
      <c r="AU3" s="70" t="n"/>
      <c r="AV3" s="70" t="n"/>
      <c r="AW3" s="70" t="n"/>
      <c r="AX3" s="70" t="n"/>
      <c r="AY3" s="70" t="n"/>
      <c r="AZ3" s="70" t="n"/>
      <c r="BA3" s="70" t="n"/>
      <c r="BB3" s="70" t="n"/>
      <c r="BC3" s="70" t="n"/>
      <c r="BD3" s="70" t="n"/>
      <c r="BE3" s="70" t="n"/>
      <c r="BF3" s="70" t="n"/>
      <c r="BG3" s="70" t="n"/>
      <c r="BH3" s="70" t="n"/>
      <c r="BI3" s="70" t="n"/>
      <c r="BJ3" s="70" t="n"/>
      <c r="BK3" s="70" t="n"/>
      <c r="BL3" s="70" t="n"/>
      <c r="BM3" s="70" t="n"/>
      <c r="BN3" s="70" t="n"/>
      <c r="BO3" s="70" t="n"/>
      <c r="BP3" s="70" t="n"/>
      <c r="BQ3" s="70" t="n"/>
      <c r="BR3" s="70" t="n"/>
      <c r="BS3" s="70" t="n"/>
      <c r="BT3" s="70" t="n"/>
      <c r="BU3" s="70" t="n"/>
      <c r="BV3" s="70" t="n"/>
      <c r="BW3" s="70" t="n"/>
      <c r="BX3" s="70" t="n"/>
      <c r="BY3" s="70" t="n"/>
      <c r="BZ3" s="70" t="n"/>
      <c r="CA3" s="70" t="n"/>
      <c r="CB3" s="70" t="n"/>
      <c r="CC3" s="70" t="n"/>
    </row>
    <row r="4" ht="15.75" customHeight="1" thickBot="1">
      <c r="C4" s="72" t="inlineStr">
        <is>
          <t>Data do cálculo:</t>
        </is>
      </c>
      <c r="D4" s="439">
        <f>TODAY()</f>
        <v/>
      </c>
      <c r="E4" s="437" t="n"/>
      <c r="F4" s="437" t="n"/>
      <c r="G4" s="437" t="n"/>
      <c r="H4" s="437" t="n"/>
      <c r="I4" s="437" t="n"/>
      <c r="J4" s="437" t="n"/>
      <c r="K4" s="437" t="n"/>
      <c r="L4" s="440" t="n"/>
      <c r="M4" s="130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  <c r="AQ4" s="70" t="n"/>
      <c r="AR4" s="70" t="n"/>
      <c r="AS4" s="70" t="n"/>
      <c r="AT4" s="70" t="n"/>
      <c r="AU4" s="70" t="n"/>
      <c r="AV4" s="70" t="n"/>
      <c r="AW4" s="70" t="n"/>
      <c r="AX4" s="70" t="n"/>
      <c r="AY4" s="70" t="n"/>
      <c r="AZ4" s="70" t="n"/>
      <c r="BA4" s="70" t="n"/>
      <c r="BB4" s="70" t="n"/>
      <c r="BC4" s="70" t="n"/>
      <c r="BD4" s="70" t="n"/>
      <c r="BE4" s="70" t="n"/>
      <c r="BF4" s="70" t="n"/>
      <c r="BG4" s="70" t="n"/>
      <c r="BH4" s="70" t="n"/>
      <c r="BI4" s="70" t="n"/>
      <c r="BJ4" s="70" t="n"/>
      <c r="BK4" s="70" t="n"/>
      <c r="BL4" s="70" t="n"/>
      <c r="BM4" s="70" t="n"/>
      <c r="BN4" s="70" t="n"/>
      <c r="BO4" s="70" t="n"/>
      <c r="BP4" s="70" t="n"/>
      <c r="BQ4" s="70" t="n"/>
      <c r="BR4" s="70" t="n"/>
      <c r="BS4" s="70" t="n"/>
      <c r="BT4" s="70" t="n"/>
      <c r="BU4" s="70" t="n"/>
      <c r="BV4" s="70" t="n"/>
      <c r="BW4" s="70" t="n"/>
      <c r="BX4" s="70" t="n"/>
      <c r="BY4" s="70" t="n"/>
      <c r="BZ4" s="70" t="n"/>
      <c r="CA4" s="70" t="n"/>
      <c r="CB4" s="70" t="n"/>
      <c r="CC4" s="70" t="n"/>
    </row>
    <row r="5" ht="6" customHeight="1" thickBot="1">
      <c r="C5" s="72" t="inlineStr">
        <is>
          <t>Data do 1º vencimento:</t>
        </is>
      </c>
      <c r="D5" s="439">
        <f>DADOS!$B$4</f>
        <v/>
      </c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  <c r="AJ5" s="70" t="n"/>
      <c r="AK5" s="70" t="n"/>
      <c r="AL5" s="70" t="n"/>
      <c r="AM5" s="70" t="n"/>
      <c r="AN5" s="70" t="n"/>
      <c r="AO5" s="70" t="n"/>
      <c r="AP5" s="70" t="n"/>
      <c r="AQ5" s="70" t="n"/>
      <c r="AR5" s="70" t="n"/>
      <c r="AS5" s="70" t="n"/>
      <c r="AT5" s="70" t="n"/>
      <c r="AU5" s="70" t="n"/>
      <c r="AV5" s="70" t="n"/>
      <c r="AW5" s="70" t="n"/>
      <c r="AX5" s="70" t="n"/>
      <c r="AY5" s="70" t="n"/>
      <c r="AZ5" s="70" t="n"/>
      <c r="BA5" s="70" t="n"/>
      <c r="BB5" s="70" t="n"/>
      <c r="BC5" s="70" t="n"/>
      <c r="BD5" s="70" t="n"/>
      <c r="BE5" s="70" t="n"/>
      <c r="BF5" s="70" t="n"/>
      <c r="BG5" s="70" t="n"/>
      <c r="BH5" s="70" t="n"/>
      <c r="BI5" s="70" t="n"/>
      <c r="BJ5" s="70" t="n"/>
      <c r="BK5" s="70" t="n"/>
      <c r="BL5" s="70" t="n"/>
      <c r="BM5" s="70" t="n"/>
      <c r="BN5" s="70" t="n"/>
      <c r="BO5" s="70" t="n"/>
      <c r="BP5" s="70" t="n"/>
      <c r="BQ5" s="70" t="n"/>
      <c r="BR5" s="70" t="n"/>
      <c r="BS5" s="70" t="n"/>
      <c r="BT5" s="70" t="n"/>
      <c r="BU5" s="70" t="n"/>
      <c r="BV5" s="70" t="n"/>
      <c r="BW5" s="70" t="n"/>
      <c r="BX5" s="70" t="n"/>
      <c r="BY5" s="70" t="n"/>
      <c r="BZ5" s="70" t="n"/>
      <c r="CA5" s="70" t="n"/>
      <c r="CB5" s="70" t="n"/>
      <c r="CC5" s="70" t="n"/>
    </row>
    <row r="6" ht="15" customHeight="1" thickBot="1">
      <c r="C6" s="122" t="inlineStr">
        <is>
          <t>DADOS DO CONTRATO</t>
        </is>
      </c>
      <c r="D6" s="441" t="n"/>
      <c r="E6" s="441" t="n"/>
      <c r="F6" s="441" t="n"/>
      <c r="G6" s="441" t="n"/>
      <c r="H6" s="441" t="n"/>
      <c r="I6" s="441" t="n"/>
      <c r="J6" s="441" t="n"/>
      <c r="K6" s="441" t="n"/>
      <c r="L6" s="441" t="n"/>
      <c r="M6" s="441" t="n"/>
      <c r="N6" s="441" t="n"/>
      <c r="O6" s="441" t="n"/>
      <c r="P6" s="441" t="n"/>
      <c r="Q6" s="441" t="n"/>
      <c r="R6" s="441" t="n"/>
      <c r="S6" s="441" t="n"/>
      <c r="T6" s="441" t="n"/>
      <c r="U6" s="441" t="n"/>
      <c r="V6" s="441" t="n"/>
      <c r="W6" s="441" t="n"/>
      <c r="X6" s="441" t="n"/>
      <c r="Y6" s="442" t="n"/>
      <c r="Z6" s="70" t="n"/>
      <c r="AA6" s="70" t="n"/>
      <c r="AB6" s="70" t="n"/>
      <c r="AC6" s="70" t="n"/>
      <c r="AD6" s="134" t="inlineStr">
        <is>
          <t>VALORES RECALCULADOS</t>
        </is>
      </c>
      <c r="AE6" s="437" t="n"/>
      <c r="AF6" s="437" t="n"/>
      <c r="AG6" s="437" t="n"/>
      <c r="AH6" s="437" t="n"/>
      <c r="AI6" s="437" t="n"/>
      <c r="AJ6" s="437" t="n"/>
      <c r="AK6" s="437" t="n"/>
      <c r="AL6" s="437" t="n"/>
      <c r="AM6" s="437" t="n"/>
      <c r="AN6" s="437" t="n"/>
      <c r="AO6" s="437" t="n"/>
      <c r="AP6" s="437" t="n"/>
      <c r="AQ6" s="437" t="n"/>
      <c r="AR6" s="437" t="n"/>
      <c r="AS6" s="437" t="n"/>
      <c r="AT6" s="437" t="n"/>
      <c r="AU6" s="437" t="n"/>
      <c r="AV6" s="437" t="n"/>
      <c r="AW6" s="437" t="n"/>
      <c r="AX6" s="437" t="n"/>
      <c r="AY6" s="437" t="n"/>
      <c r="AZ6" s="440" t="n"/>
      <c r="BA6" s="70" t="n"/>
      <c r="BB6" s="70" t="n"/>
      <c r="BC6" s="70" t="n"/>
      <c r="BD6" s="70" t="n"/>
      <c r="BE6" s="443" t="inlineStr">
        <is>
          <t>SALDO RECALCULADO DESCONTANDO AS PARCELAS PAGAS</t>
        </is>
      </c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41" t="n"/>
      <c r="BQ6" s="441" t="n"/>
      <c r="BR6" s="441" t="n"/>
      <c r="BS6" s="441" t="n"/>
      <c r="BT6" s="441" t="n"/>
      <c r="BU6" s="441" t="n"/>
      <c r="BV6" s="441" t="n"/>
      <c r="BW6" s="441" t="n"/>
      <c r="BX6" s="441" t="n"/>
      <c r="BY6" s="441" t="n"/>
      <c r="BZ6" s="441" t="n"/>
      <c r="CA6" s="441" t="n"/>
      <c r="CB6" s="444" t="n"/>
      <c r="CC6" s="70" t="n"/>
    </row>
    <row r="7" ht="15" customFormat="1" customHeight="1" s="33">
      <c r="C7" s="140" t="inlineStr">
        <is>
          <t>Valor principal financiado =</t>
        </is>
      </c>
      <c r="D7" s="445" t="n"/>
      <c r="E7" s="445" t="n"/>
      <c r="F7" s="445" t="n"/>
      <c r="G7" s="445" t="n"/>
      <c r="H7" s="446" t="n"/>
      <c r="I7" s="447">
        <f>DADOS!$B$6</f>
        <v/>
      </c>
      <c r="J7" s="445" t="n"/>
      <c r="K7" s="445" t="n"/>
      <c r="L7" s="445" t="n"/>
      <c r="M7" s="445" t="n"/>
      <c r="N7" s="445" t="n"/>
      <c r="O7" s="445" t="n"/>
      <c r="P7" s="445" t="n"/>
      <c r="Q7" s="445" t="n"/>
      <c r="R7" s="445" t="n"/>
      <c r="S7" s="445" t="n"/>
      <c r="T7" s="445" t="n"/>
      <c r="U7" s="445" t="n"/>
      <c r="V7" s="445" t="n"/>
      <c r="W7" s="445" t="n"/>
      <c r="X7" s="445" t="n"/>
      <c r="Y7" s="446" t="n"/>
      <c r="Z7" s="70" t="n"/>
      <c r="AA7" s="70" t="n"/>
      <c r="AB7" s="70" t="n"/>
      <c r="AC7" s="70" t="n"/>
      <c r="AD7" s="144" t="inlineStr">
        <is>
          <t>Valor principal financiado =</t>
        </is>
      </c>
      <c r="AE7" s="448" t="n"/>
      <c r="AF7" s="448" t="n"/>
      <c r="AG7" s="448" t="n"/>
      <c r="AH7" s="448" t="n"/>
      <c r="AI7" s="448" t="n"/>
      <c r="AJ7" s="448" t="n"/>
      <c r="AK7" s="448" t="n"/>
      <c r="AL7" s="448" t="n"/>
      <c r="AM7" s="448" t="n"/>
      <c r="AN7" s="448" t="n"/>
      <c r="AO7" s="449" t="n"/>
      <c r="AP7" s="450">
        <f>I7</f>
        <v/>
      </c>
      <c r="AQ7" s="448" t="n"/>
      <c r="AR7" s="448" t="n"/>
      <c r="AS7" s="448" t="n"/>
      <c r="AT7" s="448" t="n"/>
      <c r="AU7" s="448" t="n"/>
      <c r="AV7" s="448" t="n"/>
      <c r="AW7" s="448" t="n"/>
      <c r="AX7" s="448" t="n"/>
      <c r="AY7" s="448" t="n"/>
      <c r="AZ7" s="449" t="n"/>
      <c r="BA7" s="70" t="n"/>
      <c r="BB7" s="70" t="n"/>
      <c r="BC7" s="70" t="n"/>
      <c r="BD7" s="70" t="n"/>
      <c r="BE7" s="140" t="inlineStr">
        <is>
          <t xml:space="preserve">Saldo devedor total do contrato = </t>
        </is>
      </c>
      <c r="BF7" s="445" t="n"/>
      <c r="BG7" s="445" t="n"/>
      <c r="BH7" s="445" t="n"/>
      <c r="BI7" s="445" t="n"/>
      <c r="BJ7" s="445" t="n"/>
      <c r="BK7" s="446" t="n"/>
      <c r="BL7" s="451">
        <f>AP17</f>
        <v/>
      </c>
      <c r="BM7" s="445" t="n"/>
      <c r="BN7" s="445" t="n"/>
      <c r="BO7" s="445" t="n"/>
      <c r="BP7" s="445" t="n"/>
      <c r="BQ7" s="445" t="n"/>
      <c r="BR7" s="445" t="n"/>
      <c r="BS7" s="445" t="n"/>
      <c r="BT7" s="445" t="n"/>
      <c r="BU7" s="445" t="n"/>
      <c r="BV7" s="445" t="n"/>
      <c r="BW7" s="445" t="n"/>
      <c r="BX7" s="445" t="n"/>
      <c r="BY7" s="445" t="n"/>
      <c r="BZ7" s="445" t="n"/>
      <c r="CA7" s="445" t="n"/>
      <c r="CB7" s="446" t="n"/>
      <c r="CC7" s="70" t="n"/>
      <c r="CE7" s="452" t="n"/>
      <c r="CI7" s="35" t="n"/>
      <c r="CK7" s="452" t="n"/>
      <c r="CL7" s="35" t="n"/>
    </row>
    <row r="8" ht="15" customFormat="1" customHeight="1" s="33">
      <c r="C8" s="125" t="inlineStr">
        <is>
          <t xml:space="preserve">Seguros = </t>
        </is>
      </c>
      <c r="D8" s="453" t="n"/>
      <c r="E8" s="453" t="n"/>
      <c r="F8" s="453" t="n"/>
      <c r="G8" s="453" t="n"/>
      <c r="H8" s="454" t="n"/>
      <c r="I8" s="455" t="n">
        <v>0</v>
      </c>
      <c r="J8" s="453" t="n"/>
      <c r="K8" s="453" t="n"/>
      <c r="L8" s="453" t="n"/>
      <c r="M8" s="453" t="n"/>
      <c r="N8" s="453" t="n"/>
      <c r="O8" s="453" t="n"/>
      <c r="P8" s="453" t="n"/>
      <c r="Q8" s="453" t="n"/>
      <c r="R8" s="453" t="n"/>
      <c r="S8" s="453" t="n"/>
      <c r="T8" s="453" t="n"/>
      <c r="U8" s="453" t="n"/>
      <c r="V8" s="453" t="n"/>
      <c r="W8" s="453" t="n"/>
      <c r="X8" s="453" t="n"/>
      <c r="Y8" s="454" t="n"/>
      <c r="Z8" s="70" t="n"/>
      <c r="AA8" s="70" t="n"/>
      <c r="AB8" s="70" t="n"/>
      <c r="AC8" s="70" t="n"/>
      <c r="AD8" s="125" t="inlineStr">
        <is>
          <t xml:space="preserve">Seguros = </t>
        </is>
      </c>
      <c r="AE8" s="453" t="n"/>
      <c r="AF8" s="453" t="n"/>
      <c r="AG8" s="453" t="n"/>
      <c r="AH8" s="453" t="n"/>
      <c r="AI8" s="453" t="n"/>
      <c r="AJ8" s="453" t="n"/>
      <c r="AK8" s="453" t="n"/>
      <c r="AL8" s="453" t="n"/>
      <c r="AM8" s="453" t="n"/>
      <c r="AN8" s="453" t="n"/>
      <c r="AO8" s="454" t="n"/>
      <c r="AP8" s="455" t="n">
        <v>0</v>
      </c>
      <c r="AQ8" s="453" t="n"/>
      <c r="AR8" s="453" t="n"/>
      <c r="AS8" s="453" t="n"/>
      <c r="AT8" s="453" t="n"/>
      <c r="AU8" s="453" t="n"/>
      <c r="AV8" s="453" t="n"/>
      <c r="AW8" s="453" t="n"/>
      <c r="AX8" s="453" t="n"/>
      <c r="AY8" s="453" t="n"/>
      <c r="AZ8" s="454" t="n"/>
      <c r="BA8" s="70" t="n"/>
      <c r="BB8" s="70" t="n"/>
      <c r="BC8" s="70" t="n"/>
      <c r="BD8" s="70" t="n"/>
      <c r="BE8" s="125" t="inlineStr">
        <is>
          <t>Quantidade de parcelas pagas=</t>
        </is>
      </c>
      <c r="BF8" s="453" t="n"/>
      <c r="BG8" s="453" t="n"/>
      <c r="BH8" s="453" t="n"/>
      <c r="BI8" s="453" t="n"/>
      <c r="BJ8" s="453" t="n"/>
      <c r="BK8" s="454" t="n"/>
      <c r="BL8" s="117">
        <f>DADOS!$B$13</f>
        <v/>
      </c>
      <c r="BM8" s="453" t="n"/>
      <c r="BN8" s="453" t="n"/>
      <c r="BO8" s="453" t="n"/>
      <c r="BP8" s="453" t="n"/>
      <c r="BQ8" s="453" t="n"/>
      <c r="BR8" s="453" t="n"/>
      <c r="BS8" s="453" t="n"/>
      <c r="BT8" s="453" t="n"/>
      <c r="BU8" s="453" t="n"/>
      <c r="BV8" s="453" t="n"/>
      <c r="BW8" s="453" t="n"/>
      <c r="BX8" s="453" t="n"/>
      <c r="BY8" s="453" t="n"/>
      <c r="BZ8" s="453" t="n"/>
      <c r="CA8" s="453" t="n"/>
      <c r="CB8" s="454" t="n"/>
      <c r="CC8" s="70" t="n"/>
      <c r="CE8" s="452" t="n"/>
      <c r="CI8" s="35" t="n"/>
      <c r="CK8" s="452" t="n"/>
      <c r="CL8" s="35" t="n"/>
    </row>
    <row r="9" ht="15" customFormat="1" customHeight="1" s="33">
      <c r="C9" s="125" t="inlineStr">
        <is>
          <t xml:space="preserve">TAC = </t>
        </is>
      </c>
      <c r="D9" s="453" t="n"/>
      <c r="E9" s="453" t="n"/>
      <c r="F9" s="453" t="n"/>
      <c r="G9" s="453" t="n"/>
      <c r="H9" s="454" t="n"/>
      <c r="I9" s="455">
        <f>DADOS!$B$7</f>
        <v/>
      </c>
      <c r="J9" s="453" t="n"/>
      <c r="K9" s="453" t="n"/>
      <c r="L9" s="453" t="n"/>
      <c r="M9" s="453" t="n"/>
      <c r="N9" s="453" t="n"/>
      <c r="O9" s="453" t="n"/>
      <c r="P9" s="453" t="n"/>
      <c r="Q9" s="453" t="n"/>
      <c r="R9" s="453" t="n"/>
      <c r="S9" s="453" t="n"/>
      <c r="T9" s="453" t="n"/>
      <c r="U9" s="453" t="n"/>
      <c r="V9" s="453" t="n"/>
      <c r="W9" s="453" t="n"/>
      <c r="X9" s="453" t="n"/>
      <c r="Y9" s="454" t="n"/>
      <c r="Z9" s="70" t="n"/>
      <c r="AA9" s="70" t="n"/>
      <c r="AB9" s="70" t="n"/>
      <c r="AC9" s="70" t="n"/>
      <c r="AD9" s="125" t="inlineStr">
        <is>
          <t xml:space="preserve">TAC = </t>
        </is>
      </c>
      <c r="AE9" s="453" t="n"/>
      <c r="AF9" s="453" t="n"/>
      <c r="AG9" s="453" t="n"/>
      <c r="AH9" s="453" t="n"/>
      <c r="AI9" s="453" t="n"/>
      <c r="AJ9" s="453" t="n"/>
      <c r="AK9" s="453" t="n"/>
      <c r="AL9" s="453" t="n"/>
      <c r="AM9" s="453" t="n"/>
      <c r="AN9" s="453" t="n"/>
      <c r="AO9" s="454" t="n"/>
      <c r="AP9" s="455" t="n">
        <v>0</v>
      </c>
      <c r="AQ9" s="453" t="n"/>
      <c r="AR9" s="453" t="n"/>
      <c r="AS9" s="453" t="n"/>
      <c r="AT9" s="453" t="n"/>
      <c r="AU9" s="453" t="n"/>
      <c r="AV9" s="453" t="n"/>
      <c r="AW9" s="453" t="n"/>
      <c r="AX9" s="453" t="n"/>
      <c r="AY9" s="453" t="n"/>
      <c r="AZ9" s="454" t="n"/>
      <c r="BA9" s="70" t="n"/>
      <c r="BB9" s="70" t="n"/>
      <c r="BC9" s="70" t="n"/>
      <c r="BD9" s="70" t="n"/>
      <c r="BE9" s="125" t="inlineStr">
        <is>
          <t xml:space="preserve">Valor da parcela paga = </t>
        </is>
      </c>
      <c r="BF9" s="453" t="n"/>
      <c r="BG9" s="453" t="n"/>
      <c r="BH9" s="453" t="n"/>
      <c r="BI9" s="453" t="n"/>
      <c r="BJ9" s="453" t="n"/>
      <c r="BK9" s="454" t="n"/>
      <c r="BL9" s="456">
        <f>I16</f>
        <v/>
      </c>
      <c r="BM9" s="453" t="n"/>
      <c r="BN9" s="453" t="n"/>
      <c r="BO9" s="453" t="n"/>
      <c r="BP9" s="453" t="n"/>
      <c r="BQ9" s="453" t="n"/>
      <c r="BR9" s="453" t="n"/>
      <c r="BS9" s="453" t="n"/>
      <c r="BT9" s="453" t="n"/>
      <c r="BU9" s="453" t="n"/>
      <c r="BV9" s="453" t="n"/>
      <c r="BW9" s="453" t="n"/>
      <c r="BX9" s="453" t="n"/>
      <c r="BY9" s="453" t="n"/>
      <c r="BZ9" s="453" t="n"/>
      <c r="CA9" s="453" t="n"/>
      <c r="CB9" s="454" t="n"/>
      <c r="CC9" s="70" t="n"/>
      <c r="CE9" s="452" t="n"/>
      <c r="CI9" s="35" t="n"/>
      <c r="CK9" s="452" t="n"/>
      <c r="CL9" s="35" t="n"/>
    </row>
    <row r="10" ht="15" customFormat="1" customHeight="1" s="33">
      <c r="C10" s="125" t="inlineStr">
        <is>
          <t xml:space="preserve">Registro = </t>
        </is>
      </c>
      <c r="D10" s="453" t="n"/>
      <c r="E10" s="453" t="n"/>
      <c r="F10" s="453" t="n"/>
      <c r="G10" s="453" t="n"/>
      <c r="H10" s="454" t="n"/>
      <c r="I10" s="455" t="n">
        <v>0</v>
      </c>
      <c r="J10" s="453" t="n"/>
      <c r="K10" s="453" t="n"/>
      <c r="L10" s="453" t="n"/>
      <c r="M10" s="453" t="n"/>
      <c r="N10" s="453" t="n"/>
      <c r="O10" s="453" t="n"/>
      <c r="P10" s="453" t="n"/>
      <c r="Q10" s="453" t="n"/>
      <c r="R10" s="453" t="n"/>
      <c r="S10" s="453" t="n"/>
      <c r="T10" s="453" t="n"/>
      <c r="U10" s="453" t="n"/>
      <c r="V10" s="453" t="n"/>
      <c r="W10" s="453" t="n"/>
      <c r="X10" s="453" t="n"/>
      <c r="Y10" s="454" t="n"/>
      <c r="Z10" s="70" t="n"/>
      <c r="AA10" s="70" t="n"/>
      <c r="AB10" s="70" t="n"/>
      <c r="AC10" s="70" t="n"/>
      <c r="AD10" s="125" t="inlineStr">
        <is>
          <t xml:space="preserve">Registro = </t>
        </is>
      </c>
      <c r="AE10" s="453" t="n"/>
      <c r="AF10" s="453" t="n"/>
      <c r="AG10" s="453" t="n"/>
      <c r="AH10" s="453" t="n"/>
      <c r="AI10" s="453" t="n"/>
      <c r="AJ10" s="453" t="n"/>
      <c r="AK10" s="453" t="n"/>
      <c r="AL10" s="453" t="n"/>
      <c r="AM10" s="453" t="n"/>
      <c r="AN10" s="453" t="n"/>
      <c r="AO10" s="454" t="n"/>
      <c r="AP10" s="455" t="n">
        <v>0</v>
      </c>
      <c r="AQ10" s="453" t="n"/>
      <c r="AR10" s="453" t="n"/>
      <c r="AS10" s="453" t="n"/>
      <c r="AT10" s="453" t="n"/>
      <c r="AU10" s="453" t="n"/>
      <c r="AV10" s="453" t="n"/>
      <c r="AW10" s="453" t="n"/>
      <c r="AX10" s="453" t="n"/>
      <c r="AY10" s="453" t="n"/>
      <c r="AZ10" s="454" t="n"/>
      <c r="BA10" s="70" t="n"/>
      <c r="BB10" s="70" t="n"/>
      <c r="BC10" s="70" t="n"/>
      <c r="BD10" s="70" t="n"/>
      <c r="BE10" s="125" t="inlineStr">
        <is>
          <t xml:space="preserve">Valor total pago pelo cliente = </t>
        </is>
      </c>
      <c r="BF10" s="453" t="n"/>
      <c r="BG10" s="453" t="n"/>
      <c r="BH10" s="453" t="n"/>
      <c r="BI10" s="453" t="n"/>
      <c r="BJ10" s="453" t="n"/>
      <c r="BK10" s="454" t="n"/>
      <c r="BL10" s="455">
        <f>BL8*BL9</f>
        <v/>
      </c>
      <c r="BM10" s="453" t="n"/>
      <c r="BN10" s="453" t="n"/>
      <c r="BO10" s="453" t="n"/>
      <c r="BP10" s="453" t="n"/>
      <c r="BQ10" s="453" t="n"/>
      <c r="BR10" s="453" t="n"/>
      <c r="BS10" s="453" t="n"/>
      <c r="BT10" s="453" t="n"/>
      <c r="BU10" s="453" t="n"/>
      <c r="BV10" s="453" t="n"/>
      <c r="BW10" s="453" t="n"/>
      <c r="BX10" s="453" t="n"/>
      <c r="BY10" s="453" t="n"/>
      <c r="BZ10" s="453" t="n"/>
      <c r="CA10" s="453" t="n"/>
      <c r="CB10" s="454" t="n"/>
      <c r="CC10" s="70" t="n"/>
      <c r="CE10" s="457" t="n"/>
      <c r="CI10" s="452" t="n"/>
      <c r="CJ10" s="458" t="n"/>
      <c r="CK10" s="457" t="n"/>
      <c r="CL10" s="35" t="n"/>
    </row>
    <row r="11" ht="15" customFormat="1" customHeight="1" s="33">
      <c r="C11" s="125" t="inlineStr">
        <is>
          <t xml:space="preserve">Avaliação = </t>
        </is>
      </c>
      <c r="D11" s="453" t="n"/>
      <c r="E11" s="453" t="n"/>
      <c r="F11" s="453" t="n"/>
      <c r="G11" s="453" t="n"/>
      <c r="H11" s="454" t="n"/>
      <c r="I11" s="455" t="n">
        <v>0</v>
      </c>
      <c r="J11" s="453" t="n"/>
      <c r="K11" s="453" t="n"/>
      <c r="L11" s="453" t="n"/>
      <c r="M11" s="453" t="n"/>
      <c r="N11" s="453" t="n"/>
      <c r="O11" s="453" t="n"/>
      <c r="P11" s="453" t="n"/>
      <c r="Q11" s="453" t="n"/>
      <c r="R11" s="453" t="n"/>
      <c r="S11" s="453" t="n"/>
      <c r="T11" s="453" t="n"/>
      <c r="U11" s="453" t="n"/>
      <c r="V11" s="453" t="n"/>
      <c r="W11" s="453" t="n"/>
      <c r="X11" s="453" t="n"/>
      <c r="Y11" s="454" t="n"/>
      <c r="Z11" s="70" t="n"/>
      <c r="AA11" s="70" t="n"/>
      <c r="AB11" s="70" t="n"/>
      <c r="AC11" s="70" t="n"/>
      <c r="AD11" s="125" t="inlineStr">
        <is>
          <t xml:space="preserve">Avaliação = </t>
        </is>
      </c>
      <c r="AE11" s="453" t="n"/>
      <c r="AF11" s="453" t="n"/>
      <c r="AG11" s="453" t="n"/>
      <c r="AH11" s="453" t="n"/>
      <c r="AI11" s="453" t="n"/>
      <c r="AJ11" s="453" t="n"/>
      <c r="AK11" s="453" t="n"/>
      <c r="AL11" s="453" t="n"/>
      <c r="AM11" s="453" t="n"/>
      <c r="AN11" s="453" t="n"/>
      <c r="AO11" s="454" t="n"/>
      <c r="AP11" s="455" t="n">
        <v>0</v>
      </c>
      <c r="AQ11" s="453" t="n"/>
      <c r="AR11" s="453" t="n"/>
      <c r="AS11" s="453" t="n"/>
      <c r="AT11" s="453" t="n"/>
      <c r="AU11" s="453" t="n"/>
      <c r="AV11" s="453" t="n"/>
      <c r="AW11" s="453" t="n"/>
      <c r="AX11" s="453" t="n"/>
      <c r="AY11" s="453" t="n"/>
      <c r="AZ11" s="454" t="n"/>
      <c r="BA11" s="70" t="n"/>
      <c r="BB11" s="70" t="n"/>
      <c r="BC11" s="70" t="n"/>
      <c r="BD11" s="70" t="n"/>
      <c r="BE11" s="125" t="inlineStr">
        <is>
          <t xml:space="preserve">Saldo devedor atualizado = </t>
        </is>
      </c>
      <c r="BF11" s="453" t="n"/>
      <c r="BG11" s="453" t="n"/>
      <c r="BH11" s="453" t="n"/>
      <c r="BI11" s="453" t="n"/>
      <c r="BJ11" s="453" t="n"/>
      <c r="BK11" s="454" t="n"/>
      <c r="BL11" s="455">
        <f>BL7-BL10</f>
        <v/>
      </c>
      <c r="BM11" s="453" t="n"/>
      <c r="BN11" s="453" t="n"/>
      <c r="BO11" s="453" t="n"/>
      <c r="BP11" s="453" t="n"/>
      <c r="BQ11" s="453" t="n"/>
      <c r="BR11" s="453" t="n"/>
      <c r="BS11" s="453" t="n"/>
      <c r="BT11" s="453" t="n"/>
      <c r="BU11" s="453" t="n"/>
      <c r="BV11" s="453" t="n"/>
      <c r="BW11" s="453" t="n"/>
      <c r="BX11" s="453" t="n"/>
      <c r="BY11" s="453" t="n"/>
      <c r="BZ11" s="453" t="n"/>
      <c r="CA11" s="453" t="n"/>
      <c r="CB11" s="454" t="n"/>
      <c r="CC11" s="459" t="n"/>
      <c r="CE11" s="457" t="n"/>
      <c r="CI11" s="452" t="n"/>
      <c r="CJ11" s="458" t="n"/>
      <c r="CK11" s="457" t="n"/>
      <c r="CL11" s="35" t="n"/>
    </row>
    <row r="12" ht="15" customFormat="1" customHeight="1" s="33">
      <c r="C12" s="125" t="inlineStr">
        <is>
          <t xml:space="preserve">Outros = </t>
        </is>
      </c>
      <c r="D12" s="453" t="n"/>
      <c r="E12" s="453" t="n"/>
      <c r="F12" s="453" t="n"/>
      <c r="G12" s="453" t="n"/>
      <c r="H12" s="454" t="n"/>
      <c r="I12" s="455" t="n">
        <v>0</v>
      </c>
      <c r="J12" s="453" t="n"/>
      <c r="K12" s="453" t="n"/>
      <c r="L12" s="453" t="n"/>
      <c r="M12" s="453" t="n"/>
      <c r="N12" s="453" t="n"/>
      <c r="O12" s="453" t="n"/>
      <c r="P12" s="453" t="n"/>
      <c r="Q12" s="453" t="n"/>
      <c r="R12" s="453" t="n"/>
      <c r="S12" s="453" t="n"/>
      <c r="T12" s="453" t="n"/>
      <c r="U12" s="453" t="n"/>
      <c r="V12" s="453" t="n"/>
      <c r="W12" s="453" t="n"/>
      <c r="X12" s="453" t="n"/>
      <c r="Y12" s="454" t="n"/>
      <c r="Z12" s="70" t="n"/>
      <c r="AA12" s="70" t="n"/>
      <c r="AB12" s="70" t="n"/>
      <c r="AC12" s="70" t="n"/>
      <c r="AD12" s="125" t="inlineStr">
        <is>
          <t xml:space="preserve">Outros = </t>
        </is>
      </c>
      <c r="AE12" s="453" t="n"/>
      <c r="AF12" s="453" t="n"/>
      <c r="AG12" s="453" t="n"/>
      <c r="AH12" s="453" t="n"/>
      <c r="AI12" s="453" t="n"/>
      <c r="AJ12" s="453" t="n"/>
      <c r="AK12" s="453" t="n"/>
      <c r="AL12" s="453" t="n"/>
      <c r="AM12" s="453" t="n"/>
      <c r="AN12" s="453" t="n"/>
      <c r="AO12" s="454" t="n"/>
      <c r="AP12" s="455" t="n">
        <v>0</v>
      </c>
      <c r="AQ12" s="453" t="n"/>
      <c r="AR12" s="453" t="n"/>
      <c r="AS12" s="453" t="n"/>
      <c r="AT12" s="453" t="n"/>
      <c r="AU12" s="453" t="n"/>
      <c r="AV12" s="453" t="n"/>
      <c r="AW12" s="453" t="n"/>
      <c r="AX12" s="453" t="n"/>
      <c r="AY12" s="453" t="n"/>
      <c r="AZ12" s="454" t="n"/>
      <c r="BA12" s="70" t="n"/>
      <c r="BB12" s="70" t="n"/>
      <c r="BC12" s="70" t="n"/>
      <c r="BD12" s="70" t="n"/>
      <c r="BE12" s="125" t="inlineStr">
        <is>
          <t xml:space="preserve">Quantidade de parcelas a vencer = </t>
        </is>
      </c>
      <c r="BF12" s="453" t="n"/>
      <c r="BG12" s="453" t="n"/>
      <c r="BH12" s="453" t="n"/>
      <c r="BI12" s="453" t="n"/>
      <c r="BJ12" s="453" t="n"/>
      <c r="BK12" s="454" t="n"/>
      <c r="BL12" s="150">
        <f>I15-BL8</f>
        <v/>
      </c>
      <c r="BM12" s="453" t="n"/>
      <c r="BN12" s="453" t="n"/>
      <c r="BO12" s="453" t="n"/>
      <c r="BP12" s="453" t="n"/>
      <c r="BQ12" s="453" t="n"/>
      <c r="BR12" s="453" t="n"/>
      <c r="BS12" s="453" t="n"/>
      <c r="BT12" s="453" t="n"/>
      <c r="BU12" s="453" t="n"/>
      <c r="BV12" s="453" t="n"/>
      <c r="BW12" s="453" t="n"/>
      <c r="BX12" s="453" t="n"/>
      <c r="BY12" s="453" t="n"/>
      <c r="BZ12" s="453" t="n"/>
      <c r="CA12" s="453" t="n"/>
      <c r="CB12" s="454" t="n"/>
      <c r="CC12" s="70" t="n"/>
      <c r="CE12" s="457" t="n"/>
      <c r="CI12" s="452" t="n"/>
      <c r="CJ12" s="458" t="n"/>
      <c r="CK12" s="457" t="n"/>
      <c r="CL12" s="35" t="n"/>
    </row>
    <row r="13" ht="15" customFormat="1" customHeight="1" s="33">
      <c r="C13" s="125" t="inlineStr">
        <is>
          <t xml:space="preserve">IOF =  </t>
        </is>
      </c>
      <c r="D13" s="453" t="n"/>
      <c r="E13" s="453" t="n"/>
      <c r="F13" s="453" t="n"/>
      <c r="G13" s="453" t="n"/>
      <c r="H13" s="454" t="n"/>
      <c r="I13" s="460">
        <f>DADOS!$B$8</f>
        <v/>
      </c>
      <c r="J13" s="453" t="n"/>
      <c r="K13" s="453" t="n"/>
      <c r="L13" s="453" t="n"/>
      <c r="M13" s="453" t="n"/>
      <c r="N13" s="453" t="n"/>
      <c r="O13" s="453" t="n"/>
      <c r="P13" s="453" t="n"/>
      <c r="Q13" s="453" t="n"/>
      <c r="R13" s="453" t="n"/>
      <c r="S13" s="453" t="n"/>
      <c r="T13" s="453" t="n"/>
      <c r="U13" s="453" t="n"/>
      <c r="V13" s="453" t="n"/>
      <c r="W13" s="453" t="n"/>
      <c r="X13" s="453" t="n"/>
      <c r="Y13" s="461" t="n"/>
      <c r="Z13" s="70" t="n"/>
      <c r="AA13" s="70" t="n"/>
      <c r="AB13" s="70" t="n"/>
      <c r="AC13" s="70" t="n"/>
      <c r="AD13" s="125" t="inlineStr">
        <is>
          <t xml:space="preserve">IOF = </t>
        </is>
      </c>
      <c r="AE13" s="453" t="n"/>
      <c r="AF13" s="453" t="n"/>
      <c r="AG13" s="453" t="n"/>
      <c r="AH13" s="453" t="n"/>
      <c r="AI13" s="453" t="n"/>
      <c r="AJ13" s="453" t="n"/>
      <c r="AK13" s="453" t="n"/>
      <c r="AL13" s="453" t="n"/>
      <c r="AM13" s="453" t="n"/>
      <c r="AN13" s="453" t="n"/>
      <c r="AO13" s="454" t="n"/>
      <c r="AP13" s="460">
        <f>I13</f>
        <v/>
      </c>
      <c r="AQ13" s="453" t="n"/>
      <c r="AR13" s="453" t="n"/>
      <c r="AS13" s="453" t="n"/>
      <c r="AT13" s="453" t="n"/>
      <c r="AU13" s="453" t="n"/>
      <c r="AV13" s="453" t="n"/>
      <c r="AW13" s="453" t="n"/>
      <c r="AX13" s="453" t="n"/>
      <c r="AY13" s="453" t="n"/>
      <c r="AZ13" s="461" t="n"/>
      <c r="BA13" s="70" t="n"/>
      <c r="BB13" s="70" t="n"/>
      <c r="BC13" s="70" t="n"/>
      <c r="BD13" s="70" t="n"/>
      <c r="BE13" s="165" t="inlineStr">
        <is>
          <t xml:space="preserve">Valor da parcela atual = </t>
        </is>
      </c>
      <c r="BF13" s="462" t="n"/>
      <c r="BG13" s="462" t="n"/>
      <c r="BH13" s="462" t="n"/>
      <c r="BI13" s="462" t="n"/>
      <c r="BJ13" s="462" t="n"/>
      <c r="BK13" s="463" t="n"/>
      <c r="BL13" s="464">
        <f>BL11/BL12</f>
        <v/>
      </c>
      <c r="BM13" s="462" t="n"/>
      <c r="BN13" s="462" t="n"/>
      <c r="BO13" s="462" t="n"/>
      <c r="BP13" s="462" t="n"/>
      <c r="BQ13" s="462" t="n"/>
      <c r="BR13" s="462" t="n"/>
      <c r="BS13" s="462" t="n"/>
      <c r="BT13" s="462" t="n"/>
      <c r="BU13" s="462" t="n"/>
      <c r="BV13" s="462" t="n"/>
      <c r="BW13" s="462" t="n"/>
      <c r="BX13" s="462" t="n"/>
      <c r="BY13" s="462" t="n"/>
      <c r="BZ13" s="462" t="n"/>
      <c r="CA13" s="462" t="n"/>
      <c r="CB13" s="465" t="n"/>
      <c r="CC13" s="70" t="n"/>
      <c r="CE13" s="457" t="n"/>
      <c r="CI13" s="452" t="n"/>
      <c r="CJ13" s="458" t="n"/>
      <c r="CK13" s="457" t="n"/>
      <c r="CL13" s="35" t="n"/>
    </row>
    <row r="14" ht="15" customFormat="1" customHeight="1" s="33" thickBot="1">
      <c r="C14" s="125" t="inlineStr">
        <is>
          <t xml:space="preserve">Valor financiado total no contrato = </t>
        </is>
      </c>
      <c r="D14" s="453" t="n"/>
      <c r="E14" s="453" t="n"/>
      <c r="F14" s="453" t="n"/>
      <c r="G14" s="453" t="n"/>
      <c r="H14" s="454" t="n"/>
      <c r="I14" s="455">
        <f>SUM(I7:Y13)</f>
        <v/>
      </c>
      <c r="J14" s="453" t="n"/>
      <c r="K14" s="453" t="n"/>
      <c r="L14" s="453" t="n"/>
      <c r="M14" s="453" t="n"/>
      <c r="N14" s="453" t="n"/>
      <c r="O14" s="453" t="n"/>
      <c r="P14" s="453" t="n"/>
      <c r="Q14" s="453" t="n"/>
      <c r="R14" s="453" t="n"/>
      <c r="S14" s="453" t="n"/>
      <c r="T14" s="453" t="n"/>
      <c r="U14" s="453" t="n"/>
      <c r="V14" s="453" t="n"/>
      <c r="W14" s="453" t="n"/>
      <c r="X14" s="453" t="n"/>
      <c r="Y14" s="454" t="n"/>
      <c r="Z14" s="70" t="n"/>
      <c r="AA14" s="70" t="n"/>
      <c r="AB14" s="70" t="n"/>
      <c r="AC14" s="70" t="n"/>
      <c r="AD14" s="125" t="inlineStr">
        <is>
          <t xml:space="preserve">Valor financiado total no contrato = </t>
        </is>
      </c>
      <c r="AE14" s="453" t="n"/>
      <c r="AF14" s="453" t="n"/>
      <c r="AG14" s="453" t="n"/>
      <c r="AH14" s="453" t="n"/>
      <c r="AI14" s="453" t="n"/>
      <c r="AJ14" s="453" t="n"/>
      <c r="AK14" s="453" t="n"/>
      <c r="AL14" s="453" t="n"/>
      <c r="AM14" s="453" t="n"/>
      <c r="AN14" s="453" t="n"/>
      <c r="AO14" s="454" t="n"/>
      <c r="AP14" s="455">
        <f>SUM(AP7:AZ13)</f>
        <v/>
      </c>
      <c r="AQ14" s="453" t="n"/>
      <c r="AR14" s="453" t="n"/>
      <c r="AS14" s="453" t="n"/>
      <c r="AT14" s="453" t="n"/>
      <c r="AU14" s="453" t="n"/>
      <c r="AV14" s="453" t="n"/>
      <c r="AW14" s="453" t="n"/>
      <c r="AX14" s="453" t="n"/>
      <c r="AY14" s="453" t="n"/>
      <c r="AZ14" s="454" t="n"/>
      <c r="BA14" s="70" t="n"/>
      <c r="BB14" s="70" t="n"/>
      <c r="BC14" s="70" t="n"/>
      <c r="BD14" s="70" t="n"/>
      <c r="BE14" s="466" t="n"/>
      <c r="BF14" s="467" t="n"/>
      <c r="BG14" s="467" t="n"/>
      <c r="BH14" s="467" t="n"/>
      <c r="BI14" s="467" t="n"/>
      <c r="BJ14" s="467" t="n"/>
      <c r="BK14" s="468" t="n"/>
      <c r="BL14" s="469" t="n"/>
      <c r="BM14" s="467" t="n"/>
      <c r="BN14" s="467" t="n"/>
      <c r="BO14" s="467" t="n"/>
      <c r="BP14" s="467" t="n"/>
      <c r="BQ14" s="467" t="n"/>
      <c r="BR14" s="467" t="n"/>
      <c r="BS14" s="467" t="n"/>
      <c r="BT14" s="467" t="n"/>
      <c r="BU14" s="467" t="n"/>
      <c r="BV14" s="467" t="n"/>
      <c r="BW14" s="467" t="n"/>
      <c r="BX14" s="467" t="n"/>
      <c r="BY14" s="467" t="n"/>
      <c r="BZ14" s="467" t="n"/>
      <c r="CA14" s="467" t="n"/>
      <c r="CB14" s="470" t="n"/>
      <c r="CC14" s="70" t="n"/>
      <c r="CE14" s="457" t="n"/>
      <c r="CI14" s="452" t="n"/>
      <c r="CJ14" s="458" t="n"/>
      <c r="CK14" s="457" t="n"/>
      <c r="CL14" s="35" t="n"/>
    </row>
    <row r="15" ht="15" customFormat="1" customHeight="1" s="33" thickBot="1">
      <c r="C15" s="125" t="inlineStr">
        <is>
          <t xml:space="preserve">Quantidade de parcelas = </t>
        </is>
      </c>
      <c r="D15" s="453" t="n"/>
      <c r="E15" s="453" t="n"/>
      <c r="F15" s="453" t="n"/>
      <c r="G15" s="453" t="n"/>
      <c r="H15" s="454" t="n"/>
      <c r="I15" s="150">
        <f>DADOS!$B$9</f>
        <v/>
      </c>
      <c r="J15" s="453" t="n"/>
      <c r="K15" s="453" t="n"/>
      <c r="L15" s="453" t="n"/>
      <c r="M15" s="453" t="n"/>
      <c r="N15" s="453" t="n"/>
      <c r="O15" s="453" t="n"/>
      <c r="P15" s="453" t="n"/>
      <c r="Q15" s="453" t="n"/>
      <c r="R15" s="453" t="n"/>
      <c r="S15" s="453" t="n"/>
      <c r="T15" s="453" t="n"/>
      <c r="U15" s="453" t="n"/>
      <c r="V15" s="453" t="n"/>
      <c r="W15" s="453" t="n"/>
      <c r="X15" s="453" t="n"/>
      <c r="Y15" s="454" t="n"/>
      <c r="Z15" s="70" t="n"/>
      <c r="AA15" s="70" t="n"/>
      <c r="AB15" s="70" t="n"/>
      <c r="AC15" s="70" t="n"/>
      <c r="AD15" s="125" t="inlineStr">
        <is>
          <t xml:space="preserve">Taxa média = </t>
        </is>
      </c>
      <c r="AE15" s="453" t="n"/>
      <c r="AF15" s="453" t="n"/>
      <c r="AG15" s="453" t="n"/>
      <c r="AH15" s="453" t="n"/>
      <c r="AI15" s="453" t="n"/>
      <c r="AJ15" s="453" t="n"/>
      <c r="AK15" s="453" t="n"/>
      <c r="AL15" s="453" t="n"/>
      <c r="AM15" s="453" t="n"/>
      <c r="AN15" s="453" t="n"/>
      <c r="AO15" s="454" t="n"/>
      <c r="AP15" s="155">
        <f>DADOS!$B$12</f>
        <v/>
      </c>
      <c r="AQ15" s="453" t="n"/>
      <c r="AR15" s="453" t="n"/>
      <c r="AS15" s="453" t="n"/>
      <c r="AT15" s="453" t="n"/>
      <c r="AU15" s="453" t="n"/>
      <c r="AV15" s="453" t="n"/>
      <c r="AW15" s="453" t="n"/>
      <c r="AX15" s="453" t="n"/>
      <c r="AY15" s="453" t="n"/>
      <c r="AZ15" s="454" t="n"/>
      <c r="BA15" s="70" t="n"/>
      <c r="BB15" s="70" t="n"/>
      <c r="BC15" s="70" t="n"/>
      <c r="BD15" s="70" t="n"/>
      <c r="BE15" s="70" t="n"/>
      <c r="BF15" s="70" t="n"/>
      <c r="BG15" s="70" t="n"/>
      <c r="BH15" s="70" t="n"/>
      <c r="BI15" s="70" t="n"/>
      <c r="BJ15" s="70" t="n"/>
      <c r="BK15" s="70" t="n"/>
      <c r="BL15" s="70" t="n"/>
      <c r="BM15" s="70" t="n"/>
      <c r="BN15" s="70" t="n"/>
      <c r="BO15" s="70" t="n"/>
      <c r="BP15" s="70" t="n"/>
      <c r="BQ15" s="70" t="n"/>
      <c r="BR15" s="70" t="n"/>
      <c r="BS15" s="70" t="n"/>
      <c r="BT15" s="70" t="n"/>
      <c r="BU15" s="70" t="n"/>
      <c r="BV15" s="70" t="n"/>
      <c r="BW15" s="70" t="n"/>
      <c r="BX15" s="70" t="n"/>
      <c r="BY15" s="70" t="n"/>
      <c r="BZ15" s="70" t="n"/>
      <c r="CA15" s="70" t="n"/>
      <c r="CB15" s="70" t="n"/>
      <c r="CC15" s="70" t="n"/>
      <c r="CE15" s="457" t="n"/>
      <c r="CI15" s="452" t="n"/>
      <c r="CJ15" s="458" t="n"/>
      <c r="CK15" s="457" t="n"/>
      <c r="CL15" s="35" t="n"/>
    </row>
    <row r="16" ht="15" customFormat="1" customHeight="1" s="33">
      <c r="C16" s="125" t="inlineStr">
        <is>
          <t xml:space="preserve">Valor da parcela cobrada = </t>
        </is>
      </c>
      <c r="D16" s="453" t="n"/>
      <c r="E16" s="453" t="n"/>
      <c r="F16" s="453" t="n"/>
      <c r="G16" s="453" t="n"/>
      <c r="H16" s="454" t="n"/>
      <c r="I16" s="455">
        <f>DADOS!$B$10</f>
        <v/>
      </c>
      <c r="J16" s="453" t="n"/>
      <c r="K16" s="453" t="n"/>
      <c r="L16" s="453" t="n"/>
      <c r="M16" s="453" t="n"/>
      <c r="N16" s="453" t="n"/>
      <c r="O16" s="453" t="n"/>
      <c r="P16" s="453" t="n"/>
      <c r="Q16" s="453" t="n"/>
      <c r="R16" s="453" t="n"/>
      <c r="S16" s="453" t="n"/>
      <c r="T16" s="453" t="n"/>
      <c r="U16" s="453" t="n"/>
      <c r="V16" s="453" t="n"/>
      <c r="W16" s="453" t="n"/>
      <c r="X16" s="453" t="n"/>
      <c r="Y16" s="454" t="n"/>
      <c r="Z16" s="70" t="n"/>
      <c r="AA16" s="70" t="n"/>
      <c r="AB16" s="70" t="n"/>
      <c r="AC16" s="70" t="n"/>
      <c r="AD16" s="125" t="inlineStr">
        <is>
          <t>Valor da parcela recalculada =</t>
        </is>
      </c>
      <c r="AE16" s="453" t="n"/>
      <c r="AF16" s="453" t="n"/>
      <c r="AG16" s="453" t="n"/>
      <c r="AH16" s="453" t="n"/>
      <c r="AI16" s="453" t="n"/>
      <c r="AJ16" s="453" t="n"/>
      <c r="AK16" s="453" t="n"/>
      <c r="AL16" s="453" t="n"/>
      <c r="AM16" s="453" t="n"/>
      <c r="AN16" s="453" t="n"/>
      <c r="AO16" s="454" t="n"/>
      <c r="AP16" s="471">
        <f>AH121</f>
        <v/>
      </c>
      <c r="AQ16" s="453" t="n"/>
      <c r="AR16" s="453" t="n"/>
      <c r="AS16" s="453" t="n"/>
      <c r="AT16" s="453" t="n"/>
      <c r="AU16" s="453" t="n"/>
      <c r="AV16" s="453" t="n"/>
      <c r="AW16" s="453" t="n"/>
      <c r="AX16" s="453" t="n"/>
      <c r="AY16" s="453" t="n"/>
      <c r="AZ16" s="454" t="n"/>
      <c r="BA16" s="70" t="n"/>
      <c r="BB16" s="70" t="n"/>
      <c r="BC16" s="70" t="n"/>
      <c r="BD16" s="70" t="n"/>
      <c r="BE16" s="140" t="inlineStr">
        <is>
          <t xml:space="preserve">Saldo do contrato = </t>
        </is>
      </c>
      <c r="BF16" s="445" t="n"/>
      <c r="BG16" s="445" t="n"/>
      <c r="BH16" s="445" t="n"/>
      <c r="BI16" s="445" t="n"/>
      <c r="BJ16" s="445" t="n"/>
      <c r="BK16" s="446" t="n"/>
      <c r="BL16" s="447">
        <f>BL12*I16</f>
        <v/>
      </c>
      <c r="BM16" s="445" t="n"/>
      <c r="BN16" s="445" t="n"/>
      <c r="BO16" s="445" t="n"/>
      <c r="BP16" s="445" t="n"/>
      <c r="BQ16" s="445" t="n"/>
      <c r="BR16" s="445" t="n"/>
      <c r="BS16" s="445" t="n"/>
      <c r="BT16" s="445" t="n"/>
      <c r="BU16" s="445" t="n"/>
      <c r="BV16" s="445" t="n"/>
      <c r="BW16" s="445" t="n"/>
      <c r="BX16" s="445" t="n"/>
      <c r="BY16" s="445" t="n"/>
      <c r="BZ16" s="445" t="n"/>
      <c r="CA16" s="445" t="n"/>
      <c r="CB16" s="446" t="n"/>
      <c r="CC16" s="70" t="n"/>
      <c r="CE16" s="457" t="n"/>
      <c r="CI16" s="452" t="n"/>
      <c r="CJ16" s="458" t="n"/>
      <c r="CK16" s="457" t="n"/>
      <c r="CL16" s="35" t="n"/>
    </row>
    <row r="17" ht="15" customFormat="1" customHeight="1" s="33" thickBot="1">
      <c r="C17" s="125" t="inlineStr">
        <is>
          <t xml:space="preserve">Taxa pactuada = </t>
        </is>
      </c>
      <c r="D17" s="453" t="n"/>
      <c r="E17" s="453" t="n"/>
      <c r="F17" s="453" t="n"/>
      <c r="G17" s="453" t="n"/>
      <c r="H17" s="454" t="n"/>
      <c r="I17" s="155">
        <f>DADOS!$B$11</f>
        <v/>
      </c>
      <c r="J17" s="453" t="n"/>
      <c r="K17" s="453" t="n"/>
      <c r="L17" s="453" t="n"/>
      <c r="M17" s="453" t="n"/>
      <c r="N17" s="453" t="n"/>
      <c r="O17" s="453" t="n"/>
      <c r="P17" s="453" t="n"/>
      <c r="Q17" s="453" t="n"/>
      <c r="R17" s="453" t="n"/>
      <c r="S17" s="453" t="n"/>
      <c r="T17" s="453" t="n"/>
      <c r="U17" s="453" t="n"/>
      <c r="V17" s="453" t="n"/>
      <c r="W17" s="453" t="n"/>
      <c r="X17" s="453" t="n"/>
      <c r="Y17" s="454" t="n"/>
      <c r="Z17" s="70" t="n"/>
      <c r="AA17" s="70" t="n"/>
      <c r="AB17" s="70" t="n"/>
      <c r="AC17" s="70" t="n"/>
      <c r="AD17" s="125" t="inlineStr">
        <is>
          <t xml:space="preserve">Valor final recalculado do contrato = </t>
        </is>
      </c>
      <c r="AE17" s="453" t="n"/>
      <c r="AF17" s="453" t="n"/>
      <c r="AG17" s="453" t="n"/>
      <c r="AH17" s="453" t="n"/>
      <c r="AI17" s="453" t="n"/>
      <c r="AJ17" s="453" t="n"/>
      <c r="AK17" s="453" t="n"/>
      <c r="AL17" s="453" t="n"/>
      <c r="AM17" s="453" t="n"/>
      <c r="AN17" s="453" t="n"/>
      <c r="AO17" s="454" t="n"/>
      <c r="AP17" s="456">
        <f>I15*AP16</f>
        <v/>
      </c>
      <c r="AQ17" s="453" t="n"/>
      <c r="AR17" s="453" t="n"/>
      <c r="AS17" s="453" t="n"/>
      <c r="AT17" s="453" t="n"/>
      <c r="AU17" s="453" t="n"/>
      <c r="AV17" s="453" t="n"/>
      <c r="AW17" s="453" t="n"/>
      <c r="AX17" s="453" t="n"/>
      <c r="AY17" s="453" t="n"/>
      <c r="AZ17" s="454" t="n"/>
      <c r="BA17" s="70" t="n"/>
      <c r="BB17" s="70" t="n"/>
      <c r="BC17" s="70" t="n"/>
      <c r="BD17" s="70" t="n"/>
      <c r="BE17" s="157" t="inlineStr">
        <is>
          <t xml:space="preserve">(-) Saldo incontroverso = </t>
        </is>
      </c>
      <c r="BF17" s="462" t="n"/>
      <c r="BG17" s="462" t="n"/>
      <c r="BH17" s="462" t="n"/>
      <c r="BI17" s="462" t="n"/>
      <c r="BJ17" s="462" t="n"/>
      <c r="BK17" s="463" t="n"/>
      <c r="BL17" s="472">
        <f>BL12*BL13</f>
        <v/>
      </c>
      <c r="BM17" s="462" t="n"/>
      <c r="BN17" s="462" t="n"/>
      <c r="BO17" s="462" t="n"/>
      <c r="BP17" s="462" t="n"/>
      <c r="BQ17" s="462" t="n"/>
      <c r="BR17" s="462" t="n"/>
      <c r="BS17" s="462" t="n"/>
      <c r="BT17" s="462" t="n"/>
      <c r="BU17" s="462" t="n"/>
      <c r="BV17" s="462" t="n"/>
      <c r="BW17" s="462" t="n"/>
      <c r="BX17" s="462" t="n"/>
      <c r="BY17" s="462" t="n"/>
      <c r="BZ17" s="462" t="n"/>
      <c r="CA17" s="462" t="n"/>
      <c r="CB17" s="463" t="n"/>
      <c r="CC17" s="70" t="n"/>
      <c r="CE17" s="457" t="n"/>
      <c r="CI17" s="452" t="n"/>
      <c r="CJ17" s="458" t="n"/>
      <c r="CK17" s="457" t="n"/>
      <c r="CL17" s="35" t="n"/>
    </row>
    <row r="18" ht="15" customFormat="1" customHeight="1" s="33" thickBot="1">
      <c r="C18" s="172" t="inlineStr">
        <is>
          <t xml:space="preserve">Valor final do contrato = </t>
        </is>
      </c>
      <c r="D18" s="473" t="n"/>
      <c r="E18" s="473" t="n"/>
      <c r="F18" s="473" t="n"/>
      <c r="G18" s="473" t="n"/>
      <c r="H18" s="474" t="n"/>
      <c r="I18" s="475">
        <f>I15*I16</f>
        <v/>
      </c>
      <c r="J18" s="473" t="n"/>
      <c r="K18" s="473" t="n"/>
      <c r="L18" s="473" t="n"/>
      <c r="M18" s="473" t="n"/>
      <c r="N18" s="473" t="n"/>
      <c r="O18" s="473" t="n"/>
      <c r="P18" s="473" t="n"/>
      <c r="Q18" s="473" t="n"/>
      <c r="R18" s="473" t="n"/>
      <c r="S18" s="473" t="n"/>
      <c r="T18" s="473" t="n"/>
      <c r="U18" s="473" t="n"/>
      <c r="V18" s="473" t="n"/>
      <c r="W18" s="473" t="n"/>
      <c r="X18" s="473" t="n"/>
      <c r="Y18" s="474" t="n"/>
      <c r="Z18" s="70" t="n"/>
      <c r="AA18" s="70" t="n"/>
      <c r="AB18" s="70" t="n"/>
      <c r="AC18" s="70" t="n"/>
      <c r="AD18" s="176" t="inlineStr">
        <is>
          <t xml:space="preserve">Diferença  cobrada a mais por parcela = </t>
        </is>
      </c>
      <c r="AE18" s="453" t="n"/>
      <c r="AF18" s="453" t="n"/>
      <c r="AG18" s="453" t="n"/>
      <c r="AH18" s="453" t="n"/>
      <c r="AI18" s="453" t="n"/>
      <c r="AJ18" s="453" t="n"/>
      <c r="AK18" s="453" t="n"/>
      <c r="AL18" s="453" t="n"/>
      <c r="AM18" s="453" t="n"/>
      <c r="AN18" s="453" t="n"/>
      <c r="AO18" s="454" t="n"/>
      <c r="AP18" s="476">
        <f>I16-AP16</f>
        <v/>
      </c>
      <c r="AQ18" s="453" t="n"/>
      <c r="AR18" s="453" t="n"/>
      <c r="AS18" s="453" t="n"/>
      <c r="AT18" s="453" t="n"/>
      <c r="AU18" s="453" t="n"/>
      <c r="AV18" s="453" t="n"/>
      <c r="AW18" s="453" t="n"/>
      <c r="AX18" s="453" t="n"/>
      <c r="AY18" s="453" t="n"/>
      <c r="AZ18" s="454" t="n"/>
      <c r="BA18" s="70" t="n"/>
      <c r="BB18" s="70" t="n"/>
      <c r="BC18" s="70" t="n"/>
      <c r="BD18" s="70" t="n"/>
      <c r="BE18" s="180" t="inlineStr">
        <is>
          <t xml:space="preserve">Saldo controvertido total = </t>
        </is>
      </c>
      <c r="BF18" s="445" t="n"/>
      <c r="BG18" s="445" t="n"/>
      <c r="BH18" s="445" t="n"/>
      <c r="BI18" s="445" t="n"/>
      <c r="BJ18" s="445" t="n"/>
      <c r="BK18" s="446" t="n"/>
      <c r="BL18" s="477">
        <f>BL16-BL17</f>
        <v/>
      </c>
      <c r="BM18" s="445" t="n"/>
      <c r="BN18" s="445" t="n"/>
      <c r="BO18" s="445" t="n"/>
      <c r="BP18" s="445" t="n"/>
      <c r="BQ18" s="445" t="n"/>
      <c r="BR18" s="445" t="n"/>
      <c r="BS18" s="445" t="n"/>
      <c r="BT18" s="445" t="n"/>
      <c r="BU18" s="445" t="n"/>
      <c r="BV18" s="445" t="n"/>
      <c r="BW18" s="445" t="n"/>
      <c r="BX18" s="445" t="n"/>
      <c r="BY18" s="445" t="n"/>
      <c r="BZ18" s="445" t="n"/>
      <c r="CA18" s="445" t="n"/>
      <c r="CB18" s="446" t="n"/>
      <c r="CC18" s="70" t="n"/>
      <c r="CE18" s="457" t="n"/>
      <c r="CI18" s="452" t="n"/>
      <c r="CJ18" s="458" t="n"/>
      <c r="CK18" s="457" t="n"/>
      <c r="CL18" s="35" t="n"/>
    </row>
    <row r="19" ht="15" customFormat="1" customHeight="1" s="33" thickBot="1"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253" t="inlineStr">
        <is>
          <t xml:space="preserve">Montante cobrado a mais pelo banco = </t>
        </is>
      </c>
      <c r="AE19" s="473" t="n"/>
      <c r="AF19" s="473" t="n"/>
      <c r="AG19" s="473" t="n"/>
      <c r="AH19" s="473" t="n"/>
      <c r="AI19" s="473" t="n"/>
      <c r="AJ19" s="473" t="n"/>
      <c r="AK19" s="473" t="n"/>
      <c r="AL19" s="473" t="n"/>
      <c r="AM19" s="473" t="n"/>
      <c r="AN19" s="473" t="n"/>
      <c r="AO19" s="474" t="n"/>
      <c r="AP19" s="478">
        <f>I18-AP17</f>
        <v/>
      </c>
      <c r="AQ19" s="473" t="n"/>
      <c r="AR19" s="473" t="n"/>
      <c r="AS19" s="473" t="n"/>
      <c r="AT19" s="473" t="n"/>
      <c r="AU19" s="473" t="n"/>
      <c r="AV19" s="473" t="n"/>
      <c r="AW19" s="473" t="n"/>
      <c r="AX19" s="473" t="n"/>
      <c r="AY19" s="473" t="n"/>
      <c r="AZ19" s="474" t="n"/>
      <c r="BA19" s="70" t="n"/>
      <c r="BB19" s="70" t="n"/>
      <c r="BC19" s="70" t="n"/>
      <c r="BD19" s="70" t="n"/>
      <c r="BE19" s="165" t="inlineStr">
        <is>
          <t xml:space="preserve">Saldo controvertido por parcela = </t>
        </is>
      </c>
      <c r="BF19" s="473" t="n"/>
      <c r="BG19" s="473" t="n"/>
      <c r="BH19" s="473" t="n"/>
      <c r="BI19" s="473" t="n"/>
      <c r="BJ19" s="473" t="n"/>
      <c r="BK19" s="474" t="n"/>
      <c r="BL19" s="479">
        <f>BL18/BL12</f>
        <v/>
      </c>
      <c r="BM19" s="473" t="n"/>
      <c r="BN19" s="473" t="n"/>
      <c r="BO19" s="473" t="n"/>
      <c r="BP19" s="473" t="n"/>
      <c r="BQ19" s="473" t="n"/>
      <c r="BR19" s="473" t="n"/>
      <c r="BS19" s="473" t="n"/>
      <c r="BT19" s="473" t="n"/>
      <c r="BU19" s="473" t="n"/>
      <c r="BV19" s="473" t="n"/>
      <c r="BW19" s="473" t="n"/>
      <c r="BX19" s="473" t="n"/>
      <c r="BY19" s="473" t="n"/>
      <c r="BZ19" s="473" t="n"/>
      <c r="CA19" s="473" t="n"/>
      <c r="CB19" s="474" t="n"/>
      <c r="CC19" s="70" t="n"/>
      <c r="CE19" s="457" t="n"/>
      <c r="CI19" s="452" t="n"/>
      <c r="CJ19" s="458" t="n"/>
      <c r="CK19" s="457" t="n"/>
      <c r="CL19" s="35" t="n"/>
    </row>
    <row r="20" hidden="1" ht="9.75" customHeight="1"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  <c r="AJ20" s="70" t="n"/>
      <c r="AK20" s="70" t="n"/>
      <c r="AL20" s="70" t="n"/>
      <c r="AM20" s="70" t="n"/>
      <c r="AN20" s="70" t="n"/>
      <c r="AO20" s="70" t="n"/>
      <c r="AP20" s="70" t="n"/>
      <c r="AQ20" s="70" t="n"/>
      <c r="AR20" s="70" t="n"/>
      <c r="AS20" s="70" t="n"/>
      <c r="AT20" s="70" t="n"/>
      <c r="AU20" s="70" t="n"/>
      <c r="AV20" s="70" t="n"/>
      <c r="AW20" s="70" t="n"/>
      <c r="AX20" s="70" t="n"/>
      <c r="AY20" s="70" t="n"/>
      <c r="AZ20" s="70" t="n"/>
      <c r="BA20" s="70" t="n"/>
      <c r="BB20" s="70" t="n"/>
      <c r="BC20" s="70" t="n"/>
      <c r="BD20" s="70" t="n"/>
      <c r="BE20" s="70" t="n"/>
      <c r="BF20" s="70" t="n"/>
      <c r="BG20" s="70" t="n"/>
      <c r="BH20" s="70" t="n"/>
      <c r="BI20" s="70" t="n"/>
      <c r="BJ20" s="70" t="n"/>
      <c r="BK20" s="70" t="n"/>
      <c r="BL20" s="70" t="n"/>
      <c r="BM20" s="70" t="n"/>
      <c r="BN20" s="70" t="n"/>
      <c r="BO20" s="70" t="n"/>
      <c r="BP20" s="70" t="n"/>
      <c r="BQ20" s="70" t="n"/>
      <c r="BR20" s="70" t="n"/>
      <c r="BS20" s="70" t="n"/>
      <c r="BT20" s="70" t="n"/>
      <c r="BU20" s="70" t="n"/>
      <c r="BV20" s="70" t="n"/>
      <c r="BW20" s="70" t="n"/>
      <c r="BX20" s="70" t="n"/>
      <c r="BY20" s="70" t="n"/>
      <c r="BZ20" s="70" t="n"/>
      <c r="CA20" s="70" t="n"/>
      <c r="CB20" s="70" t="n"/>
      <c r="CC20" s="70" t="n"/>
      <c r="CE20" s="480" t="n"/>
      <c r="CI20" s="481" t="n"/>
      <c r="CJ20" s="482" t="n"/>
      <c r="CK20" s="480" t="n"/>
    </row>
    <row r="21" hidden="1" ht="9.75" customHeight="1"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  <c r="AQ21" s="70" t="n"/>
      <c r="AR21" s="70" t="n"/>
      <c r="AS21" s="70" t="n"/>
      <c r="AT21" s="70" t="n"/>
      <c r="AU21" s="70" t="n"/>
      <c r="AV21" s="70" t="n"/>
      <c r="AW21" s="70" t="n"/>
      <c r="AX21" s="70" t="n"/>
      <c r="AY21" s="70" t="n"/>
      <c r="AZ21" s="70" t="n"/>
      <c r="BA21" s="70" t="n"/>
      <c r="BB21" s="70" t="n"/>
      <c r="BC21" s="70" t="n"/>
      <c r="BD21" s="70" t="n"/>
      <c r="BE21" s="70" t="n"/>
      <c r="BF21" s="70" t="n"/>
      <c r="BG21" s="70" t="n"/>
      <c r="BH21" s="70" t="n"/>
      <c r="BI21" s="70" t="n"/>
      <c r="BJ21" s="70" t="n"/>
      <c r="BK21" s="70" t="n"/>
      <c r="BL21" s="70" t="n"/>
      <c r="BM21" s="70" t="n"/>
      <c r="BN21" s="70" t="n"/>
      <c r="BO21" s="70" t="n"/>
      <c r="BP21" s="70" t="n"/>
      <c r="BQ21" s="70" t="n"/>
      <c r="BR21" s="70" t="n"/>
      <c r="BS21" s="70" t="n"/>
      <c r="BT21" s="70" t="n"/>
      <c r="BU21" s="70" t="n"/>
      <c r="BV21" s="70" t="n"/>
      <c r="BW21" s="70" t="n"/>
      <c r="BX21" s="70" t="n"/>
      <c r="BY21" s="70" t="n"/>
      <c r="BZ21" s="70" t="n"/>
      <c r="CA21" s="70" t="n"/>
      <c r="CB21" s="70" t="n"/>
      <c r="CC21" s="70" t="n"/>
      <c r="CE21" s="480" t="n"/>
      <c r="CI21" s="481" t="n"/>
      <c r="CJ21" s="482" t="n"/>
      <c r="CK21" s="480" t="n"/>
    </row>
    <row r="22" hidden="1" ht="9.75" customHeight="1"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0" t="n"/>
      <c r="AR22" s="70" t="n"/>
      <c r="AS22" s="70" t="n"/>
      <c r="AT22" s="70" t="n"/>
      <c r="AU22" s="70" t="n"/>
      <c r="AV22" s="70" t="n"/>
      <c r="AW22" s="70" t="n"/>
      <c r="AX22" s="70" t="n"/>
      <c r="AY22" s="70" t="n"/>
      <c r="AZ22" s="70" t="n"/>
      <c r="BA22" s="70" t="n"/>
      <c r="BB22" s="70" t="n"/>
      <c r="BC22" s="70" t="n"/>
      <c r="BD22" s="70" t="n"/>
      <c r="BE22" s="70" t="n"/>
      <c r="BF22" s="70" t="n"/>
      <c r="BG22" s="70" t="n"/>
      <c r="BH22" s="70" t="n"/>
      <c r="BI22" s="70" t="n"/>
      <c r="BJ22" s="70" t="n"/>
      <c r="BK22" s="70" t="n"/>
      <c r="BL22" s="70" t="n"/>
      <c r="BM22" s="70" t="n"/>
      <c r="BN22" s="70" t="n"/>
      <c r="BO22" s="70" t="n"/>
      <c r="BP22" s="70" t="n"/>
      <c r="BQ22" s="70" t="n"/>
      <c r="BR22" s="70" t="n"/>
      <c r="BS22" s="70" t="n"/>
      <c r="BT22" s="70" t="n"/>
      <c r="BU22" s="70" t="n"/>
      <c r="BV22" s="70" t="n"/>
      <c r="BW22" s="70" t="n"/>
      <c r="BX22" s="70" t="n"/>
      <c r="BY22" s="70" t="n"/>
      <c r="BZ22" s="70" t="n"/>
      <c r="CA22" s="70" t="n"/>
      <c r="CB22" s="70" t="n"/>
      <c r="CC22" s="70" t="n"/>
      <c r="CE22" s="480" t="n"/>
      <c r="CI22" s="481" t="n"/>
      <c r="CJ22" s="482" t="n"/>
      <c r="CK22" s="480" t="n"/>
    </row>
    <row r="23" hidden="1" ht="9.75" customHeight="1"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  <c r="AJ23" s="70" t="n"/>
      <c r="AK23" s="70" t="n"/>
      <c r="AL23" s="70" t="n"/>
      <c r="AM23" s="70" t="n"/>
      <c r="AN23" s="70" t="n"/>
      <c r="AO23" s="70" t="n"/>
      <c r="AP23" s="70" t="n"/>
      <c r="AQ23" s="70" t="n"/>
      <c r="AR23" s="70" t="n"/>
      <c r="AS23" s="70" t="n"/>
      <c r="AT23" s="70" t="n"/>
      <c r="AU23" s="70" t="n"/>
      <c r="AV23" s="70" t="n"/>
      <c r="AW23" s="70" t="n"/>
      <c r="AX23" s="70" t="n"/>
      <c r="AY23" s="70" t="n"/>
      <c r="AZ23" s="70" t="n"/>
      <c r="BA23" s="70" t="n"/>
      <c r="BB23" s="70" t="n"/>
      <c r="BC23" s="70" t="n"/>
      <c r="BD23" s="70" t="n"/>
      <c r="BE23" s="70" t="inlineStr">
        <is>
          <t>Saldo controvertido por parcela</t>
        </is>
      </c>
      <c r="BF23" s="70" t="n"/>
      <c r="BG23" s="70" t="n"/>
      <c r="BH23" s="70" t="n"/>
      <c r="BI23" s="70" t="n"/>
      <c r="BJ23" s="70" t="n"/>
      <c r="BK23" s="70" t="n"/>
      <c r="BL23" s="70" t="n"/>
      <c r="BM23" s="70" t="n"/>
      <c r="BN23" s="70" t="n"/>
      <c r="BO23" s="70" t="n"/>
      <c r="BP23" s="70" t="n"/>
      <c r="BQ23" s="70" t="n"/>
      <c r="BR23" s="70" t="n"/>
      <c r="BS23" s="70" t="n"/>
      <c r="BT23" s="70" t="n"/>
      <c r="BU23" s="70" t="n"/>
      <c r="BV23" s="70" t="n"/>
      <c r="BW23" s="70" t="n"/>
      <c r="BX23" s="70" t="n"/>
      <c r="BY23" s="70" t="n"/>
      <c r="BZ23" s="70" t="n"/>
      <c r="CA23" s="70" t="n"/>
      <c r="CB23" s="70" t="n"/>
      <c r="CC23" s="70" t="n"/>
      <c r="CE23" s="480" t="n"/>
      <c r="CI23" s="481" t="n"/>
      <c r="CJ23" s="482" t="n"/>
      <c r="CK23" s="480" t="n"/>
    </row>
    <row r="24" ht="9.75" customHeight="1"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  <c r="AJ24" s="70" t="n"/>
      <c r="AK24" s="70" t="n"/>
      <c r="AL24" s="70" t="n"/>
      <c r="AM24" s="70" t="n"/>
      <c r="AN24" s="70" t="n"/>
      <c r="AO24" s="70" t="n"/>
      <c r="AP24" s="70" t="n"/>
      <c r="AQ24" s="70" t="n"/>
      <c r="AR24" s="70" t="n"/>
      <c r="AS24" s="70" t="n"/>
      <c r="AT24" s="70" t="n"/>
      <c r="AU24" s="70" t="n"/>
      <c r="AV24" s="70" t="n"/>
      <c r="AW24" s="70" t="n"/>
      <c r="AX24" s="70" t="n"/>
      <c r="AY24" s="70" t="n"/>
      <c r="AZ24" s="70" t="n"/>
      <c r="BA24" s="70" t="n"/>
      <c r="BB24" s="70" t="n"/>
      <c r="BC24" s="70" t="n"/>
      <c r="BD24" s="70" t="n"/>
      <c r="BE24" s="70" t="n"/>
      <c r="BF24" s="70" t="n"/>
      <c r="BG24" s="70" t="n"/>
      <c r="BH24" s="70" t="n"/>
      <c r="BI24" s="70" t="n"/>
      <c r="BJ24" s="70" t="n"/>
      <c r="BK24" s="70" t="n"/>
      <c r="BL24" s="70" t="n"/>
      <c r="BM24" s="70" t="n"/>
      <c r="BN24" s="70" t="n"/>
      <c r="BO24" s="70" t="n"/>
      <c r="BP24" s="70" t="n"/>
      <c r="BQ24" s="70" t="n"/>
      <c r="BR24" s="70" t="n"/>
      <c r="BS24" s="70" t="n"/>
      <c r="BT24" s="70" t="n"/>
      <c r="BU24" s="70" t="n"/>
      <c r="BV24" s="70" t="n"/>
      <c r="BW24" s="70" t="n"/>
      <c r="BX24" s="70" t="n"/>
      <c r="BY24" s="70" t="n"/>
      <c r="BZ24" s="70" t="n"/>
      <c r="CA24" s="70" t="n"/>
      <c r="CB24" s="70" t="n"/>
      <c r="CC24" s="70" t="n"/>
      <c r="CE24" s="480" t="n"/>
      <c r="CI24" s="481" t="n"/>
      <c r="CJ24" s="482" t="n"/>
      <c r="CK24" s="480" t="n"/>
    </row>
    <row r="25" ht="15.75" customHeight="1">
      <c r="C25" s="483" t="inlineStr">
        <is>
          <t>CONFORME PACTUADO</t>
        </is>
      </c>
      <c r="D25" s="462" t="n"/>
      <c r="E25" s="462" t="n"/>
      <c r="F25" s="462" t="n"/>
      <c r="G25" s="462" t="n"/>
      <c r="H25" s="462" t="n"/>
      <c r="I25" s="462" t="n"/>
      <c r="J25" s="462" t="n"/>
      <c r="K25" s="462" t="n"/>
      <c r="L25" s="462" t="n"/>
      <c r="M25" s="462" t="n"/>
      <c r="N25" s="462" t="n"/>
      <c r="O25" s="462" t="n"/>
      <c r="P25" s="462" t="n"/>
      <c r="Q25" s="462" t="n"/>
      <c r="R25" s="462" t="n"/>
      <c r="S25" s="462" t="n"/>
      <c r="T25" s="462" t="n"/>
      <c r="U25" s="462" t="n"/>
      <c r="V25" s="462" t="n"/>
      <c r="W25" s="462" t="n"/>
      <c r="X25" s="462" t="n"/>
      <c r="Y25" s="463" t="n"/>
      <c r="Z25" s="70" t="n"/>
      <c r="AA25" s="70" t="n"/>
      <c r="AB25" s="70" t="n"/>
      <c r="AC25" s="70" t="n"/>
      <c r="AD25" s="483" t="inlineStr">
        <is>
          <t>PARCELA COM TAXA MÉDIA E EXPURGO DE ABUSIVIDADES</t>
        </is>
      </c>
      <c r="AE25" s="462" t="n"/>
      <c r="AF25" s="462" t="n"/>
      <c r="AG25" s="462" t="n"/>
      <c r="AH25" s="462" t="n"/>
      <c r="AI25" s="462" t="n"/>
      <c r="AJ25" s="462" t="n"/>
      <c r="AK25" s="462" t="n"/>
      <c r="AL25" s="462" t="n"/>
      <c r="AM25" s="462" t="n"/>
      <c r="AN25" s="462" t="n"/>
      <c r="AO25" s="462" t="n"/>
      <c r="AP25" s="462" t="n"/>
      <c r="AQ25" s="462" t="n"/>
      <c r="AR25" s="462" t="n"/>
      <c r="AS25" s="462" t="n"/>
      <c r="AT25" s="462" t="n"/>
      <c r="AU25" s="462" t="n"/>
      <c r="AV25" s="462" t="n"/>
      <c r="AW25" s="462" t="n"/>
      <c r="AX25" s="462" t="n"/>
      <c r="AY25" s="462" t="n"/>
      <c r="AZ25" s="463" t="n"/>
      <c r="BA25" s="70" t="n"/>
      <c r="BB25" s="70" t="n"/>
      <c r="BC25" s="70" t="n"/>
      <c r="BD25" s="70" t="n"/>
      <c r="BE25" s="76" t="n"/>
      <c r="BF25" s="76" t="n"/>
      <c r="BG25" s="76" t="n"/>
      <c r="BH25" s="76" t="n"/>
      <c r="BI25" s="76" t="n"/>
      <c r="BJ25" s="76" t="n"/>
      <c r="BK25" s="76" t="n"/>
      <c r="BL25" s="76" t="n"/>
      <c r="BM25" s="76" t="n"/>
      <c r="BN25" s="76" t="n"/>
      <c r="BO25" s="76" t="n"/>
      <c r="BP25" s="76" t="n"/>
      <c r="BQ25" s="76" t="n"/>
      <c r="BR25" s="76" t="n"/>
      <c r="BS25" s="76" t="n"/>
      <c r="BT25" s="76" t="n"/>
      <c r="BU25" s="76" t="n"/>
      <c r="BV25" s="76" t="n"/>
      <c r="BW25" s="76" t="n"/>
      <c r="BX25" s="76" t="n"/>
      <c r="BY25" s="76" t="n"/>
      <c r="BZ25" s="76" t="n"/>
      <c r="CA25" s="76" t="n"/>
      <c r="CB25" s="76" t="n"/>
      <c r="CC25" s="76" t="n"/>
      <c r="CD25" s="56" t="n"/>
      <c r="CE25" s="484" t="n"/>
      <c r="CI25" s="481" t="n"/>
      <c r="CK25" s="484" t="n"/>
      <c r="CL25" s="481" t="n"/>
    </row>
    <row r="26" hidden="1" ht="13.5" customHeight="1">
      <c r="C26" s="77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8" t="n"/>
      <c r="Z26" s="70" t="n"/>
      <c r="AA26" s="70" t="n"/>
      <c r="AB26" s="70" t="n"/>
      <c r="AC26" s="70" t="n"/>
      <c r="AD26" s="77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0" t="n"/>
      <c r="AR26" s="70" t="n"/>
      <c r="AS26" s="70" t="n"/>
      <c r="AT26" s="70" t="n"/>
      <c r="AU26" s="70" t="n"/>
      <c r="AV26" s="70" t="n"/>
      <c r="AW26" s="70" t="n"/>
      <c r="AX26" s="70" t="n"/>
      <c r="AY26" s="70" t="n"/>
      <c r="AZ26" s="78" t="n"/>
      <c r="BA26" s="70" t="n"/>
      <c r="BB26" s="70" t="n"/>
      <c r="BC26" s="70" t="n"/>
      <c r="BD26" s="70" t="n"/>
      <c r="BE26" s="70" t="n"/>
      <c r="BF26" s="70" t="n"/>
      <c r="BG26" s="70" t="n"/>
      <c r="BH26" s="70" t="n"/>
      <c r="BI26" s="70" t="n"/>
      <c r="BJ26" s="70" t="n"/>
      <c r="BK26" s="70" t="n"/>
      <c r="BL26" s="70" t="n"/>
      <c r="BM26" s="70" t="n"/>
      <c r="BN26" s="70" t="n"/>
      <c r="BO26" s="70" t="n"/>
      <c r="BP26" s="70" t="n"/>
      <c r="BQ26" s="70" t="n"/>
      <c r="BR26" s="70" t="n"/>
      <c r="BS26" s="70" t="n"/>
      <c r="BT26" s="70" t="n"/>
      <c r="BU26" s="70" t="n"/>
      <c r="BV26" s="70" t="n"/>
      <c r="BW26" s="70" t="n"/>
      <c r="BX26" s="70" t="n"/>
      <c r="BY26" s="70" t="n"/>
      <c r="BZ26" s="70" t="n"/>
      <c r="CA26" s="70" t="n"/>
      <c r="CB26" s="70" t="n"/>
      <c r="CC26" s="70" t="n"/>
      <c r="CE26" s="485" t="n"/>
      <c r="CI26" s="486" t="n"/>
      <c r="CJ26" s="482" t="n"/>
      <c r="CK26" s="485" t="n"/>
      <c r="CL26" s="481" t="n"/>
    </row>
    <row r="27" hidden="1" ht="12" customHeight="1">
      <c r="C27" s="79" t="n"/>
      <c r="D27" s="71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8" t="n"/>
      <c r="Z27" s="70" t="n"/>
      <c r="AA27" s="70" t="n"/>
      <c r="AB27" s="70" t="n"/>
      <c r="AC27" s="70" t="n"/>
      <c r="AD27" s="79" t="n"/>
      <c r="AE27" s="71" t="n"/>
      <c r="AF27" s="70" t="n"/>
      <c r="AG27" s="70" t="n"/>
      <c r="AH27" s="70" t="n"/>
      <c r="AI27" s="70" t="n"/>
      <c r="AJ27" s="70" t="n"/>
      <c r="AK27" s="70" t="n"/>
      <c r="AL27" s="70" t="n"/>
      <c r="AM27" s="70" t="n"/>
      <c r="AN27" s="70" t="n"/>
      <c r="AO27" s="70" t="n"/>
      <c r="AP27" s="70" t="n"/>
      <c r="AQ27" s="70" t="n"/>
      <c r="AR27" s="70" t="n"/>
      <c r="AS27" s="70" t="n"/>
      <c r="AT27" s="70" t="n"/>
      <c r="AU27" s="70" t="n"/>
      <c r="AV27" s="70" t="n"/>
      <c r="AW27" s="70" t="n"/>
      <c r="AX27" s="70" t="n"/>
      <c r="AY27" s="70" t="n"/>
      <c r="AZ27" s="78" t="n"/>
      <c r="BA27" s="70" t="n"/>
      <c r="BB27" s="70" t="n"/>
      <c r="BC27" s="70" t="n"/>
      <c r="BD27" s="70" t="n"/>
      <c r="BE27" s="71" t="n"/>
      <c r="BF27" s="71" t="n"/>
      <c r="BG27" s="70" t="n"/>
      <c r="BH27" s="70" t="n"/>
      <c r="BI27" s="70" t="n"/>
      <c r="BJ27" s="70" t="n"/>
      <c r="BK27" s="70" t="n"/>
      <c r="BL27" s="70" t="n"/>
      <c r="BM27" s="70" t="n"/>
      <c r="BN27" s="70" t="n"/>
      <c r="BO27" s="70" t="n"/>
      <c r="BP27" s="70" t="n"/>
      <c r="BQ27" s="70" t="n"/>
      <c r="BR27" s="70" t="n"/>
      <c r="BS27" s="70" t="n"/>
      <c r="BT27" s="70" t="n"/>
      <c r="BU27" s="70" t="n"/>
      <c r="BV27" s="70" t="n"/>
      <c r="BW27" s="70" t="n"/>
      <c r="BX27" s="70" t="n"/>
      <c r="BY27" s="70" t="n"/>
      <c r="BZ27" s="70" t="n"/>
      <c r="CA27" s="70" t="n"/>
      <c r="CB27" s="70" t="n"/>
      <c r="CC27" s="70" t="n"/>
      <c r="CE27" s="5" t="n"/>
      <c r="CI27" s="11" t="n"/>
      <c r="CK27" s="5" t="n"/>
      <c r="CL27" s="481" t="n"/>
    </row>
    <row r="28" ht="12" customHeight="1" thickBot="1">
      <c r="C28" s="79" t="n"/>
      <c r="D28" s="71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8" t="n"/>
      <c r="Z28" s="70" t="n"/>
      <c r="AA28" s="70" t="n"/>
      <c r="AB28" s="70" t="n"/>
      <c r="AC28" s="70" t="n"/>
      <c r="AD28" s="79" t="n"/>
      <c r="AE28" s="71" t="n"/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8" t="n"/>
      <c r="BA28" s="70" t="n"/>
      <c r="BB28" s="70" t="n"/>
      <c r="BC28" s="70" t="n"/>
      <c r="BD28" s="70" t="n"/>
      <c r="BE28" s="71" t="n"/>
      <c r="BF28" s="71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70" t="n"/>
      <c r="BT28" s="70" t="n"/>
      <c r="BU28" s="70" t="n"/>
      <c r="BV28" s="70" t="n"/>
      <c r="BW28" s="70" t="n"/>
      <c r="BX28" s="70" t="n"/>
      <c r="BY28" s="70" t="n"/>
      <c r="BZ28" s="70" t="n"/>
      <c r="CA28" s="70" t="n"/>
      <c r="CB28" s="70" t="n"/>
      <c r="CC28" s="70" t="n"/>
      <c r="CE28" s="480" t="n"/>
      <c r="CK28" s="480" t="n"/>
    </row>
    <row r="29" ht="48" customHeight="1">
      <c r="C29" s="80" t="inlineStr">
        <is>
          <t xml:space="preserve">Valor financiado total = </t>
        </is>
      </c>
      <c r="D29" s="81" t="n"/>
      <c r="E29" s="82" t="n"/>
      <c r="F29" s="82" t="n"/>
      <c r="G29" s="82" t="n"/>
      <c r="H29" s="487">
        <f>I14</f>
        <v/>
      </c>
      <c r="I29" s="453" t="n"/>
      <c r="J29" s="453" t="n"/>
      <c r="K29" s="453" t="n"/>
      <c r="L29" s="453" t="n"/>
      <c r="M29" s="453" t="n"/>
      <c r="N29" s="453" t="n"/>
      <c r="O29" s="453" t="n"/>
      <c r="P29" s="453" t="n"/>
      <c r="Q29" s="453" t="n"/>
      <c r="R29" s="453" t="n"/>
      <c r="S29" s="454" t="n"/>
      <c r="T29" s="71" t="n"/>
      <c r="U29" s="70" t="n"/>
      <c r="V29" s="70" t="n"/>
      <c r="W29" s="70" t="n"/>
      <c r="X29" s="70" t="n"/>
      <c r="Y29" s="488" t="n"/>
      <c r="Z29" s="70" t="n"/>
      <c r="AA29" s="70" t="n"/>
      <c r="AB29" s="70" t="n"/>
      <c r="AC29" s="70" t="n"/>
      <c r="AD29" s="249" t="inlineStr">
        <is>
          <t>Valor financiado ajustado = 
(com expurgo de tarifas e/ou seguros)</t>
        </is>
      </c>
      <c r="AE29" s="453" t="n"/>
      <c r="AF29" s="453" t="n"/>
      <c r="AG29" s="453" t="n"/>
      <c r="AH29" s="453" t="n"/>
      <c r="AI29" s="487">
        <f>AP14</f>
        <v/>
      </c>
      <c r="AJ29" s="453" t="n"/>
      <c r="AK29" s="453" t="n"/>
      <c r="AL29" s="453" t="n"/>
      <c r="AM29" s="453" t="n"/>
      <c r="AN29" s="453" t="n"/>
      <c r="AO29" s="453" t="n"/>
      <c r="AP29" s="453" t="n"/>
      <c r="AQ29" s="453" t="n"/>
      <c r="AR29" s="453" t="n"/>
      <c r="AS29" s="453" t="n"/>
      <c r="AT29" s="454" t="n"/>
      <c r="AU29" s="71" t="n"/>
      <c r="AV29" s="70" t="n"/>
      <c r="AW29" s="70" t="n"/>
      <c r="AX29" s="70" t="n"/>
      <c r="AY29" s="70" t="n"/>
      <c r="AZ29" s="488" t="n"/>
      <c r="BA29" s="70" t="n"/>
      <c r="BB29" s="70" t="n"/>
      <c r="BC29" s="70" t="n"/>
      <c r="BD29" s="70" t="n"/>
      <c r="BE29" s="489" t="inlineStr">
        <is>
          <t>PERCENTUAL DA TAXA COBRADADA SUPERIOR A MÉDIA</t>
        </is>
      </c>
      <c r="BF29" s="441" t="n"/>
      <c r="BG29" s="441" t="n"/>
      <c r="BH29" s="444" t="n"/>
      <c r="BI29" s="70" t="n"/>
      <c r="BJ29" s="84" t="n"/>
      <c r="BK29" s="489" t="inlineStr">
        <is>
          <t>TOTAL NOMINAL DE COBRANÇAS INDEVIDAS</t>
        </is>
      </c>
      <c r="BL29" s="441" t="n"/>
      <c r="BM29" s="441" t="n"/>
      <c r="BN29" s="441" t="n"/>
      <c r="BO29" s="441" t="n"/>
      <c r="BP29" s="441" t="n"/>
      <c r="BQ29" s="441" t="n"/>
      <c r="BR29" s="441" t="n"/>
      <c r="BS29" s="441" t="n"/>
      <c r="BT29" s="441" t="n"/>
      <c r="BU29" s="441" t="n"/>
      <c r="BV29" s="441" t="n"/>
      <c r="BW29" s="441" t="n"/>
      <c r="BX29" s="441" t="n"/>
      <c r="BY29" s="441" t="n"/>
      <c r="BZ29" s="441" t="n"/>
      <c r="CA29" s="441" t="n"/>
      <c r="CB29" s="444" t="n"/>
      <c r="CC29" s="70" t="n"/>
      <c r="CD29" s="490" t="n"/>
      <c r="CE29" s="480" t="n"/>
      <c r="CF29" s="5" t="n"/>
      <c r="CG29" s="5" t="n"/>
      <c r="CK29" s="480" t="n"/>
    </row>
    <row r="30" ht="12" customHeight="1">
      <c r="C30" s="80" t="inlineStr">
        <is>
          <t xml:space="preserve">Taxa de juros ao mês = </t>
        </is>
      </c>
      <c r="D30" s="81" t="n"/>
      <c r="E30" s="82" t="n"/>
      <c r="F30" s="82" t="n"/>
      <c r="G30" s="82" t="n"/>
      <c r="H30" s="251">
        <f>I17</f>
        <v/>
      </c>
      <c r="I30" s="453" t="n"/>
      <c r="J30" s="453" t="n"/>
      <c r="K30" s="453" t="n"/>
      <c r="L30" s="453" t="n"/>
      <c r="M30" s="453" t="n"/>
      <c r="N30" s="453" t="n"/>
      <c r="O30" s="453" t="n"/>
      <c r="P30" s="453" t="n"/>
      <c r="Q30" s="453" t="n"/>
      <c r="R30" s="81" t="n"/>
      <c r="S30" s="85" t="n"/>
      <c r="T30" s="70" t="n"/>
      <c r="U30" s="70" t="n"/>
      <c r="V30" s="70" t="n"/>
      <c r="W30" s="70" t="n"/>
      <c r="X30" s="70" t="n"/>
      <c r="Y30" s="488" t="n"/>
      <c r="Z30" s="70" t="n"/>
      <c r="AA30" s="70" t="n"/>
      <c r="AB30" s="70" t="n"/>
      <c r="AC30" s="86" t="n"/>
      <c r="AD30" s="80" t="inlineStr">
        <is>
          <t>Taxa média de juros ao mês =</t>
        </is>
      </c>
      <c r="AE30" s="81" t="n"/>
      <c r="AF30" s="82" t="n"/>
      <c r="AG30" s="82" t="n"/>
      <c r="AH30" s="82" t="n"/>
      <c r="AI30" s="251">
        <f>AP15</f>
        <v/>
      </c>
      <c r="AJ30" s="453" t="n"/>
      <c r="AK30" s="453" t="n"/>
      <c r="AL30" s="453" t="n"/>
      <c r="AM30" s="453" t="n"/>
      <c r="AN30" s="453" t="n"/>
      <c r="AO30" s="453" t="n"/>
      <c r="AP30" s="453" t="n"/>
      <c r="AQ30" s="453" t="n"/>
      <c r="AR30" s="453" t="n"/>
      <c r="AS30" s="81" t="n"/>
      <c r="AT30" s="85" t="n"/>
      <c r="AU30" s="70" t="n"/>
      <c r="AV30" s="70" t="n"/>
      <c r="AW30" s="70" t="n"/>
      <c r="AX30" s="70" t="n"/>
      <c r="AY30" s="70" t="n"/>
      <c r="AZ30" s="488" t="n"/>
      <c r="BA30" s="70" t="n"/>
      <c r="BB30" s="70" t="n"/>
      <c r="BC30" s="70" t="n"/>
      <c r="BD30" s="70" t="n"/>
      <c r="BE30" s="491">
        <f>H30/AI30-100%</f>
        <v/>
      </c>
      <c r="BH30" s="492" t="n"/>
      <c r="BI30" s="70" t="n"/>
      <c r="BJ30" s="87" t="n"/>
      <c r="BK30" s="493">
        <f>SUM(I8:Y12)</f>
        <v/>
      </c>
      <c r="CB30" s="492" t="n"/>
      <c r="CC30" s="70" t="n"/>
      <c r="CD30" s="490" t="n"/>
      <c r="CE30" s="480" t="n"/>
      <c r="CI30" s="480" t="n"/>
      <c r="CK30" s="480" t="n"/>
    </row>
    <row r="31" ht="12" customHeight="1" thickBot="1">
      <c r="C31" s="80" t="inlineStr">
        <is>
          <t xml:space="preserve">Quantidade de parcelas = </t>
        </is>
      </c>
      <c r="D31" s="81" t="n"/>
      <c r="E31" s="82" t="n"/>
      <c r="F31" s="82" t="n"/>
      <c r="G31" s="82" t="n"/>
      <c r="H31" s="82" t="n"/>
      <c r="I31" s="252">
        <f>I15</f>
        <v/>
      </c>
      <c r="J31" s="453" t="n"/>
      <c r="K31" s="453" t="n"/>
      <c r="L31" s="453" t="n"/>
      <c r="M31" s="453" t="n"/>
      <c r="N31" s="453" t="n"/>
      <c r="O31" s="453" t="n"/>
      <c r="P31" s="82" t="n"/>
      <c r="Q31" s="82" t="n"/>
      <c r="R31" s="82" t="n"/>
      <c r="S31" s="88" t="n"/>
      <c r="T31" s="70" t="n"/>
      <c r="U31" s="70" t="n"/>
      <c r="V31" s="70" t="n"/>
      <c r="W31" s="70" t="n"/>
      <c r="X31" s="70" t="n"/>
      <c r="Y31" s="78" t="n"/>
      <c r="Z31" s="70" t="n"/>
      <c r="AA31" s="70" t="n"/>
      <c r="AB31" s="70" t="n"/>
      <c r="AC31" s="70" t="n"/>
      <c r="AD31" s="80" t="inlineStr">
        <is>
          <t>Quantidade de parcelas =</t>
        </is>
      </c>
      <c r="AE31" s="81" t="n"/>
      <c r="AF31" s="82" t="n"/>
      <c r="AG31" s="82" t="n"/>
      <c r="AH31" s="82" t="n"/>
      <c r="AI31" s="82" t="n"/>
      <c r="AJ31" s="252">
        <f>I15</f>
        <v/>
      </c>
      <c r="AK31" s="453" t="n"/>
      <c r="AL31" s="453" t="n"/>
      <c r="AM31" s="453" t="n"/>
      <c r="AN31" s="453" t="n"/>
      <c r="AO31" s="453" t="n"/>
      <c r="AP31" s="453" t="n"/>
      <c r="AQ31" s="82" t="n"/>
      <c r="AR31" s="82" t="n"/>
      <c r="AS31" s="82" t="n"/>
      <c r="AT31" s="88" t="n"/>
      <c r="AU31" s="70" t="n"/>
      <c r="AV31" s="70" t="n"/>
      <c r="AW31" s="70" t="n"/>
      <c r="AX31" s="70" t="n"/>
      <c r="AY31" s="70" t="n"/>
      <c r="AZ31" s="78" t="n"/>
      <c r="BA31" s="70" t="n"/>
      <c r="BB31" s="70" t="n"/>
      <c r="BC31" s="70" t="n"/>
      <c r="BD31" s="70" t="n"/>
      <c r="BE31" s="466" t="n"/>
      <c r="BF31" s="467" t="n"/>
      <c r="BG31" s="467" t="n"/>
      <c r="BH31" s="470" t="n"/>
      <c r="BI31" s="70" t="n"/>
      <c r="BJ31" s="89" t="n"/>
      <c r="BK31" s="466" t="n"/>
      <c r="BL31" s="467" t="n"/>
      <c r="BM31" s="467" t="n"/>
      <c r="BN31" s="467" t="n"/>
      <c r="BO31" s="467" t="n"/>
      <c r="BP31" s="467" t="n"/>
      <c r="BQ31" s="467" t="n"/>
      <c r="BR31" s="467" t="n"/>
      <c r="BS31" s="467" t="n"/>
      <c r="BT31" s="467" t="n"/>
      <c r="BU31" s="467" t="n"/>
      <c r="BV31" s="467" t="n"/>
      <c r="BW31" s="467" t="n"/>
      <c r="BX31" s="467" t="n"/>
      <c r="BY31" s="467" t="n"/>
      <c r="BZ31" s="467" t="n"/>
      <c r="CA31" s="467" t="n"/>
      <c r="CB31" s="470" t="n"/>
      <c r="CC31" s="70" t="n"/>
      <c r="CE31" s="45" t="n"/>
      <c r="CI31" s="480" t="n"/>
      <c r="CK31" s="45" t="n"/>
    </row>
    <row r="32" ht="9" customHeight="1">
      <c r="B32" s="388" t="n"/>
      <c r="C32" s="77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8" t="n"/>
      <c r="Z32" s="70" t="n"/>
      <c r="AA32" s="70" t="n"/>
      <c r="AB32" s="70" t="n"/>
      <c r="AC32" s="70" t="n"/>
      <c r="AD32" s="77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  <c r="AR32" s="70" t="n"/>
      <c r="AS32" s="70" t="n"/>
      <c r="AT32" s="70" t="n"/>
      <c r="AU32" s="70" t="n"/>
      <c r="AV32" s="70" t="n"/>
      <c r="AW32" s="70" t="n"/>
      <c r="AX32" s="70" t="n"/>
      <c r="AY32" s="70" t="n"/>
      <c r="AZ32" s="78" t="n"/>
      <c r="BA32" s="70" t="n"/>
      <c r="BB32" s="70" t="n"/>
      <c r="BC32" s="70" t="n"/>
      <c r="BD32" s="70" t="n"/>
      <c r="BE32" s="70" t="n"/>
      <c r="BF32" s="70" t="n"/>
      <c r="BG32" s="70" t="n"/>
      <c r="BH32" s="70" t="n"/>
      <c r="BI32" s="70" t="n"/>
      <c r="BJ32" s="70" t="n"/>
      <c r="BK32" s="70" t="n"/>
      <c r="BL32" s="70" t="n"/>
      <c r="BM32" s="70" t="n"/>
      <c r="BN32" s="70" t="n"/>
      <c r="BO32" s="70" t="n"/>
      <c r="BP32" s="70" t="n"/>
      <c r="BQ32" s="70" t="n"/>
      <c r="BR32" s="70" t="n"/>
      <c r="BS32" s="70" t="n"/>
      <c r="BT32" s="70" t="n"/>
      <c r="BU32" s="70" t="n"/>
      <c r="BV32" s="70" t="n"/>
      <c r="BW32" s="70" t="n"/>
      <c r="BX32" s="70" t="n"/>
      <c r="BY32" s="70" t="n"/>
      <c r="BZ32" s="70" t="n"/>
      <c r="CA32" s="70" t="n"/>
      <c r="CB32" s="70" t="n"/>
      <c r="CC32" s="70" t="n"/>
      <c r="CE32" s="46" t="n"/>
      <c r="CK32" s="46" t="n"/>
    </row>
    <row r="33" ht="3" customHeight="1">
      <c r="B33" s="388" t="n"/>
      <c r="C33" s="129" t="inlineStr">
        <is>
          <t>Valor da parcela</t>
        </is>
      </c>
      <c r="D33" s="71" t="n"/>
      <c r="E33" s="130" t="inlineStr">
        <is>
          <t>=</t>
        </is>
      </c>
      <c r="F33" s="71" t="n"/>
      <c r="G33" s="130" t="inlineStr">
        <is>
          <t>PV</t>
        </is>
      </c>
      <c r="H33" s="71" t="n"/>
      <c r="I33" s="130" t="inlineStr">
        <is>
          <t>x</t>
        </is>
      </c>
      <c r="J33" s="71" t="n"/>
      <c r="K33" s="71" t="n"/>
      <c r="L33" s="71" t="n"/>
      <c r="M33" s="71" t="n"/>
      <c r="N33" s="130" t="n"/>
      <c r="O33" s="130" t="n">
        <v>1</v>
      </c>
      <c r="P33" s="130" t="n"/>
      <c r="Q33" s="130" t="inlineStr">
        <is>
          <t>+</t>
        </is>
      </c>
      <c r="R33" s="130" t="n"/>
      <c r="S33" s="130" t="inlineStr">
        <is>
          <t>i</t>
        </is>
      </c>
      <c r="T33" s="130" t="n"/>
      <c r="U33" s="185" t="inlineStr">
        <is>
          <t>n</t>
        </is>
      </c>
      <c r="V33" s="71" t="n"/>
      <c r="W33" s="130" t="inlineStr">
        <is>
          <t>x</t>
        </is>
      </c>
      <c r="X33" s="90" t="n"/>
      <c r="Y33" s="184" t="inlineStr">
        <is>
          <t>i</t>
        </is>
      </c>
      <c r="Z33" s="70" t="n"/>
      <c r="AA33" s="70" t="n"/>
      <c r="AB33" s="70" t="n"/>
      <c r="AC33" s="70" t="n"/>
      <c r="AD33" s="129" t="inlineStr">
        <is>
          <t>Valor da parcela</t>
        </is>
      </c>
      <c r="AE33" s="71" t="n"/>
      <c r="AF33" s="130" t="inlineStr">
        <is>
          <t>=</t>
        </is>
      </c>
      <c r="AG33" s="71" t="n"/>
      <c r="AH33" s="130" t="inlineStr">
        <is>
          <t>PV</t>
        </is>
      </c>
      <c r="AI33" s="71" t="n"/>
      <c r="AJ33" s="130" t="inlineStr">
        <is>
          <t>x</t>
        </is>
      </c>
      <c r="AK33" s="71" t="n"/>
      <c r="AL33" s="71" t="n"/>
      <c r="AM33" s="71" t="n"/>
      <c r="AN33" s="71" t="n"/>
      <c r="AO33" s="130" t="n"/>
      <c r="AP33" s="130" t="n">
        <v>1</v>
      </c>
      <c r="AQ33" s="130" t="n"/>
      <c r="AR33" s="130" t="inlineStr">
        <is>
          <t>+</t>
        </is>
      </c>
      <c r="AS33" s="130" t="n"/>
      <c r="AT33" s="130" t="inlineStr">
        <is>
          <t>i</t>
        </is>
      </c>
      <c r="AU33" s="130" t="n"/>
      <c r="AV33" s="185" t="inlineStr">
        <is>
          <t>n</t>
        </is>
      </c>
      <c r="AW33" s="71" t="n"/>
      <c r="AX33" s="130" t="inlineStr">
        <is>
          <t>x</t>
        </is>
      </c>
      <c r="AY33" s="90" t="n"/>
      <c r="AZ33" s="184" t="inlineStr">
        <is>
          <t>i</t>
        </is>
      </c>
      <c r="BA33" s="70" t="n"/>
      <c r="BB33" s="70" t="n"/>
      <c r="BC33" s="70" t="n"/>
      <c r="BD33" s="70" t="n"/>
      <c r="BE33" s="91" t="n"/>
      <c r="BF33" s="71" t="n"/>
      <c r="BG33" s="71" t="n"/>
      <c r="BH33" s="71" t="n"/>
      <c r="BI33" s="71" t="n"/>
      <c r="BJ33" s="71" t="n"/>
      <c r="BK33" s="71" t="n"/>
      <c r="BL33" s="71" t="n"/>
      <c r="BM33" s="71" t="n"/>
      <c r="BN33" s="71" t="n"/>
      <c r="BO33" s="71" t="n"/>
      <c r="BP33" s="71" t="n"/>
      <c r="BQ33" s="71" t="n"/>
      <c r="BR33" s="71" t="n"/>
      <c r="BS33" s="130" t="n"/>
      <c r="BT33" s="71" t="n"/>
      <c r="BU33" s="130" t="n"/>
      <c r="BV33" s="71" t="n"/>
      <c r="BW33" s="130" t="n"/>
      <c r="BX33" s="71" t="n"/>
      <c r="BY33" s="130" t="n"/>
      <c r="BZ33" s="71" t="n"/>
      <c r="CA33" s="71" t="n"/>
      <c r="CB33" s="71" t="n"/>
      <c r="CC33" s="90" t="n"/>
      <c r="CD33" s="10" t="n"/>
    </row>
    <row r="34" ht="3" customHeight="1">
      <c r="B34" s="388" t="n"/>
      <c r="C34" s="494" t="n"/>
      <c r="D34" s="71" t="n"/>
      <c r="F34" s="71" t="n"/>
      <c r="H34" s="71" t="n"/>
      <c r="J34" s="71" t="n"/>
      <c r="K34" s="71" t="n"/>
      <c r="L34" s="71" t="n"/>
      <c r="M34" s="71" t="n"/>
      <c r="N34" s="130" t="n"/>
      <c r="P34" s="130" t="n"/>
      <c r="R34" s="130" t="n"/>
      <c r="T34" s="130" t="n"/>
      <c r="V34" s="71" t="n"/>
      <c r="X34" s="90" t="n"/>
      <c r="Y34" s="495" t="n"/>
      <c r="Z34" s="70" t="n"/>
      <c r="AA34" s="70" t="n"/>
      <c r="AB34" s="70" t="n"/>
      <c r="AC34" s="70" t="n"/>
      <c r="AD34" s="494" t="n"/>
      <c r="AE34" s="71" t="n"/>
      <c r="AG34" s="71" t="n"/>
      <c r="AI34" s="71" t="n"/>
      <c r="AK34" s="71" t="n"/>
      <c r="AL34" s="71" t="n"/>
      <c r="AM34" s="71" t="n"/>
      <c r="AN34" s="71" t="n"/>
      <c r="AO34" s="130" t="n"/>
      <c r="AQ34" s="130" t="n"/>
      <c r="AS34" s="130" t="n"/>
      <c r="AU34" s="130" t="n"/>
      <c r="AW34" s="71" t="n"/>
      <c r="AY34" s="90" t="n"/>
      <c r="AZ34" s="495" t="n"/>
      <c r="BA34" s="70" t="n"/>
      <c r="BB34" s="70" t="n"/>
      <c r="BC34" s="70" t="n"/>
      <c r="BD34" s="70" t="n"/>
      <c r="BE34" s="91" t="n"/>
      <c r="BF34" s="71" t="n"/>
      <c r="BG34" s="71" t="n"/>
      <c r="BH34" s="71" t="n"/>
      <c r="BI34" s="71" t="n"/>
      <c r="BJ34" s="71" t="n"/>
      <c r="BK34" s="71" t="n"/>
      <c r="BL34" s="71" t="n"/>
      <c r="BM34" s="71" t="n"/>
      <c r="BN34" s="71" t="n"/>
      <c r="BO34" s="71" t="n"/>
      <c r="BP34" s="71" t="n"/>
      <c r="BQ34" s="71" t="n"/>
      <c r="BR34" s="71" t="n"/>
      <c r="BS34" s="130" t="n"/>
      <c r="BT34" s="71" t="n"/>
      <c r="BU34" s="130" t="n"/>
      <c r="BV34" s="71" t="n"/>
      <c r="BW34" s="130" t="n"/>
      <c r="BX34" s="71" t="n"/>
      <c r="BY34" s="130" t="n"/>
      <c r="BZ34" s="71" t="n"/>
      <c r="CA34" s="71" t="n"/>
      <c r="CB34" s="71" t="n"/>
      <c r="CC34" s="90" t="n"/>
      <c r="CD34" s="10" t="n"/>
    </row>
    <row r="35" ht="3" customHeight="1">
      <c r="B35" s="388" t="n"/>
      <c r="C35" s="494" t="n"/>
      <c r="D35" s="71" t="n"/>
      <c r="F35" s="71" t="n"/>
      <c r="H35" s="71" t="n"/>
      <c r="J35" s="71" t="n"/>
      <c r="K35" s="71" t="n"/>
      <c r="L35" s="71" t="n"/>
      <c r="M35" s="71" t="n"/>
      <c r="N35" s="130" t="n"/>
      <c r="P35" s="130" t="n"/>
      <c r="R35" s="130" t="n"/>
      <c r="T35" s="130" t="n"/>
      <c r="V35" s="71" t="n"/>
      <c r="X35" s="90" t="n"/>
      <c r="Y35" s="495" t="n"/>
      <c r="Z35" s="70" t="n"/>
      <c r="AA35" s="70" t="n"/>
      <c r="AB35" s="70" t="n"/>
      <c r="AC35" s="70" t="n"/>
      <c r="AD35" s="494" t="n"/>
      <c r="AE35" s="71" t="n"/>
      <c r="AG35" s="71" t="n"/>
      <c r="AI35" s="71" t="n"/>
      <c r="AK35" s="71" t="n"/>
      <c r="AL35" s="71" t="n"/>
      <c r="AM35" s="71" t="n"/>
      <c r="AN35" s="71" t="n"/>
      <c r="AO35" s="130" t="n"/>
      <c r="AQ35" s="130" t="n"/>
      <c r="AS35" s="130" t="n"/>
      <c r="AU35" s="130" t="n"/>
      <c r="AW35" s="71" t="n"/>
      <c r="AY35" s="90" t="n"/>
      <c r="AZ35" s="495" t="n"/>
      <c r="BA35" s="70" t="n"/>
      <c r="BB35" s="70" t="n"/>
      <c r="BC35" s="70" t="n"/>
      <c r="BD35" s="70" t="n"/>
      <c r="BE35" s="91" t="n"/>
      <c r="BF35" s="71" t="n"/>
      <c r="BG35" s="71" t="n"/>
      <c r="BH35" s="71" t="n"/>
      <c r="BI35" s="71" t="n"/>
      <c r="BJ35" s="71" t="n"/>
      <c r="BK35" s="71" t="n"/>
      <c r="BL35" s="71" t="n"/>
      <c r="BM35" s="71" t="n"/>
      <c r="BN35" s="71" t="n"/>
      <c r="BO35" s="71" t="n"/>
      <c r="BP35" s="71" t="n"/>
      <c r="BQ35" s="71" t="n"/>
      <c r="BR35" s="71" t="n"/>
      <c r="BS35" s="130" t="n"/>
      <c r="BT35" s="71" t="n"/>
      <c r="BU35" s="130" t="n"/>
      <c r="BV35" s="71" t="n"/>
      <c r="BW35" s="130" t="n"/>
      <c r="BX35" s="71" t="n"/>
      <c r="BY35" s="130" t="n"/>
      <c r="BZ35" s="71" t="n"/>
      <c r="CA35" s="71" t="n"/>
      <c r="CB35" s="71" t="n"/>
      <c r="CC35" s="90" t="n"/>
      <c r="CD35" s="10" t="n"/>
    </row>
    <row r="36" ht="3" customHeight="1">
      <c r="B36" s="388" t="n"/>
      <c r="C36" s="494" t="n"/>
      <c r="D36" s="71" t="n"/>
      <c r="F36" s="71" t="n"/>
      <c r="H36" s="71" t="n"/>
      <c r="J36" s="71" t="n"/>
      <c r="K36" s="71" t="n"/>
      <c r="L36" s="71" t="n"/>
      <c r="M36" s="71" t="n"/>
      <c r="N36" s="71" t="n"/>
      <c r="P36" s="71" t="n"/>
      <c r="R36" s="71" t="n"/>
      <c r="T36" s="130" t="n"/>
      <c r="U36" s="130" t="n"/>
      <c r="V36" s="71" t="n"/>
      <c r="X36" s="71" t="n"/>
      <c r="Y36" s="495" t="n"/>
      <c r="Z36" s="70" t="n"/>
      <c r="AA36" s="70" t="n"/>
      <c r="AB36" s="70" t="n"/>
      <c r="AC36" s="70" t="n"/>
      <c r="AD36" s="494" t="n"/>
      <c r="AE36" s="71" t="n"/>
      <c r="AG36" s="71" t="n"/>
      <c r="AI36" s="71" t="n"/>
      <c r="AK36" s="71" t="n"/>
      <c r="AL36" s="71" t="n"/>
      <c r="AM36" s="71" t="n"/>
      <c r="AN36" s="71" t="n"/>
      <c r="AO36" s="71" t="n"/>
      <c r="AQ36" s="71" t="n"/>
      <c r="AS36" s="71" t="n"/>
      <c r="AU36" s="130" t="n"/>
      <c r="AV36" s="130" t="n"/>
      <c r="AW36" s="71" t="n"/>
      <c r="AY36" s="71" t="n"/>
      <c r="AZ36" s="495" t="n"/>
      <c r="BA36" s="70" t="n"/>
      <c r="BB36" s="70" t="n"/>
      <c r="BC36" s="70" t="n"/>
      <c r="BD36" s="70" t="n"/>
      <c r="BE36" s="91" t="n"/>
      <c r="BF36" s="71" t="n"/>
      <c r="BG36" s="71" t="n"/>
      <c r="BH36" s="71" t="n"/>
      <c r="BI36" s="71" t="n"/>
      <c r="BJ36" s="71" t="n"/>
      <c r="BK36" s="71" t="n"/>
      <c r="BL36" s="71" t="n"/>
      <c r="BM36" s="71" t="n"/>
      <c r="BN36" s="71" t="n"/>
      <c r="BO36" s="71" t="n"/>
      <c r="BP36" s="71" t="n"/>
      <c r="BQ36" s="71" t="n"/>
      <c r="BR36" s="71" t="n"/>
      <c r="BS36" s="71" t="n"/>
      <c r="BT36" s="71" t="n"/>
      <c r="BU36" s="71" t="n"/>
      <c r="BV36" s="71" t="n"/>
      <c r="BW36" s="71" t="n"/>
      <c r="BX36" s="71" t="n"/>
      <c r="BY36" s="130" t="n"/>
      <c r="BZ36" s="130" t="n"/>
      <c r="CA36" s="71" t="n"/>
      <c r="CB36" s="71" t="n"/>
      <c r="CC36" s="71" t="n"/>
      <c r="CD36" s="10" t="n"/>
    </row>
    <row r="37" ht="3" customHeight="1" thickBot="1">
      <c r="B37" s="388" t="n"/>
      <c r="C37" s="494" t="n"/>
      <c r="D37" s="71" t="n"/>
      <c r="F37" s="71" t="n"/>
      <c r="H37" s="71" t="n"/>
      <c r="J37" s="71" t="n"/>
      <c r="K37" s="71" t="n"/>
      <c r="L37" s="71" t="n"/>
      <c r="M37" s="71" t="n"/>
      <c r="N37" s="71" t="n"/>
      <c r="P37" s="71" t="n"/>
      <c r="R37" s="71" t="n"/>
      <c r="T37" s="130" t="n"/>
      <c r="U37" s="130" t="n"/>
      <c r="V37" s="71" t="n"/>
      <c r="X37" s="71" t="n"/>
      <c r="Y37" s="495" t="n"/>
      <c r="Z37" s="70" t="n"/>
      <c r="AA37" s="70" t="n"/>
      <c r="AB37" s="70" t="n"/>
      <c r="AC37" s="70" t="n"/>
      <c r="AD37" s="494" t="n"/>
      <c r="AE37" s="71" t="n"/>
      <c r="AG37" s="71" t="n"/>
      <c r="AI37" s="71" t="n"/>
      <c r="AK37" s="71" t="n"/>
      <c r="AL37" s="71" t="n"/>
      <c r="AM37" s="71" t="n"/>
      <c r="AN37" s="71" t="n"/>
      <c r="AO37" s="71" t="n"/>
      <c r="AQ37" s="71" t="n"/>
      <c r="AS37" s="71" t="n"/>
      <c r="AU37" s="130" t="n"/>
      <c r="AV37" s="130" t="n"/>
      <c r="AW37" s="71" t="n"/>
      <c r="AY37" s="71" t="n"/>
      <c r="AZ37" s="495" t="n"/>
      <c r="BA37" s="70" t="n"/>
      <c r="BB37" s="70" t="n"/>
      <c r="BC37" s="70" t="n"/>
      <c r="BD37" s="70" t="n"/>
      <c r="BE37" s="91" t="n"/>
      <c r="BF37" s="71" t="n"/>
      <c r="BG37" s="71" t="n"/>
      <c r="BH37" s="71" t="n"/>
      <c r="BI37" s="71" t="n"/>
      <c r="BJ37" s="71" t="n"/>
      <c r="BK37" s="71" t="n"/>
      <c r="BL37" s="71" t="n"/>
      <c r="BM37" s="71" t="n"/>
      <c r="BN37" s="71" t="n"/>
      <c r="BO37" s="71" t="n"/>
      <c r="BP37" s="71" t="n"/>
      <c r="BQ37" s="71" t="n"/>
      <c r="BR37" s="71" t="n"/>
      <c r="BS37" s="71" t="n"/>
      <c r="BT37" s="71" t="n"/>
      <c r="BU37" s="71" t="n"/>
      <c r="BV37" s="71" t="n"/>
      <c r="BW37" s="71" t="n"/>
      <c r="BX37" s="71" t="n"/>
      <c r="BY37" s="130" t="n"/>
      <c r="BZ37" s="130" t="n"/>
      <c r="CA37" s="71" t="n"/>
      <c r="CB37" s="71" t="n"/>
      <c r="CC37" s="71" t="n"/>
      <c r="CD37" s="10" t="n"/>
    </row>
    <row r="38" ht="3" customHeight="1">
      <c r="B38" s="388" t="n"/>
      <c r="C38" s="494" t="n"/>
      <c r="D38" s="71" t="n"/>
      <c r="F38" s="71" t="n"/>
      <c r="H38" s="71" t="n"/>
      <c r="J38" s="71" t="n"/>
      <c r="K38" s="71" t="n"/>
      <c r="L38" s="71" t="n"/>
      <c r="M38" s="71" t="n"/>
      <c r="N38" s="130" t="n"/>
      <c r="P38" s="130" t="n"/>
      <c r="R38" s="130" t="n"/>
      <c r="T38" s="130" t="n"/>
      <c r="U38" s="130" t="n"/>
      <c r="V38" s="71" t="n"/>
      <c r="X38" s="71" t="n"/>
      <c r="Y38" s="495" t="n"/>
      <c r="Z38" s="70" t="n"/>
      <c r="AA38" s="70" t="n"/>
      <c r="AB38" s="70" t="n"/>
      <c r="AC38" s="70" t="n"/>
      <c r="AD38" s="494" t="n"/>
      <c r="AE38" s="71" t="n"/>
      <c r="AG38" s="71" t="n"/>
      <c r="AI38" s="71" t="n"/>
      <c r="AK38" s="71" t="n"/>
      <c r="AL38" s="71" t="n"/>
      <c r="AM38" s="71" t="n"/>
      <c r="AN38" s="71" t="n"/>
      <c r="AO38" s="130" t="n"/>
      <c r="AQ38" s="130" t="n"/>
      <c r="AS38" s="130" t="n"/>
      <c r="AU38" s="130" t="n"/>
      <c r="AV38" s="130" t="n"/>
      <c r="AW38" s="71" t="n"/>
      <c r="AY38" s="71" t="n"/>
      <c r="AZ38" s="495" t="n"/>
      <c r="BA38" s="70" t="n"/>
      <c r="BB38" s="70" t="n"/>
      <c r="BC38" s="70" t="n"/>
      <c r="BD38" s="70" t="n"/>
      <c r="BE38" s="496" t="inlineStr">
        <is>
          <t>TAXA EFETIVAMENTE COBRADA</t>
        </is>
      </c>
      <c r="BF38" s="441" t="n"/>
      <c r="BG38" s="441" t="n"/>
      <c r="BH38" s="441" t="n"/>
      <c r="BI38" s="441" t="n"/>
      <c r="BJ38" s="441" t="n"/>
      <c r="BK38" s="441" t="n"/>
      <c r="BL38" s="441" t="n"/>
      <c r="BM38" s="441" t="n"/>
      <c r="BN38" s="441" t="n"/>
      <c r="BO38" s="441" t="n"/>
      <c r="BP38" s="441" t="n"/>
      <c r="BQ38" s="441" t="n"/>
      <c r="BR38" s="441" t="n"/>
      <c r="BS38" s="441" t="n"/>
      <c r="BT38" s="441" t="n"/>
      <c r="BU38" s="441" t="n"/>
      <c r="BV38" s="441" t="n"/>
      <c r="BW38" s="441" t="n"/>
      <c r="BX38" s="441" t="n"/>
      <c r="BY38" s="441" t="n"/>
      <c r="BZ38" s="441" t="n"/>
      <c r="CA38" s="441" t="n"/>
      <c r="CB38" s="444" t="n"/>
      <c r="CC38" s="71" t="n"/>
      <c r="CD38" s="10" t="n"/>
    </row>
    <row r="39" ht="3" customHeight="1">
      <c r="B39" s="388" t="n"/>
      <c r="C39" s="494" t="n"/>
      <c r="D39" s="130" t="n"/>
      <c r="F39" s="71" t="n"/>
      <c r="H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92" t="n"/>
      <c r="Z39" s="70" t="n"/>
      <c r="AA39" s="70" t="n"/>
      <c r="AB39" s="70" t="n"/>
      <c r="AC39" s="70" t="n"/>
      <c r="AD39" s="494" t="n"/>
      <c r="AE39" s="130" t="n"/>
      <c r="AG39" s="71" t="n"/>
      <c r="AI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92" t="n"/>
      <c r="BA39" s="70" t="n"/>
      <c r="BB39" s="70" t="n"/>
      <c r="BC39" s="70" t="n"/>
      <c r="BD39" s="70" t="n"/>
      <c r="BE39" s="497" t="n"/>
      <c r="CB39" s="492" t="n"/>
      <c r="CC39" s="71" t="n"/>
      <c r="CD39" s="10" t="n"/>
    </row>
    <row r="40" ht="3" customHeight="1">
      <c r="B40" s="388" t="n"/>
      <c r="C40" s="494" t="n"/>
      <c r="D40" s="130" t="n"/>
      <c r="F40" s="71" t="n"/>
      <c r="H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92" t="n"/>
      <c r="Z40" s="70" t="n"/>
      <c r="AA40" s="70" t="n"/>
      <c r="AB40" s="70" t="n"/>
      <c r="AC40" s="70" t="n"/>
      <c r="AD40" s="494" t="n"/>
      <c r="AE40" s="130" t="n"/>
      <c r="AG40" s="71" t="n"/>
      <c r="AI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92" t="n"/>
      <c r="BA40" s="70" t="n"/>
      <c r="BB40" s="70" t="n"/>
      <c r="BC40" s="70" t="n"/>
      <c r="BD40" s="70" t="n"/>
      <c r="BE40" s="497" t="n"/>
      <c r="CB40" s="492" t="n"/>
      <c r="CC40" s="71" t="n"/>
      <c r="CD40" s="10" t="n"/>
    </row>
    <row r="41" ht="3" customHeight="1">
      <c r="B41" s="388" t="n"/>
      <c r="C41" s="494" t="n"/>
      <c r="D41" s="71" t="n"/>
      <c r="F41" s="71" t="n"/>
      <c r="H41" s="71" t="n"/>
      <c r="J41" s="71" t="n"/>
      <c r="K41" s="71" t="n"/>
      <c r="L41" s="71" t="n"/>
      <c r="M41" s="71" t="n"/>
      <c r="N41" s="130" t="n"/>
      <c r="O41" s="130" t="n">
        <v>1</v>
      </c>
      <c r="P41" s="130" t="n"/>
      <c r="Q41" s="130" t="inlineStr">
        <is>
          <t>+</t>
        </is>
      </c>
      <c r="R41" s="130" t="n"/>
      <c r="S41" s="130" t="inlineStr">
        <is>
          <t>i</t>
        </is>
      </c>
      <c r="T41" s="130" t="n"/>
      <c r="U41" s="185" t="inlineStr">
        <is>
          <t>n</t>
        </is>
      </c>
      <c r="V41" s="71" t="n"/>
      <c r="W41" s="130" t="inlineStr">
        <is>
          <t>-</t>
        </is>
      </c>
      <c r="X41" s="90" t="n"/>
      <c r="Y41" s="184" t="n">
        <v>1</v>
      </c>
      <c r="Z41" s="70" t="n"/>
      <c r="AA41" s="70" t="n"/>
      <c r="AB41" s="70" t="n"/>
      <c r="AC41" s="70" t="n"/>
      <c r="AD41" s="494" t="n"/>
      <c r="AE41" s="71" t="n"/>
      <c r="AG41" s="71" t="n"/>
      <c r="AI41" s="71" t="n"/>
      <c r="AK41" s="71" t="n"/>
      <c r="AL41" s="71" t="n"/>
      <c r="AM41" s="71" t="n"/>
      <c r="AN41" s="71" t="n"/>
      <c r="AO41" s="130" t="n"/>
      <c r="AP41" s="130" t="n">
        <v>1</v>
      </c>
      <c r="AQ41" s="130" t="n"/>
      <c r="AR41" s="130" t="inlineStr">
        <is>
          <t>+</t>
        </is>
      </c>
      <c r="AS41" s="130" t="n"/>
      <c r="AT41" s="130" t="inlineStr">
        <is>
          <t>i</t>
        </is>
      </c>
      <c r="AU41" s="130" t="n"/>
      <c r="AV41" s="185" t="inlineStr">
        <is>
          <t>n</t>
        </is>
      </c>
      <c r="AW41" s="71" t="n"/>
      <c r="AX41" s="130" t="inlineStr">
        <is>
          <t>-</t>
        </is>
      </c>
      <c r="AY41" s="90" t="n"/>
      <c r="AZ41" s="184" t="n">
        <v>1</v>
      </c>
      <c r="BA41" s="70" t="n"/>
      <c r="BB41" s="70" t="n"/>
      <c r="BC41" s="70" t="n"/>
      <c r="BD41" s="70" t="n"/>
      <c r="BE41" s="497" t="n"/>
      <c r="CB41" s="492" t="n"/>
      <c r="CC41" s="90" t="n"/>
      <c r="CD41" s="10" t="n"/>
    </row>
    <row r="42" ht="3" customHeight="1">
      <c r="B42" s="388" t="n"/>
      <c r="C42" s="494" t="n"/>
      <c r="D42" s="71" t="n"/>
      <c r="F42" s="71" t="n"/>
      <c r="H42" s="71" t="n"/>
      <c r="J42" s="71" t="n"/>
      <c r="K42" s="71" t="n"/>
      <c r="L42" s="71" t="n"/>
      <c r="M42" s="71" t="n"/>
      <c r="N42" s="130" t="n"/>
      <c r="P42" s="130" t="n"/>
      <c r="R42" s="130" t="n"/>
      <c r="T42" s="130" t="n"/>
      <c r="V42" s="71" t="n"/>
      <c r="X42" s="90" t="n"/>
      <c r="Y42" s="495" t="n"/>
      <c r="Z42" s="70" t="n"/>
      <c r="AA42" s="70" t="n"/>
      <c r="AB42" s="70" t="n"/>
      <c r="AC42" s="70" t="n"/>
      <c r="AD42" s="494" t="n"/>
      <c r="AE42" s="71" t="n"/>
      <c r="AG42" s="71" t="n"/>
      <c r="AI42" s="71" t="n"/>
      <c r="AK42" s="71" t="n"/>
      <c r="AL42" s="71" t="n"/>
      <c r="AM42" s="71" t="n"/>
      <c r="AN42" s="71" t="n"/>
      <c r="AO42" s="130" t="n"/>
      <c r="AQ42" s="130" t="n"/>
      <c r="AS42" s="130" t="n"/>
      <c r="AU42" s="130" t="n"/>
      <c r="AW42" s="71" t="n"/>
      <c r="AY42" s="90" t="n"/>
      <c r="AZ42" s="495" t="n"/>
      <c r="BA42" s="70" t="n"/>
      <c r="BB42" s="70" t="n"/>
      <c r="BC42" s="70" t="n"/>
      <c r="BD42" s="70" t="n"/>
      <c r="BE42" s="497" t="n"/>
      <c r="CB42" s="492" t="n"/>
      <c r="CC42" s="90" t="n"/>
      <c r="CD42" s="10" t="n"/>
    </row>
    <row r="43" ht="3" customHeight="1">
      <c r="B43" s="388" t="n"/>
      <c r="C43" s="494" t="n"/>
      <c r="D43" s="71" t="n"/>
      <c r="F43" s="71" t="n"/>
      <c r="H43" s="71" t="n"/>
      <c r="J43" s="71" t="n"/>
      <c r="K43" s="71" t="n"/>
      <c r="L43" s="71" t="n"/>
      <c r="M43" s="71" t="n"/>
      <c r="N43" s="130" t="n"/>
      <c r="P43" s="130" t="n"/>
      <c r="R43" s="130" t="n"/>
      <c r="T43" s="130" t="n"/>
      <c r="V43" s="71" t="n"/>
      <c r="X43" s="90" t="n"/>
      <c r="Y43" s="495" t="n"/>
      <c r="Z43" s="70" t="n"/>
      <c r="AA43" s="70" t="n"/>
      <c r="AB43" s="70" t="n"/>
      <c r="AC43" s="70" t="n"/>
      <c r="AD43" s="494" t="n"/>
      <c r="AE43" s="71" t="n"/>
      <c r="AG43" s="71" t="n"/>
      <c r="AI43" s="71" t="n"/>
      <c r="AK43" s="71" t="n"/>
      <c r="AL43" s="71" t="n"/>
      <c r="AM43" s="71" t="n"/>
      <c r="AN43" s="71" t="n"/>
      <c r="AO43" s="130" t="n"/>
      <c r="AQ43" s="130" t="n"/>
      <c r="AS43" s="130" t="n"/>
      <c r="AU43" s="130" t="n"/>
      <c r="AW43" s="71" t="n"/>
      <c r="AY43" s="90" t="n"/>
      <c r="AZ43" s="495" t="n"/>
      <c r="BA43" s="70" t="n"/>
      <c r="BB43" s="70" t="n"/>
      <c r="BC43" s="70" t="n"/>
      <c r="BD43" s="70" t="n"/>
      <c r="BE43" s="497" t="n"/>
      <c r="CB43" s="492" t="n"/>
      <c r="CC43" s="90" t="n"/>
      <c r="CD43" s="10" t="n"/>
    </row>
    <row r="44" ht="3" customHeight="1">
      <c r="B44" s="388" t="n"/>
      <c r="C44" s="494" t="n"/>
      <c r="D44" s="71" t="n"/>
      <c r="F44" s="71" t="n"/>
      <c r="H44" s="71" t="n"/>
      <c r="J44" s="71" t="n"/>
      <c r="K44" s="71" t="n"/>
      <c r="L44" s="71" t="n"/>
      <c r="M44" s="71" t="n"/>
      <c r="N44" s="71" t="n"/>
      <c r="P44" s="71" t="n"/>
      <c r="R44" s="71" t="n"/>
      <c r="T44" s="130" t="n"/>
      <c r="U44" s="130" t="n"/>
      <c r="V44" s="71" t="n"/>
      <c r="X44" s="71" t="n"/>
      <c r="Y44" s="495" t="n"/>
      <c r="Z44" s="70" t="n"/>
      <c r="AA44" s="70" t="n"/>
      <c r="AB44" s="70" t="n"/>
      <c r="AC44" s="70" t="n"/>
      <c r="AD44" s="494" t="n"/>
      <c r="AE44" s="71" t="n"/>
      <c r="AG44" s="71" t="n"/>
      <c r="AI44" s="71" t="n"/>
      <c r="AK44" s="71" t="n"/>
      <c r="AL44" s="71" t="n"/>
      <c r="AM44" s="71" t="n"/>
      <c r="AN44" s="71" t="n"/>
      <c r="AO44" s="71" t="n"/>
      <c r="AQ44" s="71" t="n"/>
      <c r="AS44" s="71" t="n"/>
      <c r="AU44" s="130" t="n"/>
      <c r="AV44" s="130" t="n"/>
      <c r="AW44" s="71" t="n"/>
      <c r="AY44" s="71" t="n"/>
      <c r="AZ44" s="495" t="n"/>
      <c r="BA44" s="70" t="n"/>
      <c r="BB44" s="70" t="n"/>
      <c r="BC44" s="70" t="n"/>
      <c r="BD44" s="70" t="n"/>
      <c r="BE44" s="497" t="n"/>
      <c r="CB44" s="492" t="n"/>
      <c r="CC44" s="71" t="n"/>
      <c r="CD44" s="10" t="n"/>
    </row>
    <row r="45" ht="3" customHeight="1">
      <c r="B45" s="388" t="n"/>
      <c r="C45" s="494" t="n"/>
      <c r="D45" s="71" t="n"/>
      <c r="F45" s="71" t="n"/>
      <c r="H45" s="71" t="n"/>
      <c r="J45" s="71" t="n"/>
      <c r="K45" s="71" t="n"/>
      <c r="L45" s="71" t="n"/>
      <c r="M45" s="71" t="n"/>
      <c r="N45" s="71" t="n"/>
      <c r="P45" s="71" t="n"/>
      <c r="R45" s="71" t="n"/>
      <c r="T45" s="130" t="n"/>
      <c r="U45" s="130" t="n"/>
      <c r="V45" s="71" t="n"/>
      <c r="X45" s="71" t="n"/>
      <c r="Y45" s="495" t="n"/>
      <c r="Z45" s="70" t="n"/>
      <c r="AA45" s="70" t="n"/>
      <c r="AB45" s="70" t="n"/>
      <c r="AC45" s="70" t="n"/>
      <c r="AD45" s="494" t="n"/>
      <c r="AE45" s="71" t="n"/>
      <c r="AG45" s="71" t="n"/>
      <c r="AI45" s="71" t="n"/>
      <c r="AK45" s="71" t="n"/>
      <c r="AL45" s="71" t="n"/>
      <c r="AM45" s="71" t="n"/>
      <c r="AN45" s="71" t="n"/>
      <c r="AO45" s="71" t="n"/>
      <c r="AQ45" s="71" t="n"/>
      <c r="AS45" s="71" t="n"/>
      <c r="AU45" s="130" t="n"/>
      <c r="AV45" s="130" t="n"/>
      <c r="AW45" s="71" t="n"/>
      <c r="AY45" s="71" t="n"/>
      <c r="AZ45" s="495" t="n"/>
      <c r="BA45" s="70" t="n"/>
      <c r="BB45" s="70" t="n"/>
      <c r="BC45" s="70" t="n"/>
      <c r="BD45" s="70" t="n"/>
      <c r="BE45" s="498">
        <f>RATE(I15,I16,-I14)</f>
        <v/>
      </c>
      <c r="CB45" s="492" t="n"/>
      <c r="CC45" s="71" t="n"/>
      <c r="CD45" s="10" t="n"/>
    </row>
    <row r="46" ht="3" customHeight="1">
      <c r="B46" s="388" t="n"/>
      <c r="C46" s="494" t="n"/>
      <c r="D46" s="71" t="n"/>
      <c r="F46" s="71" t="n"/>
      <c r="H46" s="71" t="n"/>
      <c r="J46" s="71" t="n"/>
      <c r="K46" s="71" t="n"/>
      <c r="L46" s="71" t="n"/>
      <c r="M46" s="71" t="n"/>
      <c r="N46" s="130" t="n"/>
      <c r="P46" s="130" t="n"/>
      <c r="R46" s="130" t="n"/>
      <c r="T46" s="130" t="n"/>
      <c r="U46" s="130" t="n"/>
      <c r="V46" s="71" t="n"/>
      <c r="X46" s="71" t="n"/>
      <c r="Y46" s="495" t="n"/>
      <c r="Z46" s="70" t="n"/>
      <c r="AA46" s="70" t="n"/>
      <c r="AB46" s="70" t="n"/>
      <c r="AC46" s="70" t="n"/>
      <c r="AD46" s="494" t="n"/>
      <c r="AE46" s="71" t="n"/>
      <c r="AG46" s="71" t="n"/>
      <c r="AI46" s="71" t="n"/>
      <c r="AK46" s="71" t="n"/>
      <c r="AL46" s="71" t="n"/>
      <c r="AM46" s="71" t="n"/>
      <c r="AN46" s="71" t="n"/>
      <c r="AO46" s="130" t="n"/>
      <c r="AQ46" s="130" t="n"/>
      <c r="AS46" s="130" t="n"/>
      <c r="AU46" s="130" t="n"/>
      <c r="AV46" s="130" t="n"/>
      <c r="AW46" s="71" t="n"/>
      <c r="AY46" s="71" t="n"/>
      <c r="AZ46" s="495" t="n"/>
      <c r="BA46" s="70" t="n"/>
      <c r="BB46" s="70" t="n"/>
      <c r="BC46" s="70" t="n"/>
      <c r="BD46" s="70" t="n"/>
      <c r="BE46" s="497" t="n"/>
      <c r="CB46" s="492" t="n"/>
      <c r="CC46" s="71" t="n"/>
      <c r="CD46" s="10" t="n"/>
    </row>
    <row r="47" ht="3" customHeight="1">
      <c r="C47" s="494" t="n"/>
      <c r="D47" s="71" t="n"/>
      <c r="F47" s="71" t="n"/>
      <c r="H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92" t="n"/>
      <c r="Z47" s="70" t="n"/>
      <c r="AA47" s="70" t="n"/>
      <c r="AB47" s="70" t="n"/>
      <c r="AC47" s="70" t="n"/>
      <c r="AD47" s="494" t="n"/>
      <c r="AE47" s="71" t="n"/>
      <c r="AG47" s="71" t="n"/>
      <c r="AI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92" t="n"/>
      <c r="BA47" s="70" t="n"/>
      <c r="BB47" s="70" t="n"/>
      <c r="BC47" s="70" t="n"/>
      <c r="BD47" s="70" t="n"/>
      <c r="BE47" s="497" t="n"/>
      <c r="CB47" s="492" t="n"/>
      <c r="CC47" s="71" t="n"/>
      <c r="CD47" s="10" t="n"/>
    </row>
    <row r="48" ht="9" customHeight="1" thickBot="1">
      <c r="C48" s="79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92" t="n"/>
      <c r="Z48" s="70" t="n"/>
      <c r="AA48" s="70" t="n"/>
      <c r="AB48" s="70" t="n"/>
      <c r="AC48" s="70" t="n"/>
      <c r="AD48" s="79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92" t="n"/>
      <c r="BA48" s="70" t="n"/>
      <c r="BB48" s="70" t="n"/>
      <c r="BC48" s="70" t="n"/>
      <c r="BD48" s="70" t="n"/>
      <c r="BE48" s="466" t="n"/>
      <c r="BF48" s="467" t="n"/>
      <c r="BG48" s="467" t="n"/>
      <c r="BH48" s="467" t="n"/>
      <c r="BI48" s="467" t="n"/>
      <c r="BJ48" s="467" t="n"/>
      <c r="BK48" s="467" t="n"/>
      <c r="BL48" s="467" t="n"/>
      <c r="BM48" s="467" t="n"/>
      <c r="BN48" s="467" t="n"/>
      <c r="BO48" s="467" t="n"/>
      <c r="BP48" s="467" t="n"/>
      <c r="BQ48" s="467" t="n"/>
      <c r="BR48" s="467" t="n"/>
      <c r="BS48" s="467" t="n"/>
      <c r="BT48" s="467" t="n"/>
      <c r="BU48" s="467" t="n"/>
      <c r="BV48" s="467" t="n"/>
      <c r="BW48" s="467" t="n"/>
      <c r="BX48" s="467" t="n"/>
      <c r="BY48" s="467" t="n"/>
      <c r="BZ48" s="467" t="n"/>
      <c r="CA48" s="467" t="n"/>
      <c r="CB48" s="470" t="n"/>
      <c r="CC48" s="71" t="n"/>
      <c r="CD48" s="10" t="n"/>
    </row>
    <row r="49" ht="3" customHeight="1">
      <c r="B49" s="388" t="n"/>
      <c r="C49" s="129" t="inlineStr">
        <is>
          <t>Valor da parcela</t>
        </is>
      </c>
      <c r="D49" s="71" t="n"/>
      <c r="E49" s="130" t="inlineStr">
        <is>
          <t>=</t>
        </is>
      </c>
      <c r="F49" s="71" t="n"/>
      <c r="G49" s="193">
        <f>H29</f>
        <v/>
      </c>
      <c r="H49" s="71" t="n"/>
      <c r="I49" s="130" t="inlineStr">
        <is>
          <t>x</t>
        </is>
      </c>
      <c r="J49" s="71" t="n"/>
      <c r="K49" s="71" t="n"/>
      <c r="L49" s="71" t="n"/>
      <c r="M49" s="71" t="n"/>
      <c r="N49" s="130" t="n"/>
      <c r="O49" s="130" t="n">
        <v>1</v>
      </c>
      <c r="P49" s="130" t="n"/>
      <c r="Q49" s="130" t="inlineStr">
        <is>
          <t>+</t>
        </is>
      </c>
      <c r="R49" s="130" t="n"/>
      <c r="S49" s="132">
        <f>H30</f>
        <v/>
      </c>
      <c r="T49" s="130" t="n"/>
      <c r="U49" s="133">
        <f>I31</f>
        <v/>
      </c>
      <c r="V49" s="71" t="n"/>
      <c r="W49" s="130" t="inlineStr">
        <is>
          <t>x</t>
        </is>
      </c>
      <c r="X49" s="90" t="n"/>
      <c r="Y49" s="186">
        <f>S49</f>
        <v/>
      </c>
      <c r="Z49" s="70" t="n"/>
      <c r="AA49" s="70" t="n"/>
      <c r="AB49" s="70" t="n"/>
      <c r="AC49" s="70" t="n"/>
      <c r="AD49" s="129" t="inlineStr">
        <is>
          <t>Valor da parcela</t>
        </is>
      </c>
      <c r="AE49" s="71" t="n"/>
      <c r="AF49" s="130" t="inlineStr">
        <is>
          <t>=</t>
        </is>
      </c>
      <c r="AG49" s="71" t="n"/>
      <c r="AH49" s="193">
        <f>AI29</f>
        <v/>
      </c>
      <c r="AI49" s="71" t="n"/>
      <c r="AJ49" s="130" t="inlineStr">
        <is>
          <t>x</t>
        </is>
      </c>
      <c r="AK49" s="71" t="n"/>
      <c r="AL49" s="71" t="n"/>
      <c r="AM49" s="71" t="n"/>
      <c r="AN49" s="71" t="n"/>
      <c r="AO49" s="130" t="n"/>
      <c r="AP49" s="130" t="n">
        <v>1</v>
      </c>
      <c r="AQ49" s="130" t="n"/>
      <c r="AR49" s="130" t="inlineStr">
        <is>
          <t>+</t>
        </is>
      </c>
      <c r="AS49" s="130" t="n"/>
      <c r="AT49" s="132">
        <f>AI30</f>
        <v/>
      </c>
      <c r="AU49" s="130" t="n"/>
      <c r="AV49" s="133">
        <f>AJ31</f>
        <v/>
      </c>
      <c r="AW49" s="71" t="n"/>
      <c r="AX49" s="130" t="inlineStr">
        <is>
          <t>x</t>
        </is>
      </c>
      <c r="AY49" s="90" t="n"/>
      <c r="AZ49" s="186">
        <f>AT49</f>
        <v/>
      </c>
      <c r="BA49" s="70" t="n"/>
      <c r="BB49" s="70" t="n"/>
      <c r="BC49" s="70" t="n"/>
      <c r="BD49" s="70" t="n"/>
      <c r="BE49" s="91" t="n"/>
      <c r="BF49" s="71" t="n"/>
      <c r="BG49" s="71" t="n"/>
      <c r="BH49" s="71" t="n"/>
      <c r="BI49" s="71" t="n"/>
      <c r="BJ49" s="71" t="n"/>
      <c r="BK49" s="71" t="n"/>
      <c r="BL49" s="93" t="n"/>
      <c r="BM49" s="71" t="n"/>
      <c r="BN49" s="71" t="n"/>
      <c r="BO49" s="71" t="n"/>
      <c r="BP49" s="71" t="n"/>
      <c r="BQ49" s="71" t="n"/>
      <c r="BR49" s="71" t="n"/>
      <c r="BS49" s="130" t="n"/>
      <c r="BT49" s="71" t="n"/>
      <c r="BU49" s="130" t="n"/>
      <c r="BV49" s="71" t="n"/>
      <c r="BW49" s="130" t="n"/>
      <c r="BX49" s="499" t="n"/>
      <c r="BY49" s="130" t="n"/>
      <c r="BZ49" s="95" t="n"/>
      <c r="CA49" s="71" t="n"/>
      <c r="CB49" s="71" t="n"/>
      <c r="CC49" s="90" t="n"/>
      <c r="CD49" s="500" t="n"/>
    </row>
    <row r="50" ht="3" customHeight="1">
      <c r="B50" s="388" t="n"/>
      <c r="C50" s="494" t="n"/>
      <c r="D50" s="71" t="n"/>
      <c r="F50" s="71" t="n"/>
      <c r="H50" s="71" t="n"/>
      <c r="J50" s="71" t="n"/>
      <c r="K50" s="71" t="n"/>
      <c r="L50" s="71" t="n"/>
      <c r="M50" s="71" t="n"/>
      <c r="N50" s="130" t="n"/>
      <c r="P50" s="130" t="n"/>
      <c r="R50" s="130" t="n"/>
      <c r="T50" s="130" t="n"/>
      <c r="V50" s="71" t="n"/>
      <c r="X50" s="90" t="n"/>
      <c r="Y50" s="495" t="n"/>
      <c r="Z50" s="70" t="n"/>
      <c r="AA50" s="70" t="n"/>
      <c r="AB50" s="70" t="n"/>
      <c r="AC50" s="70" t="n"/>
      <c r="AD50" s="494" t="n"/>
      <c r="AE50" s="71" t="n"/>
      <c r="AG50" s="71" t="n"/>
      <c r="AI50" s="71" t="n"/>
      <c r="AK50" s="71" t="n"/>
      <c r="AL50" s="71" t="n"/>
      <c r="AM50" s="71" t="n"/>
      <c r="AN50" s="71" t="n"/>
      <c r="AO50" s="130" t="n"/>
      <c r="AQ50" s="130" t="n"/>
      <c r="AS50" s="130" t="n"/>
      <c r="AU50" s="130" t="n"/>
      <c r="AW50" s="71" t="n"/>
      <c r="AY50" s="90" t="n"/>
      <c r="AZ50" s="495" t="n"/>
      <c r="BA50" s="70" t="n"/>
      <c r="BB50" s="70" t="n"/>
      <c r="BC50" s="70" t="n"/>
      <c r="BD50" s="70" t="n"/>
      <c r="BE50" s="91" t="n"/>
      <c r="BF50" s="71" t="n"/>
      <c r="BG50" s="71" t="n"/>
      <c r="BH50" s="71" t="n"/>
      <c r="BI50" s="71" t="n"/>
      <c r="BJ50" s="71" t="n"/>
      <c r="BK50" s="71" t="n"/>
      <c r="BL50" s="93" t="n"/>
      <c r="BM50" s="71" t="n"/>
      <c r="BN50" s="71" t="n"/>
      <c r="BO50" s="71" t="n"/>
      <c r="BP50" s="71" t="n"/>
      <c r="BQ50" s="71" t="n"/>
      <c r="BR50" s="71" t="n"/>
      <c r="BS50" s="130" t="n"/>
      <c r="BT50" s="71" t="n"/>
      <c r="BU50" s="130" t="n"/>
      <c r="BV50" s="71" t="n"/>
      <c r="BW50" s="130" t="n"/>
      <c r="BX50" s="499" t="n"/>
      <c r="BY50" s="130" t="n"/>
      <c r="BZ50" s="95" t="n"/>
      <c r="CA50" s="71" t="n"/>
      <c r="CB50" s="71" t="n"/>
      <c r="CC50" s="90" t="n"/>
      <c r="CD50" s="500" t="n"/>
    </row>
    <row r="51" ht="3" customHeight="1">
      <c r="B51" s="388" t="n"/>
      <c r="C51" s="494" t="n"/>
      <c r="D51" s="71" t="n"/>
      <c r="F51" s="71" t="n"/>
      <c r="H51" s="71" t="n"/>
      <c r="J51" s="71" t="n"/>
      <c r="K51" s="71" t="n"/>
      <c r="L51" s="71" t="n"/>
      <c r="M51" s="71" t="n"/>
      <c r="N51" s="130" t="n"/>
      <c r="P51" s="130" t="n"/>
      <c r="R51" s="130" t="n"/>
      <c r="T51" s="130" t="n"/>
      <c r="V51" s="71" t="n"/>
      <c r="X51" s="90" t="n"/>
      <c r="Y51" s="495" t="n"/>
      <c r="Z51" s="70" t="n"/>
      <c r="AA51" s="70" t="n"/>
      <c r="AB51" s="70" t="n"/>
      <c r="AC51" s="70" t="n"/>
      <c r="AD51" s="494" t="n"/>
      <c r="AE51" s="71" t="n"/>
      <c r="AG51" s="71" t="n"/>
      <c r="AI51" s="71" t="n"/>
      <c r="AK51" s="71" t="n"/>
      <c r="AL51" s="71" t="n"/>
      <c r="AM51" s="71" t="n"/>
      <c r="AN51" s="71" t="n"/>
      <c r="AO51" s="130" t="n"/>
      <c r="AQ51" s="130" t="n"/>
      <c r="AS51" s="130" t="n"/>
      <c r="AU51" s="130" t="n"/>
      <c r="AW51" s="71" t="n"/>
      <c r="AY51" s="90" t="n"/>
      <c r="AZ51" s="495" t="n"/>
      <c r="BA51" s="70" t="n"/>
      <c r="BB51" s="70" t="n"/>
      <c r="BC51" s="70" t="n"/>
      <c r="BD51" s="70" t="n"/>
      <c r="BE51" s="91" t="n"/>
      <c r="BF51" s="71" t="n"/>
      <c r="BG51" s="71" t="n"/>
      <c r="BH51" s="71" t="n"/>
      <c r="BI51" s="71" t="n"/>
      <c r="BJ51" s="71" t="n"/>
      <c r="BK51" s="71" t="n"/>
      <c r="BL51" s="93" t="n"/>
      <c r="BM51" s="71" t="n"/>
      <c r="BN51" s="71" t="n"/>
      <c r="BO51" s="71" t="n"/>
      <c r="BP51" s="71" t="n"/>
      <c r="BQ51" s="71" t="n"/>
      <c r="BR51" s="71" t="n"/>
      <c r="BS51" s="130" t="n"/>
      <c r="BT51" s="71" t="n"/>
      <c r="BU51" s="130" t="n"/>
      <c r="BV51" s="71" t="n"/>
      <c r="BW51" s="130" t="n"/>
      <c r="BX51" s="499" t="n"/>
      <c r="BY51" s="130" t="n"/>
      <c r="BZ51" s="95" t="n"/>
      <c r="CA51" s="71" t="n"/>
      <c r="CB51" s="71" t="n"/>
      <c r="CC51" s="90" t="n"/>
      <c r="CD51" s="500" t="n"/>
    </row>
    <row r="52" ht="3" customHeight="1">
      <c r="B52" s="388" t="n"/>
      <c r="C52" s="494" t="n"/>
      <c r="D52" s="71" t="n"/>
      <c r="F52" s="71" t="n"/>
      <c r="H52" s="71" t="n"/>
      <c r="J52" s="71" t="n"/>
      <c r="K52" s="71" t="n"/>
      <c r="L52" s="71" t="n"/>
      <c r="M52" s="71" t="n"/>
      <c r="N52" s="71" t="n"/>
      <c r="P52" s="71" t="n"/>
      <c r="R52" s="71" t="n"/>
      <c r="T52" s="130" t="n"/>
      <c r="U52" s="130" t="n"/>
      <c r="V52" s="71" t="n"/>
      <c r="X52" s="71" t="n"/>
      <c r="Y52" s="495" t="n"/>
      <c r="Z52" s="70" t="n"/>
      <c r="AA52" s="70" t="n"/>
      <c r="AB52" s="70" t="n"/>
      <c r="AC52" s="70" t="n"/>
      <c r="AD52" s="494" t="n"/>
      <c r="AE52" s="71" t="n"/>
      <c r="AG52" s="71" t="n"/>
      <c r="AI52" s="71" t="n"/>
      <c r="AK52" s="71" t="n"/>
      <c r="AL52" s="71" t="n"/>
      <c r="AM52" s="71" t="n"/>
      <c r="AN52" s="71" t="n"/>
      <c r="AO52" s="71" t="n"/>
      <c r="AQ52" s="71" t="n"/>
      <c r="AS52" s="71" t="n"/>
      <c r="AU52" s="130" t="n"/>
      <c r="AV52" s="130" t="n"/>
      <c r="AW52" s="71" t="n"/>
      <c r="AY52" s="71" t="n"/>
      <c r="AZ52" s="495" t="n"/>
      <c r="BA52" s="70" t="n"/>
      <c r="BB52" s="70" t="n"/>
      <c r="BC52" s="70" t="n"/>
      <c r="BD52" s="70" t="n"/>
      <c r="BE52" s="91" t="n"/>
      <c r="BF52" s="71" t="n"/>
      <c r="BG52" s="71" t="n"/>
      <c r="BH52" s="71" t="n"/>
      <c r="BI52" s="71" t="n"/>
      <c r="BJ52" s="71" t="n"/>
      <c r="BK52" s="71" t="n"/>
      <c r="BL52" s="93" t="n"/>
      <c r="BM52" s="71" t="n"/>
      <c r="BN52" s="71" t="n"/>
      <c r="BO52" s="71" t="n"/>
      <c r="BP52" s="71" t="n"/>
      <c r="BQ52" s="71" t="n"/>
      <c r="BR52" s="71" t="n"/>
      <c r="BS52" s="71" t="n"/>
      <c r="BT52" s="71" t="n"/>
      <c r="BU52" s="71" t="n"/>
      <c r="BV52" s="71" t="n"/>
      <c r="BW52" s="71" t="n"/>
      <c r="BX52" s="499" t="n"/>
      <c r="BY52" s="130" t="n"/>
      <c r="BZ52" s="130" t="n"/>
      <c r="CA52" s="71" t="n"/>
      <c r="CB52" s="71" t="n"/>
      <c r="CC52" s="71" t="n"/>
      <c r="CD52" s="500" t="n"/>
    </row>
    <row r="53" ht="3" customHeight="1">
      <c r="B53" s="388" t="n"/>
      <c r="C53" s="494" t="n"/>
      <c r="D53" s="71" t="n"/>
      <c r="F53" s="71" t="n"/>
      <c r="H53" s="71" t="n"/>
      <c r="J53" s="71" t="n"/>
      <c r="K53" s="71" t="n"/>
      <c r="L53" s="71" t="n"/>
      <c r="M53" s="71" t="n"/>
      <c r="N53" s="71" t="n"/>
      <c r="P53" s="71" t="n"/>
      <c r="R53" s="71" t="n"/>
      <c r="T53" s="130" t="n"/>
      <c r="U53" s="130" t="n"/>
      <c r="V53" s="71" t="n"/>
      <c r="X53" s="71" t="n"/>
      <c r="Y53" s="495" t="n"/>
      <c r="Z53" s="70" t="n"/>
      <c r="AA53" s="70" t="n"/>
      <c r="AB53" s="70" t="n"/>
      <c r="AC53" s="70" t="n"/>
      <c r="AD53" s="494" t="n"/>
      <c r="AE53" s="71" t="n"/>
      <c r="AG53" s="71" t="n"/>
      <c r="AI53" s="71" t="n"/>
      <c r="AK53" s="71" t="n"/>
      <c r="AL53" s="71" t="n"/>
      <c r="AM53" s="71" t="n"/>
      <c r="AN53" s="71" t="n"/>
      <c r="AO53" s="71" t="n"/>
      <c r="AQ53" s="71" t="n"/>
      <c r="AS53" s="71" t="n"/>
      <c r="AU53" s="130" t="n"/>
      <c r="AV53" s="130" t="n"/>
      <c r="AW53" s="71" t="n"/>
      <c r="AY53" s="71" t="n"/>
      <c r="AZ53" s="495" t="n"/>
      <c r="BA53" s="70" t="n"/>
      <c r="BB53" s="70" t="n"/>
      <c r="BC53" s="70" t="n"/>
      <c r="BD53" s="70" t="n"/>
      <c r="BE53" s="91" t="n"/>
      <c r="BF53" s="71" t="n"/>
      <c r="BG53" s="71" t="n"/>
      <c r="BH53" s="71" t="n"/>
      <c r="BI53" s="71" t="n"/>
      <c r="BJ53" s="71" t="n"/>
      <c r="BK53" s="71" t="n"/>
      <c r="BL53" s="93" t="n"/>
      <c r="BM53" s="71" t="n"/>
      <c r="BN53" s="71" t="n"/>
      <c r="BO53" s="71" t="n"/>
      <c r="BP53" s="71" t="n"/>
      <c r="BQ53" s="71" t="n"/>
      <c r="BR53" s="71" t="n"/>
      <c r="BS53" s="71" t="n"/>
      <c r="BT53" s="71" t="n"/>
      <c r="BU53" s="71" t="n"/>
      <c r="BV53" s="71" t="n"/>
      <c r="BW53" s="71" t="n"/>
      <c r="BX53" s="499" t="n"/>
      <c r="BY53" s="130" t="n"/>
      <c r="BZ53" s="130" t="n"/>
      <c r="CA53" s="71" t="n"/>
      <c r="CB53" s="71" t="n"/>
      <c r="CC53" s="71" t="n"/>
      <c r="CD53" s="500" t="n"/>
    </row>
    <row r="54" ht="3" customHeight="1">
      <c r="B54" s="388" t="n"/>
      <c r="C54" s="494" t="n"/>
      <c r="D54" s="71" t="n"/>
      <c r="F54" s="71" t="n"/>
      <c r="H54" s="71" t="n"/>
      <c r="J54" s="71" t="n"/>
      <c r="K54" s="71" t="n"/>
      <c r="L54" s="71" t="n"/>
      <c r="M54" s="71" t="n"/>
      <c r="N54" s="130" t="n"/>
      <c r="P54" s="130" t="n"/>
      <c r="R54" s="130" t="n"/>
      <c r="T54" s="130" t="n"/>
      <c r="U54" s="130" t="n"/>
      <c r="V54" s="71" t="n"/>
      <c r="X54" s="71" t="n"/>
      <c r="Y54" s="495" t="n"/>
      <c r="Z54" s="70" t="n"/>
      <c r="AA54" s="70" t="n"/>
      <c r="AB54" s="70" t="n"/>
      <c r="AC54" s="70" t="n"/>
      <c r="AD54" s="494" t="n"/>
      <c r="AE54" s="71" t="n"/>
      <c r="AG54" s="71" t="n"/>
      <c r="AI54" s="71" t="n"/>
      <c r="AK54" s="71" t="n"/>
      <c r="AL54" s="71" t="n"/>
      <c r="AM54" s="71" t="n"/>
      <c r="AN54" s="71" t="n"/>
      <c r="AO54" s="130" t="n"/>
      <c r="AQ54" s="130" t="n"/>
      <c r="AS54" s="130" t="n"/>
      <c r="AU54" s="130" t="n"/>
      <c r="AV54" s="130" t="n"/>
      <c r="AW54" s="71" t="n"/>
      <c r="AY54" s="71" t="n"/>
      <c r="AZ54" s="495" t="n"/>
      <c r="BA54" s="70" t="n"/>
      <c r="BB54" s="70" t="n"/>
      <c r="BC54" s="70" t="n"/>
      <c r="BD54" s="70" t="n"/>
      <c r="BE54" s="91" t="n"/>
      <c r="BF54" s="71" t="n"/>
      <c r="BG54" s="71" t="n"/>
      <c r="BH54" s="71" t="n"/>
      <c r="BI54" s="71" t="n"/>
      <c r="BJ54" s="71" t="n"/>
      <c r="BK54" s="71" t="n"/>
      <c r="BL54" s="93" t="n"/>
      <c r="BM54" s="71" t="n"/>
      <c r="BN54" s="71" t="n"/>
      <c r="BO54" s="71" t="n"/>
      <c r="BP54" s="71" t="n"/>
      <c r="BQ54" s="71" t="n"/>
      <c r="BR54" s="71" t="n"/>
      <c r="BS54" s="130" t="n"/>
      <c r="BT54" s="71" t="n"/>
      <c r="BU54" s="130" t="n"/>
      <c r="BV54" s="71" t="n"/>
      <c r="BW54" s="130" t="n"/>
      <c r="BX54" s="499" t="n"/>
      <c r="BY54" s="130" t="n"/>
      <c r="BZ54" s="130" t="n"/>
      <c r="CA54" s="71" t="n"/>
      <c r="CB54" s="71" t="n"/>
      <c r="CC54" s="71" t="n"/>
      <c r="CD54" s="500" t="n"/>
    </row>
    <row r="55" ht="0.75" customHeight="1">
      <c r="B55" s="388" t="n"/>
      <c r="C55" s="494" t="n"/>
      <c r="D55" s="130" t="n"/>
      <c r="F55" s="71" t="n"/>
      <c r="H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92" t="n"/>
      <c r="Z55" s="70" t="n"/>
      <c r="AA55" s="70" t="n"/>
      <c r="AB55" s="70" t="n"/>
      <c r="AC55" s="70" t="n"/>
      <c r="AD55" s="494" t="n"/>
      <c r="AE55" s="130" t="n"/>
      <c r="AG55" s="71" t="n"/>
      <c r="AI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92" t="n"/>
      <c r="BA55" s="70" t="n"/>
      <c r="BB55" s="70" t="n"/>
      <c r="BC55" s="70" t="n"/>
      <c r="BD55" s="70" t="n"/>
      <c r="BE55" s="91" t="n"/>
      <c r="BF55" s="130" t="n"/>
      <c r="BG55" s="71" t="n"/>
      <c r="BH55" s="71" t="n"/>
      <c r="BI55" s="71" t="n"/>
      <c r="BJ55" s="71" t="n"/>
      <c r="BK55" s="71" t="n"/>
      <c r="BL55" s="93" t="n"/>
      <c r="BM55" s="71" t="n"/>
      <c r="BN55" s="71" t="n"/>
      <c r="BO55" s="71" t="n"/>
      <c r="BP55" s="71" t="n"/>
      <c r="BQ55" s="71" t="n"/>
      <c r="BR55" s="71" t="n"/>
      <c r="BS55" s="71" t="n"/>
      <c r="BT55" s="71" t="n"/>
      <c r="BU55" s="71" t="n"/>
      <c r="BV55" s="71" t="n"/>
      <c r="BW55" s="71" t="n"/>
      <c r="BX55" s="71" t="n"/>
      <c r="BY55" s="71" t="n"/>
      <c r="BZ55" s="71" t="n"/>
      <c r="CA55" s="71" t="n"/>
      <c r="CB55" s="71" t="n"/>
      <c r="CC55" s="71" t="n"/>
      <c r="CD55" s="10" t="n"/>
    </row>
    <row r="56" hidden="1" ht="3" customHeight="1">
      <c r="B56" s="388" t="n"/>
      <c r="C56" s="494" t="n"/>
      <c r="D56" s="130" t="n"/>
      <c r="F56" s="71" t="n"/>
      <c r="H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92" t="n"/>
      <c r="Z56" s="70" t="n"/>
      <c r="AA56" s="70" t="n"/>
      <c r="AB56" s="70" t="n"/>
      <c r="AC56" s="70" t="n"/>
      <c r="AD56" s="494" t="n"/>
      <c r="AE56" s="130" t="n"/>
      <c r="AG56" s="71" t="n"/>
      <c r="AI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92" t="n"/>
      <c r="BA56" s="70" t="n"/>
      <c r="BB56" s="70" t="n"/>
      <c r="BC56" s="70" t="n"/>
      <c r="BD56" s="70" t="n"/>
      <c r="BE56" s="91" t="n"/>
      <c r="BF56" s="130" t="n"/>
      <c r="BG56" s="71" t="n"/>
      <c r="BH56" s="71" t="n"/>
      <c r="BI56" s="71" t="n"/>
      <c r="BJ56" s="71" t="n"/>
      <c r="BK56" s="71" t="n"/>
      <c r="BL56" s="93" t="n"/>
      <c r="BM56" s="71" t="n"/>
      <c r="BN56" s="71" t="n"/>
      <c r="BO56" s="71" t="n"/>
      <c r="BP56" s="71" t="n"/>
      <c r="BQ56" s="71" t="n"/>
      <c r="BR56" s="71" t="n"/>
      <c r="BS56" s="71" t="n"/>
      <c r="BT56" s="71" t="n"/>
      <c r="BU56" s="71" t="n"/>
      <c r="BV56" s="71" t="n"/>
      <c r="BW56" s="71" t="n"/>
      <c r="BX56" s="71" t="n"/>
      <c r="BY56" s="71" t="n"/>
      <c r="BZ56" s="71" t="n"/>
      <c r="CA56" s="71" t="n"/>
      <c r="CB56" s="71" t="n"/>
      <c r="CC56" s="71" t="n"/>
      <c r="CD56" s="10" t="n"/>
    </row>
    <row r="57" ht="3" customHeight="1">
      <c r="B57" s="388" t="n"/>
      <c r="C57" s="494" t="n"/>
      <c r="D57" s="71" t="n"/>
      <c r="F57" s="71" t="n"/>
      <c r="H57" s="71" t="n"/>
      <c r="J57" s="71" t="n"/>
      <c r="K57" s="71" t="n"/>
      <c r="L57" s="71" t="n"/>
      <c r="M57" s="71" t="n"/>
      <c r="N57" s="130" t="n"/>
      <c r="O57" s="130" t="n">
        <v>1</v>
      </c>
      <c r="P57" s="130" t="n"/>
      <c r="Q57" s="130" t="inlineStr">
        <is>
          <t>+</t>
        </is>
      </c>
      <c r="R57" s="130" t="n"/>
      <c r="S57" s="132">
        <f>S49</f>
        <v/>
      </c>
      <c r="T57" s="130" t="n"/>
      <c r="U57" s="133">
        <f>U49</f>
        <v/>
      </c>
      <c r="V57" s="71" t="n"/>
      <c r="W57" s="130" t="inlineStr">
        <is>
          <t>-</t>
        </is>
      </c>
      <c r="X57" s="90" t="n"/>
      <c r="Y57" s="184" t="n">
        <v>1</v>
      </c>
      <c r="Z57" s="70" t="n"/>
      <c r="AA57" s="70" t="n"/>
      <c r="AB57" s="70" t="n"/>
      <c r="AC57" s="70" t="n"/>
      <c r="AD57" s="494" t="n"/>
      <c r="AE57" s="71" t="n"/>
      <c r="AG57" s="71" t="n"/>
      <c r="AI57" s="71" t="n"/>
      <c r="AK57" s="71" t="n"/>
      <c r="AL57" s="71" t="n"/>
      <c r="AM57" s="71" t="n"/>
      <c r="AN57" s="71" t="n"/>
      <c r="AO57" s="130" t="n"/>
      <c r="AP57" s="130" t="n">
        <v>1</v>
      </c>
      <c r="AQ57" s="130" t="n"/>
      <c r="AR57" s="130" t="inlineStr">
        <is>
          <t>+</t>
        </is>
      </c>
      <c r="AS57" s="130" t="n"/>
      <c r="AT57" s="132">
        <f>AT49</f>
        <v/>
      </c>
      <c r="AU57" s="130" t="n"/>
      <c r="AV57" s="133">
        <f>AV49</f>
        <v/>
      </c>
      <c r="AW57" s="71" t="n"/>
      <c r="AX57" s="130" t="inlineStr">
        <is>
          <t>-</t>
        </is>
      </c>
      <c r="AY57" s="90" t="n"/>
      <c r="AZ57" s="184" t="n">
        <v>1</v>
      </c>
      <c r="BA57" s="70" t="n"/>
      <c r="BB57" s="70" t="n"/>
      <c r="BC57" s="70" t="n"/>
      <c r="BD57" s="70" t="n"/>
      <c r="BE57" s="91" t="n"/>
      <c r="BF57" s="71" t="n"/>
      <c r="BG57" s="71" t="n"/>
      <c r="BH57" s="71" t="n"/>
      <c r="BI57" s="71" t="n"/>
      <c r="BJ57" s="71" t="n"/>
      <c r="BK57" s="71" t="n"/>
      <c r="BL57" s="93" t="n"/>
      <c r="BM57" s="71" t="n"/>
      <c r="BN57" s="71" t="n"/>
      <c r="BO57" s="71" t="n"/>
      <c r="BP57" s="71" t="n"/>
      <c r="BQ57" s="71" t="n"/>
      <c r="BR57" s="71" t="n"/>
      <c r="BS57" s="130" t="n"/>
      <c r="BT57" s="71" t="n"/>
      <c r="BU57" s="130" t="n"/>
      <c r="BV57" s="71" t="n"/>
      <c r="BW57" s="130" t="n"/>
      <c r="BX57" s="499" t="n"/>
      <c r="BY57" s="130" t="n"/>
      <c r="BZ57" s="95" t="n"/>
      <c r="CA57" s="71" t="n"/>
      <c r="CB57" s="71" t="n"/>
      <c r="CC57" s="90" t="n"/>
      <c r="CD57" s="10" t="n"/>
    </row>
    <row r="58" ht="3" customHeight="1">
      <c r="B58" s="388" t="n"/>
      <c r="C58" s="494" t="n"/>
      <c r="D58" s="71" t="n"/>
      <c r="F58" s="71" t="n"/>
      <c r="H58" s="71" t="n"/>
      <c r="J58" s="71" t="n"/>
      <c r="K58" s="71" t="n"/>
      <c r="L58" s="71" t="n"/>
      <c r="M58" s="71" t="n"/>
      <c r="N58" s="130" t="n"/>
      <c r="P58" s="130" t="n"/>
      <c r="R58" s="130" t="n"/>
      <c r="T58" s="130" t="n"/>
      <c r="V58" s="71" t="n"/>
      <c r="X58" s="90" t="n"/>
      <c r="Y58" s="495" t="n"/>
      <c r="Z58" s="70" t="n"/>
      <c r="AA58" s="70" t="n"/>
      <c r="AB58" s="70" t="n"/>
      <c r="AC58" s="70" t="n"/>
      <c r="AD58" s="494" t="n"/>
      <c r="AE58" s="71" t="n"/>
      <c r="AG58" s="71" t="n"/>
      <c r="AI58" s="71" t="n"/>
      <c r="AK58" s="71" t="n"/>
      <c r="AL58" s="71" t="n"/>
      <c r="AM58" s="71" t="n"/>
      <c r="AN58" s="71" t="n"/>
      <c r="AO58" s="130" t="n"/>
      <c r="AQ58" s="130" t="n"/>
      <c r="AS58" s="130" t="n"/>
      <c r="AU58" s="130" t="n"/>
      <c r="AW58" s="71" t="n"/>
      <c r="AY58" s="90" t="n"/>
      <c r="AZ58" s="495" t="n"/>
      <c r="BA58" s="70" t="n"/>
      <c r="BB58" s="70" t="n"/>
      <c r="BC58" s="70" t="n"/>
      <c r="BD58" s="70" t="n"/>
      <c r="BE58" s="91" t="n"/>
      <c r="BF58" s="71" t="n"/>
      <c r="BG58" s="71" t="n"/>
      <c r="BH58" s="71" t="n"/>
      <c r="BI58" s="71" t="n"/>
      <c r="BJ58" s="71" t="n"/>
      <c r="BK58" s="71" t="n"/>
      <c r="BL58" s="93" t="n"/>
      <c r="BM58" s="71" t="n"/>
      <c r="BN58" s="71" t="n"/>
      <c r="BO58" s="71" t="n"/>
      <c r="BP58" s="71" t="n"/>
      <c r="BQ58" s="71" t="n"/>
      <c r="BR58" s="71" t="n"/>
      <c r="BS58" s="130" t="n"/>
      <c r="BT58" s="71" t="n"/>
      <c r="BU58" s="130" t="n"/>
      <c r="BV58" s="71" t="n"/>
      <c r="BW58" s="130" t="n"/>
      <c r="BX58" s="499" t="n"/>
      <c r="BY58" s="130" t="n"/>
      <c r="BZ58" s="95" t="n"/>
      <c r="CA58" s="71" t="n"/>
      <c r="CB58" s="71" t="n"/>
      <c r="CC58" s="90" t="n"/>
      <c r="CD58" s="10" t="n"/>
    </row>
    <row r="59" ht="3" customHeight="1">
      <c r="B59" s="388" t="n"/>
      <c r="C59" s="494" t="n"/>
      <c r="D59" s="71" t="n"/>
      <c r="F59" s="71" t="n"/>
      <c r="H59" s="71" t="n"/>
      <c r="J59" s="71" t="n"/>
      <c r="K59" s="71" t="n"/>
      <c r="L59" s="71" t="n"/>
      <c r="M59" s="71" t="n"/>
      <c r="N59" s="130" t="n"/>
      <c r="P59" s="130" t="n"/>
      <c r="R59" s="130" t="n"/>
      <c r="T59" s="130" t="n"/>
      <c r="V59" s="71" t="n"/>
      <c r="X59" s="90" t="n"/>
      <c r="Y59" s="495" t="n"/>
      <c r="Z59" s="70" t="n"/>
      <c r="AA59" s="70" t="n"/>
      <c r="AB59" s="70" t="n"/>
      <c r="AC59" s="70" t="n"/>
      <c r="AD59" s="494" t="n"/>
      <c r="AE59" s="71" t="n"/>
      <c r="AG59" s="71" t="n"/>
      <c r="AI59" s="71" t="n"/>
      <c r="AK59" s="71" t="n"/>
      <c r="AL59" s="71" t="n"/>
      <c r="AM59" s="71" t="n"/>
      <c r="AN59" s="71" t="n"/>
      <c r="AO59" s="130" t="n"/>
      <c r="AQ59" s="130" t="n"/>
      <c r="AS59" s="130" t="n"/>
      <c r="AU59" s="130" t="n"/>
      <c r="AW59" s="71" t="n"/>
      <c r="AY59" s="90" t="n"/>
      <c r="AZ59" s="495" t="n"/>
      <c r="BA59" s="70" t="n"/>
      <c r="BB59" s="70" t="n"/>
      <c r="BC59" s="70" t="n"/>
      <c r="BD59" s="70" t="n"/>
      <c r="BE59" s="91" t="n"/>
      <c r="BF59" s="71" t="n"/>
      <c r="BG59" s="71" t="n"/>
      <c r="BH59" s="71" t="n"/>
      <c r="BI59" s="71" t="n"/>
      <c r="BJ59" s="71" t="n"/>
      <c r="BK59" s="71" t="n"/>
      <c r="BL59" s="93" t="n"/>
      <c r="BM59" s="71" t="n"/>
      <c r="BN59" s="71" t="n"/>
      <c r="BO59" s="71" t="n"/>
      <c r="BP59" s="71" t="n"/>
      <c r="BQ59" s="71" t="n"/>
      <c r="BR59" s="71" t="n"/>
      <c r="BS59" s="130" t="n"/>
      <c r="BT59" s="71" t="n"/>
      <c r="BU59" s="130" t="n"/>
      <c r="BV59" s="71" t="n"/>
      <c r="BW59" s="130" t="n"/>
      <c r="BX59" s="499" t="n"/>
      <c r="BY59" s="130" t="n"/>
      <c r="BZ59" s="95" t="n"/>
      <c r="CA59" s="71" t="n"/>
      <c r="CB59" s="71" t="n"/>
      <c r="CC59" s="90" t="n"/>
      <c r="CD59" s="10" t="n"/>
    </row>
    <row r="60" ht="3" customHeight="1">
      <c r="B60" s="388" t="n"/>
      <c r="C60" s="494" t="n"/>
      <c r="D60" s="71" t="n"/>
      <c r="F60" s="71" t="n"/>
      <c r="H60" s="71" t="n"/>
      <c r="J60" s="71" t="n"/>
      <c r="K60" s="71" t="n"/>
      <c r="L60" s="71" t="n"/>
      <c r="M60" s="71" t="n"/>
      <c r="N60" s="71" t="n"/>
      <c r="P60" s="71" t="n"/>
      <c r="R60" s="71" t="n"/>
      <c r="T60" s="130" t="n"/>
      <c r="U60" s="130" t="n"/>
      <c r="V60" s="71" t="n"/>
      <c r="X60" s="71" t="n"/>
      <c r="Y60" s="495" t="n"/>
      <c r="Z60" s="70" t="n"/>
      <c r="AA60" s="70" t="n"/>
      <c r="AB60" s="70" t="n"/>
      <c r="AC60" s="70" t="n"/>
      <c r="AD60" s="494" t="n"/>
      <c r="AE60" s="71" t="n"/>
      <c r="AG60" s="71" t="n"/>
      <c r="AI60" s="71" t="n"/>
      <c r="AK60" s="71" t="n"/>
      <c r="AL60" s="71" t="n"/>
      <c r="AM60" s="71" t="n"/>
      <c r="AN60" s="71" t="n"/>
      <c r="AO60" s="71" t="n"/>
      <c r="AQ60" s="71" t="n"/>
      <c r="AS60" s="71" t="n"/>
      <c r="AU60" s="130" t="n"/>
      <c r="AV60" s="130" t="n"/>
      <c r="AW60" s="71" t="n"/>
      <c r="AY60" s="71" t="n"/>
      <c r="AZ60" s="495" t="n"/>
      <c r="BA60" s="70" t="n"/>
      <c r="BB60" s="70" t="n"/>
      <c r="BC60" s="70" t="n"/>
      <c r="BD60" s="70" t="n"/>
      <c r="BE60" s="91" t="n"/>
      <c r="BF60" s="71" t="n"/>
      <c r="BG60" s="71" t="n"/>
      <c r="BH60" s="71" t="n"/>
      <c r="BI60" s="71" t="n"/>
      <c r="BJ60" s="71" t="n"/>
      <c r="BK60" s="71" t="n"/>
      <c r="BL60" s="93" t="n"/>
      <c r="BM60" s="71" t="n"/>
      <c r="BN60" s="71" t="n"/>
      <c r="BO60" s="71" t="n"/>
      <c r="BP60" s="71" t="n"/>
      <c r="BQ60" s="71" t="n"/>
      <c r="BR60" s="71" t="n"/>
      <c r="BS60" s="71" t="n"/>
      <c r="BT60" s="71" t="n"/>
      <c r="BU60" s="71" t="n"/>
      <c r="BV60" s="71" t="n"/>
      <c r="BW60" s="71" t="n"/>
      <c r="BX60" s="499" t="n"/>
      <c r="BY60" s="130" t="n"/>
      <c r="BZ60" s="130" t="n"/>
      <c r="CA60" s="71" t="n"/>
      <c r="CB60" s="71" t="n"/>
      <c r="CC60" s="71" t="n"/>
      <c r="CD60" s="10" t="n"/>
    </row>
    <row r="61" ht="3" customHeight="1">
      <c r="B61" s="388" t="n"/>
      <c r="C61" s="494" t="n"/>
      <c r="D61" s="71" t="n"/>
      <c r="F61" s="71" t="n"/>
      <c r="H61" s="71" t="n"/>
      <c r="J61" s="71" t="n"/>
      <c r="K61" s="71" t="n"/>
      <c r="L61" s="71" t="n"/>
      <c r="M61" s="71" t="n"/>
      <c r="N61" s="71" t="n"/>
      <c r="P61" s="71" t="n"/>
      <c r="R61" s="71" t="n"/>
      <c r="T61" s="130" t="n"/>
      <c r="U61" s="130" t="n"/>
      <c r="V61" s="71" t="n"/>
      <c r="X61" s="71" t="n"/>
      <c r="Y61" s="495" t="n"/>
      <c r="Z61" s="70" t="n"/>
      <c r="AA61" s="70" t="n"/>
      <c r="AB61" s="70" t="n"/>
      <c r="AC61" s="70" t="n"/>
      <c r="AD61" s="494" t="n"/>
      <c r="AE61" s="71" t="n"/>
      <c r="AG61" s="71" t="n"/>
      <c r="AI61" s="71" t="n"/>
      <c r="AK61" s="71" t="n"/>
      <c r="AL61" s="71" t="n"/>
      <c r="AM61" s="71" t="n"/>
      <c r="AN61" s="71" t="n"/>
      <c r="AO61" s="71" t="n"/>
      <c r="AQ61" s="71" t="n"/>
      <c r="AS61" s="71" t="n"/>
      <c r="AU61" s="130" t="n"/>
      <c r="AV61" s="130" t="n"/>
      <c r="AW61" s="71" t="n"/>
      <c r="AY61" s="71" t="n"/>
      <c r="AZ61" s="495" t="n"/>
      <c r="BA61" s="70" t="n"/>
      <c r="BB61" s="70" t="n"/>
      <c r="BC61" s="70" t="n"/>
      <c r="BD61" s="70" t="n"/>
      <c r="BE61" s="91" t="n"/>
      <c r="BF61" s="71" t="n"/>
      <c r="BG61" s="71" t="n"/>
      <c r="BH61" s="71" t="n"/>
      <c r="BI61" s="71" t="n"/>
      <c r="BJ61" s="71" t="n"/>
      <c r="BK61" s="71" t="n"/>
      <c r="BL61" s="93" t="n"/>
      <c r="BM61" s="71" t="n"/>
      <c r="BN61" s="71" t="n"/>
      <c r="BO61" s="71" t="n"/>
      <c r="BP61" s="71" t="n"/>
      <c r="BQ61" s="71" t="n"/>
      <c r="BR61" s="71" t="n"/>
      <c r="BS61" s="71" t="n"/>
      <c r="BT61" s="71" t="n"/>
      <c r="BU61" s="71" t="n"/>
      <c r="BV61" s="71" t="n"/>
      <c r="BW61" s="71" t="n"/>
      <c r="BX61" s="499" t="n"/>
      <c r="BY61" s="130" t="n"/>
      <c r="BZ61" s="130" t="n"/>
      <c r="CA61" s="71" t="n"/>
      <c r="CB61" s="71" t="n"/>
      <c r="CC61" s="71" t="n"/>
      <c r="CD61" s="10" t="n"/>
    </row>
    <row r="62" ht="3" customHeight="1">
      <c r="B62" s="388" t="n"/>
      <c r="C62" s="494" t="n"/>
      <c r="D62" s="71" t="n"/>
      <c r="F62" s="71" t="n"/>
      <c r="H62" s="71" t="n"/>
      <c r="J62" s="71" t="n"/>
      <c r="K62" s="71" t="n"/>
      <c r="L62" s="71" t="n"/>
      <c r="M62" s="71" t="n"/>
      <c r="N62" s="130" t="n"/>
      <c r="P62" s="130" t="n"/>
      <c r="R62" s="130" t="n"/>
      <c r="T62" s="130" t="n"/>
      <c r="U62" s="130" t="n"/>
      <c r="V62" s="71" t="n"/>
      <c r="X62" s="71" t="n"/>
      <c r="Y62" s="495" t="n"/>
      <c r="Z62" s="70" t="n"/>
      <c r="AA62" s="70" t="n"/>
      <c r="AB62" s="70" t="n"/>
      <c r="AC62" s="70" t="n"/>
      <c r="AD62" s="494" t="n"/>
      <c r="AE62" s="71" t="n"/>
      <c r="AG62" s="71" t="n"/>
      <c r="AI62" s="71" t="n"/>
      <c r="AK62" s="71" t="n"/>
      <c r="AL62" s="71" t="n"/>
      <c r="AM62" s="71" t="n"/>
      <c r="AN62" s="71" t="n"/>
      <c r="AO62" s="130" t="n"/>
      <c r="AQ62" s="130" t="n"/>
      <c r="AS62" s="130" t="n"/>
      <c r="AU62" s="130" t="n"/>
      <c r="AV62" s="130" t="n"/>
      <c r="AW62" s="71" t="n"/>
      <c r="AY62" s="71" t="n"/>
      <c r="AZ62" s="495" t="n"/>
      <c r="BA62" s="70" t="n"/>
      <c r="BB62" s="70" t="n"/>
      <c r="BC62" s="70" t="n"/>
      <c r="BD62" s="70" t="n"/>
      <c r="BE62" s="91" t="n"/>
      <c r="BF62" s="71" t="n"/>
      <c r="BG62" s="71" t="n"/>
      <c r="BH62" s="71" t="n"/>
      <c r="BI62" s="71" t="n"/>
      <c r="BJ62" s="71" t="n"/>
      <c r="BK62" s="71" t="n"/>
      <c r="BL62" s="93" t="n"/>
      <c r="BM62" s="71" t="n"/>
      <c r="BN62" s="71" t="n"/>
      <c r="BO62" s="71" t="n"/>
      <c r="BP62" s="71" t="n"/>
      <c r="BQ62" s="71" t="n"/>
      <c r="BR62" s="71" t="n"/>
      <c r="BS62" s="130" t="n"/>
      <c r="BT62" s="71" t="n"/>
      <c r="BU62" s="130" t="n"/>
      <c r="BV62" s="71" t="n"/>
      <c r="BW62" s="130" t="n"/>
      <c r="BX62" s="499" t="n"/>
      <c r="BY62" s="130" t="n"/>
      <c r="BZ62" s="130" t="n"/>
      <c r="CA62" s="71" t="n"/>
      <c r="CB62" s="71" t="n"/>
      <c r="CC62" s="71" t="n"/>
      <c r="CD62" s="10" t="n"/>
    </row>
    <row r="63" hidden="1" ht="3" customHeight="1">
      <c r="C63" s="494" t="n"/>
      <c r="D63" s="71" t="n"/>
      <c r="F63" s="71" t="n"/>
      <c r="H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92" t="n"/>
      <c r="Z63" s="70" t="n"/>
      <c r="AA63" s="70" t="n"/>
      <c r="AB63" s="70" t="n"/>
      <c r="AC63" s="70" t="n"/>
      <c r="AD63" s="494" t="n"/>
      <c r="AE63" s="71" t="n"/>
      <c r="AG63" s="71" t="n"/>
      <c r="AI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92" t="n"/>
      <c r="BA63" s="70" t="n"/>
      <c r="BB63" s="70" t="n"/>
      <c r="BC63" s="70" t="n"/>
      <c r="BD63" s="70" t="n"/>
      <c r="BE63" s="91" t="n"/>
      <c r="BF63" s="71" t="n"/>
      <c r="BG63" s="71" t="n"/>
      <c r="BH63" s="71" t="n"/>
      <c r="BI63" s="71" t="n"/>
      <c r="BJ63" s="71" t="n"/>
      <c r="BK63" s="71" t="n"/>
      <c r="BL63" s="93" t="n"/>
      <c r="BM63" s="71" t="n"/>
      <c r="BN63" s="71" t="n"/>
      <c r="BO63" s="71" t="n"/>
      <c r="BP63" s="71" t="n"/>
      <c r="BQ63" s="71" t="n"/>
      <c r="BR63" s="71" t="n"/>
      <c r="BS63" s="71" t="n"/>
      <c r="BT63" s="71" t="n"/>
      <c r="BU63" s="71" t="n"/>
      <c r="BV63" s="71" t="n"/>
      <c r="BW63" s="71" t="n"/>
      <c r="BX63" s="71" t="n"/>
      <c r="BY63" s="71" t="n"/>
      <c r="BZ63" s="71" t="n"/>
      <c r="CA63" s="71" t="n"/>
      <c r="CB63" s="71" t="n"/>
      <c r="CC63" s="71" t="n"/>
      <c r="CD63" s="10" t="n"/>
    </row>
    <row r="64" hidden="1" ht="9" customHeight="1">
      <c r="C64" s="79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92" t="n"/>
      <c r="Z64" s="70" t="n"/>
      <c r="AA64" s="70" t="n"/>
      <c r="AB64" s="70" t="n"/>
      <c r="AC64" s="70" t="n"/>
      <c r="AD64" s="79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92" t="n"/>
      <c r="BA64" s="70" t="n"/>
      <c r="BB64" s="70" t="n"/>
      <c r="BC64" s="70" t="n"/>
      <c r="BD64" s="70" t="n"/>
      <c r="BE64" s="71" t="n"/>
      <c r="BF64" s="71" t="n"/>
      <c r="BG64" s="71" t="n"/>
      <c r="BH64" s="71" t="n"/>
      <c r="BI64" s="71" t="n"/>
      <c r="BJ64" s="71" t="n"/>
      <c r="BK64" s="71" t="n"/>
      <c r="BL64" s="71" t="n"/>
      <c r="BM64" s="71" t="n"/>
      <c r="BN64" s="71" t="n"/>
      <c r="BO64" s="71" t="n"/>
      <c r="BP64" s="71" t="n"/>
      <c r="BQ64" s="71" t="n"/>
      <c r="BR64" s="71" t="n"/>
      <c r="BS64" s="71" t="n"/>
      <c r="BT64" s="71" t="n"/>
      <c r="BU64" s="71" t="n"/>
      <c r="BV64" s="71" t="n"/>
      <c r="BW64" s="71" t="n"/>
      <c r="BX64" s="71" t="n"/>
      <c r="BY64" s="71" t="n"/>
      <c r="BZ64" s="71" t="n"/>
      <c r="CA64" s="71" t="n"/>
      <c r="CB64" s="71" t="n"/>
      <c r="CC64" s="71" t="n"/>
      <c r="CD64" s="10" t="n"/>
    </row>
    <row r="65" hidden="1" ht="3" customHeight="1">
      <c r="B65" s="388" t="n"/>
      <c r="C65" s="129" t="inlineStr">
        <is>
          <t>PMT</t>
        </is>
      </c>
      <c r="D65" s="71" t="n"/>
      <c r="E65" s="130" t="inlineStr">
        <is>
          <t>=</t>
        </is>
      </c>
      <c r="F65" s="71" t="n"/>
      <c r="G65" s="193">
        <f>G49</f>
        <v/>
      </c>
      <c r="H65" s="71" t="n"/>
      <c r="I65" s="130" t="inlineStr">
        <is>
          <t>x</t>
        </is>
      </c>
      <c r="J65" s="71" t="n"/>
      <c r="K65" s="71" t="n"/>
      <c r="L65" s="71" t="n"/>
      <c r="M65" s="71" t="n"/>
      <c r="N65" s="130" t="n"/>
      <c r="O65" s="501">
        <f>O49+S49</f>
        <v/>
      </c>
      <c r="T65" s="130" t="n"/>
      <c r="U65" s="133">
        <f>U49</f>
        <v/>
      </c>
      <c r="V65" s="71" t="n"/>
      <c r="W65" s="130" t="inlineStr">
        <is>
          <t>x</t>
        </is>
      </c>
      <c r="X65" s="90" t="n"/>
      <c r="Y65" s="502">
        <f>Y49</f>
        <v/>
      </c>
      <c r="Z65" s="70" t="n"/>
      <c r="AA65" s="70" t="n"/>
      <c r="AB65" s="70" t="n"/>
      <c r="AC65" s="70" t="n"/>
      <c r="AD65" s="129" t="inlineStr">
        <is>
          <t>PMT</t>
        </is>
      </c>
      <c r="AE65" s="71" t="n"/>
      <c r="AF65" s="130" t="inlineStr">
        <is>
          <t>=</t>
        </is>
      </c>
      <c r="AG65" s="71" t="n"/>
      <c r="AH65" s="193">
        <f>AH49</f>
        <v/>
      </c>
      <c r="AI65" s="71" t="n"/>
      <c r="AJ65" s="130" t="inlineStr">
        <is>
          <t>x</t>
        </is>
      </c>
      <c r="AK65" s="71" t="n"/>
      <c r="AL65" s="71" t="n"/>
      <c r="AM65" s="71" t="n"/>
      <c r="AN65" s="71" t="n"/>
      <c r="AO65" s="130" t="n"/>
      <c r="AP65" s="501">
        <f>AP49+AT49</f>
        <v/>
      </c>
      <c r="AU65" s="130" t="n"/>
      <c r="AV65" s="133">
        <f>AV49</f>
        <v/>
      </c>
      <c r="AW65" s="71" t="n"/>
      <c r="AX65" s="130" t="inlineStr">
        <is>
          <t>x</t>
        </is>
      </c>
      <c r="AY65" s="90" t="n"/>
      <c r="AZ65" s="502">
        <f>AZ49</f>
        <v/>
      </c>
      <c r="BA65" s="70" t="n"/>
      <c r="BB65" s="70" t="n"/>
      <c r="BC65" s="70" t="n"/>
      <c r="BD65" s="70" t="n"/>
      <c r="BE65" s="91" t="n"/>
      <c r="BF65" s="71" t="n"/>
      <c r="BG65" s="71" t="n"/>
      <c r="BH65" s="71" t="n"/>
      <c r="BI65" s="71" t="n"/>
      <c r="BJ65" s="71" t="n"/>
      <c r="BK65" s="71" t="n"/>
      <c r="BL65" s="93" t="n"/>
      <c r="BM65" s="71" t="n"/>
      <c r="BN65" s="71" t="n"/>
      <c r="BO65" s="71" t="n"/>
      <c r="BP65" s="71" t="n"/>
      <c r="BQ65" s="71" t="n"/>
      <c r="BR65" s="71" t="n"/>
      <c r="BS65" s="130" t="n"/>
      <c r="BT65" s="503" t="n"/>
      <c r="BU65" s="503" t="n"/>
      <c r="BV65" s="503" t="n"/>
      <c r="BW65" s="503" t="n"/>
      <c r="BX65" s="503" t="n"/>
      <c r="BY65" s="130" t="n"/>
      <c r="BZ65" s="95" t="n"/>
      <c r="CA65" s="71" t="n"/>
      <c r="CB65" s="71" t="n"/>
      <c r="CC65" s="90" t="n"/>
      <c r="CD65" s="500" t="n"/>
    </row>
    <row r="66" hidden="1" ht="3" customHeight="1">
      <c r="B66" s="388" t="n"/>
      <c r="C66" s="494" t="n"/>
      <c r="D66" s="71" t="n"/>
      <c r="F66" s="71" t="n"/>
      <c r="H66" s="71" t="n"/>
      <c r="J66" s="71" t="n"/>
      <c r="K66" s="71" t="n"/>
      <c r="L66" s="71" t="n"/>
      <c r="M66" s="71" t="n"/>
      <c r="N66" s="130" t="n"/>
      <c r="T66" s="130" t="n"/>
      <c r="V66" s="71" t="n"/>
      <c r="X66" s="90" t="n"/>
      <c r="Y66" s="495" t="n"/>
      <c r="Z66" s="70" t="n"/>
      <c r="AA66" s="70" t="n"/>
      <c r="AB66" s="70" t="n"/>
      <c r="AC66" s="70" t="n"/>
      <c r="AD66" s="494" t="n"/>
      <c r="AE66" s="71" t="n"/>
      <c r="AG66" s="71" t="n"/>
      <c r="AI66" s="71" t="n"/>
      <c r="AK66" s="71" t="n"/>
      <c r="AL66" s="71" t="n"/>
      <c r="AM66" s="71" t="n"/>
      <c r="AN66" s="71" t="n"/>
      <c r="AO66" s="130" t="n"/>
      <c r="AU66" s="130" t="n"/>
      <c r="AW66" s="71" t="n"/>
      <c r="AY66" s="90" t="n"/>
      <c r="AZ66" s="495" t="n"/>
      <c r="BA66" s="70" t="n"/>
      <c r="BB66" s="70" t="n"/>
      <c r="BC66" s="70" t="n"/>
      <c r="BD66" s="70" t="n"/>
      <c r="BE66" s="91" t="n"/>
      <c r="BF66" s="71" t="n"/>
      <c r="BG66" s="71" t="n"/>
      <c r="BH66" s="71" t="n"/>
      <c r="BI66" s="71" t="n"/>
      <c r="BJ66" s="71" t="n"/>
      <c r="BK66" s="71" t="n"/>
      <c r="BL66" s="93" t="n"/>
      <c r="BM66" s="71" t="n"/>
      <c r="BN66" s="71" t="n"/>
      <c r="BO66" s="71" t="n"/>
      <c r="BP66" s="71" t="n"/>
      <c r="BQ66" s="71" t="n"/>
      <c r="BR66" s="71" t="n"/>
      <c r="BS66" s="130" t="n"/>
      <c r="BT66" s="503" t="n"/>
      <c r="BU66" s="503" t="n"/>
      <c r="BV66" s="503" t="n"/>
      <c r="BW66" s="503" t="n"/>
      <c r="BX66" s="503" t="n"/>
      <c r="BY66" s="130" t="n"/>
      <c r="BZ66" s="95" t="n"/>
      <c r="CA66" s="71" t="n"/>
      <c r="CB66" s="71" t="n"/>
      <c r="CC66" s="90" t="n"/>
      <c r="CD66" s="500" t="n"/>
    </row>
    <row r="67" hidden="1" ht="3" customHeight="1">
      <c r="B67" s="388" t="n"/>
      <c r="C67" s="494" t="n"/>
      <c r="D67" s="71" t="n"/>
      <c r="F67" s="71" t="n"/>
      <c r="H67" s="71" t="n"/>
      <c r="J67" s="71" t="n"/>
      <c r="K67" s="71" t="n"/>
      <c r="L67" s="71" t="n"/>
      <c r="M67" s="71" t="n"/>
      <c r="N67" s="130" t="n"/>
      <c r="T67" s="130" t="n"/>
      <c r="V67" s="71" t="n"/>
      <c r="X67" s="90" t="n"/>
      <c r="Y67" s="495" t="n"/>
      <c r="Z67" s="70" t="n"/>
      <c r="AA67" s="70" t="n"/>
      <c r="AB67" s="70" t="n"/>
      <c r="AC67" s="70" t="n"/>
      <c r="AD67" s="494" t="n"/>
      <c r="AE67" s="71" t="n"/>
      <c r="AG67" s="71" t="n"/>
      <c r="AI67" s="71" t="n"/>
      <c r="AK67" s="71" t="n"/>
      <c r="AL67" s="71" t="n"/>
      <c r="AM67" s="71" t="n"/>
      <c r="AN67" s="71" t="n"/>
      <c r="AO67" s="130" t="n"/>
      <c r="AU67" s="130" t="n"/>
      <c r="AW67" s="71" t="n"/>
      <c r="AY67" s="90" t="n"/>
      <c r="AZ67" s="495" t="n"/>
      <c r="BA67" s="70" t="n"/>
      <c r="BB67" s="70" t="n"/>
      <c r="BC67" s="70" t="n"/>
      <c r="BD67" s="70" t="n"/>
      <c r="BE67" s="91" t="n"/>
      <c r="BF67" s="71" t="n"/>
      <c r="BG67" s="71" t="n"/>
      <c r="BH67" s="71" t="n"/>
      <c r="BI67" s="71" t="n"/>
      <c r="BJ67" s="71" t="n"/>
      <c r="BK67" s="71" t="n"/>
      <c r="BL67" s="93" t="n"/>
      <c r="BM67" s="71" t="n"/>
      <c r="BN67" s="71" t="n"/>
      <c r="BO67" s="71" t="n"/>
      <c r="BP67" s="71" t="n"/>
      <c r="BQ67" s="71" t="n"/>
      <c r="BR67" s="71" t="n"/>
      <c r="BS67" s="130" t="n"/>
      <c r="BT67" s="503" t="n"/>
      <c r="BU67" s="503" t="n"/>
      <c r="BV67" s="503" t="n"/>
      <c r="BW67" s="503" t="n"/>
      <c r="BX67" s="503" t="n"/>
      <c r="BY67" s="130" t="n"/>
      <c r="BZ67" s="95" t="n"/>
      <c r="CA67" s="71" t="n"/>
      <c r="CB67" s="71" t="n"/>
      <c r="CC67" s="90" t="n"/>
      <c r="CD67" s="500" t="n"/>
    </row>
    <row r="68" hidden="1" ht="3" customHeight="1">
      <c r="B68" s="388" t="n"/>
      <c r="C68" s="494" t="n"/>
      <c r="D68" s="71" t="n"/>
      <c r="F68" s="71" t="n"/>
      <c r="H68" s="71" t="n"/>
      <c r="J68" s="71" t="n"/>
      <c r="K68" s="71" t="n"/>
      <c r="L68" s="71" t="n"/>
      <c r="M68" s="71" t="n"/>
      <c r="N68" s="71" t="n"/>
      <c r="T68" s="130" t="n"/>
      <c r="U68" s="130" t="n"/>
      <c r="V68" s="71" t="n"/>
      <c r="X68" s="71" t="n"/>
      <c r="Y68" s="495" t="n"/>
      <c r="Z68" s="70" t="n"/>
      <c r="AA68" s="70" t="n"/>
      <c r="AB68" s="70" t="n"/>
      <c r="AC68" s="70" t="n"/>
      <c r="AD68" s="494" t="n"/>
      <c r="AE68" s="71" t="n"/>
      <c r="AG68" s="71" t="n"/>
      <c r="AI68" s="71" t="n"/>
      <c r="AK68" s="71" t="n"/>
      <c r="AL68" s="71" t="n"/>
      <c r="AM68" s="71" t="n"/>
      <c r="AN68" s="71" t="n"/>
      <c r="AO68" s="71" t="n"/>
      <c r="AU68" s="130" t="n"/>
      <c r="AV68" s="130" t="n"/>
      <c r="AW68" s="71" t="n"/>
      <c r="AY68" s="71" t="n"/>
      <c r="AZ68" s="495" t="n"/>
      <c r="BA68" s="70" t="n"/>
      <c r="BB68" s="70" t="n"/>
      <c r="BC68" s="70" t="n"/>
      <c r="BD68" s="70" t="n"/>
      <c r="BE68" s="91" t="n"/>
      <c r="BF68" s="71" t="n"/>
      <c r="BG68" s="71" t="n"/>
      <c r="BH68" s="71" t="n"/>
      <c r="BI68" s="71" t="n"/>
      <c r="BJ68" s="71" t="n"/>
      <c r="BK68" s="71" t="n"/>
      <c r="BL68" s="93" t="n"/>
      <c r="BM68" s="71" t="n"/>
      <c r="BN68" s="71" t="n"/>
      <c r="BO68" s="71" t="n"/>
      <c r="BP68" s="71" t="n"/>
      <c r="BQ68" s="71" t="n"/>
      <c r="BR68" s="71" t="n"/>
      <c r="BS68" s="71" t="n"/>
      <c r="BT68" s="503" t="n"/>
      <c r="BU68" s="503" t="n"/>
      <c r="BV68" s="503" t="n"/>
      <c r="BW68" s="503" t="n"/>
      <c r="BX68" s="503" t="n"/>
      <c r="BY68" s="130" t="n"/>
      <c r="BZ68" s="130" t="n"/>
      <c r="CA68" s="71" t="n"/>
      <c r="CB68" s="71" t="n"/>
      <c r="CC68" s="71" t="n"/>
      <c r="CD68" s="500" t="n"/>
    </row>
    <row r="69" hidden="1" ht="3" customHeight="1">
      <c r="B69" s="388" t="n"/>
      <c r="C69" s="494" t="n"/>
      <c r="D69" s="71" t="n"/>
      <c r="F69" s="71" t="n"/>
      <c r="H69" s="71" t="n"/>
      <c r="J69" s="71" t="n"/>
      <c r="K69" s="71" t="n"/>
      <c r="L69" s="71" t="n"/>
      <c r="M69" s="71" t="n"/>
      <c r="N69" s="71" t="n"/>
      <c r="T69" s="130" t="n"/>
      <c r="U69" s="130" t="n"/>
      <c r="V69" s="71" t="n"/>
      <c r="X69" s="71" t="n"/>
      <c r="Y69" s="495" t="n"/>
      <c r="Z69" s="70" t="n"/>
      <c r="AA69" s="70" t="n"/>
      <c r="AB69" s="70" t="n"/>
      <c r="AC69" s="70" t="n"/>
      <c r="AD69" s="494" t="n"/>
      <c r="AE69" s="71" t="n"/>
      <c r="AG69" s="71" t="n"/>
      <c r="AI69" s="71" t="n"/>
      <c r="AK69" s="71" t="n"/>
      <c r="AL69" s="71" t="n"/>
      <c r="AM69" s="71" t="n"/>
      <c r="AN69" s="71" t="n"/>
      <c r="AO69" s="71" t="n"/>
      <c r="AU69" s="130" t="n"/>
      <c r="AV69" s="130" t="n"/>
      <c r="AW69" s="71" t="n"/>
      <c r="AY69" s="71" t="n"/>
      <c r="AZ69" s="495" t="n"/>
      <c r="BA69" s="70" t="n"/>
      <c r="BB69" s="70" t="n"/>
      <c r="BC69" s="70" t="n"/>
      <c r="BD69" s="70" t="n"/>
      <c r="BE69" s="91" t="n"/>
      <c r="BF69" s="71" t="n"/>
      <c r="BG69" s="71" t="n"/>
      <c r="BH69" s="71" t="n"/>
      <c r="BI69" s="71" t="n"/>
      <c r="BJ69" s="71" t="n"/>
      <c r="BK69" s="71" t="n"/>
      <c r="BL69" s="93" t="n"/>
      <c r="BM69" s="71" t="n"/>
      <c r="BN69" s="71" t="n"/>
      <c r="BO69" s="71" t="n"/>
      <c r="BP69" s="71" t="n"/>
      <c r="BQ69" s="71" t="n"/>
      <c r="BR69" s="71" t="n"/>
      <c r="BS69" s="71" t="n"/>
      <c r="BT69" s="503" t="n"/>
      <c r="BU69" s="503" t="n"/>
      <c r="BV69" s="503" t="n"/>
      <c r="BW69" s="503" t="n"/>
      <c r="BX69" s="503" t="n"/>
      <c r="BY69" s="130" t="n"/>
      <c r="BZ69" s="130" t="n"/>
      <c r="CA69" s="71" t="n"/>
      <c r="CB69" s="71" t="n"/>
      <c r="CC69" s="71" t="n"/>
      <c r="CD69" s="500" t="n"/>
    </row>
    <row r="70" hidden="1" ht="3" customHeight="1">
      <c r="B70" s="388" t="n"/>
      <c r="C70" s="494" t="n"/>
      <c r="D70" s="71" t="n"/>
      <c r="F70" s="71" t="n"/>
      <c r="H70" s="71" t="n"/>
      <c r="J70" s="71" t="n"/>
      <c r="K70" s="71" t="n"/>
      <c r="L70" s="71" t="n"/>
      <c r="M70" s="71" t="n"/>
      <c r="N70" s="130" t="n"/>
      <c r="T70" s="130" t="n"/>
      <c r="U70" s="130" t="n"/>
      <c r="V70" s="71" t="n"/>
      <c r="X70" s="71" t="n"/>
      <c r="Y70" s="495" t="n"/>
      <c r="Z70" s="70" t="n"/>
      <c r="AA70" s="70" t="n"/>
      <c r="AB70" s="70" t="n"/>
      <c r="AC70" s="70" t="n"/>
      <c r="AD70" s="494" t="n"/>
      <c r="AE70" s="71" t="n"/>
      <c r="AG70" s="71" t="n"/>
      <c r="AI70" s="71" t="n"/>
      <c r="AK70" s="71" t="n"/>
      <c r="AL70" s="71" t="n"/>
      <c r="AM70" s="71" t="n"/>
      <c r="AN70" s="71" t="n"/>
      <c r="AO70" s="130" t="n"/>
      <c r="AU70" s="130" t="n"/>
      <c r="AV70" s="130" t="n"/>
      <c r="AW70" s="71" t="n"/>
      <c r="AY70" s="71" t="n"/>
      <c r="AZ70" s="495" t="n"/>
      <c r="BA70" s="70" t="n"/>
      <c r="BB70" s="70" t="n"/>
      <c r="BC70" s="70" t="n"/>
      <c r="BD70" s="70" t="n"/>
      <c r="BE70" s="91" t="n"/>
      <c r="BF70" s="71" t="n"/>
      <c r="BG70" s="71" t="n"/>
      <c r="BH70" s="71" t="n"/>
      <c r="BI70" s="71" t="n"/>
      <c r="BJ70" s="71" t="n"/>
      <c r="BK70" s="71" t="n"/>
      <c r="BL70" s="93" t="n"/>
      <c r="BM70" s="71" t="n"/>
      <c r="BN70" s="71" t="n"/>
      <c r="BO70" s="71" t="n"/>
      <c r="BP70" s="71" t="n"/>
      <c r="BQ70" s="71" t="n"/>
      <c r="BR70" s="71" t="n"/>
      <c r="BS70" s="130" t="n"/>
      <c r="BT70" s="503" t="n"/>
      <c r="BU70" s="503" t="n"/>
      <c r="BV70" s="503" t="n"/>
      <c r="BW70" s="503" t="n"/>
      <c r="BX70" s="503" t="n"/>
      <c r="BY70" s="130" t="n"/>
      <c r="BZ70" s="130" t="n"/>
      <c r="CA70" s="71" t="n"/>
      <c r="CB70" s="71" t="n"/>
      <c r="CC70" s="71" t="n"/>
      <c r="CD70" s="500" t="n"/>
    </row>
    <row r="71" hidden="1" ht="3" customHeight="1">
      <c r="B71" s="388" t="n"/>
      <c r="C71" s="494" t="n"/>
      <c r="D71" s="130" t="n"/>
      <c r="F71" s="71" t="n"/>
      <c r="H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92" t="n"/>
      <c r="Z71" s="70" t="n"/>
      <c r="AA71" s="70" t="n"/>
      <c r="AB71" s="70" t="n"/>
      <c r="AC71" s="70" t="n"/>
      <c r="AD71" s="494" t="n"/>
      <c r="AE71" s="130" t="n"/>
      <c r="AG71" s="71" t="n"/>
      <c r="AI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92" t="n"/>
      <c r="BA71" s="70" t="n"/>
      <c r="BB71" s="70" t="n"/>
      <c r="BC71" s="70" t="n"/>
      <c r="BD71" s="70" t="n"/>
      <c r="BE71" s="91" t="n"/>
      <c r="BF71" s="130" t="n"/>
      <c r="BG71" s="71" t="n"/>
      <c r="BH71" s="71" t="n"/>
      <c r="BI71" s="71" t="n"/>
      <c r="BJ71" s="71" t="n"/>
      <c r="BK71" s="71" t="n"/>
      <c r="BL71" s="93" t="n"/>
      <c r="BM71" s="71" t="n"/>
      <c r="BN71" s="71" t="n"/>
      <c r="BO71" s="71" t="n"/>
      <c r="BP71" s="71" t="n"/>
      <c r="BQ71" s="71" t="n"/>
      <c r="BR71" s="71" t="n"/>
      <c r="BS71" s="71" t="n"/>
      <c r="BT71" s="71" t="n"/>
      <c r="BU71" s="71" t="n"/>
      <c r="BV71" s="71" t="n"/>
      <c r="BW71" s="71" t="n"/>
      <c r="BX71" s="71" t="n"/>
      <c r="BY71" s="71" t="n"/>
      <c r="BZ71" s="71" t="n"/>
      <c r="CA71" s="71" t="n"/>
      <c r="CB71" s="71" t="n"/>
      <c r="CC71" s="71" t="n"/>
      <c r="CD71" s="10" t="n"/>
    </row>
    <row r="72" hidden="1" ht="3" customHeight="1">
      <c r="B72" s="388" t="n"/>
      <c r="C72" s="494" t="n"/>
      <c r="D72" s="130" t="n"/>
      <c r="F72" s="71" t="n"/>
      <c r="H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92" t="n"/>
      <c r="Z72" s="70" t="n"/>
      <c r="AA72" s="70" t="n"/>
      <c r="AB72" s="70" t="n"/>
      <c r="AC72" s="70" t="n"/>
      <c r="AD72" s="494" t="n"/>
      <c r="AE72" s="130" t="n"/>
      <c r="AG72" s="71" t="n"/>
      <c r="AI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92" t="n"/>
      <c r="BA72" s="70" t="n"/>
      <c r="BB72" s="70" t="n"/>
      <c r="BC72" s="70" t="n"/>
      <c r="BD72" s="70" t="n"/>
      <c r="BE72" s="91" t="n"/>
      <c r="BF72" s="130" t="n"/>
      <c r="BG72" s="71" t="n"/>
      <c r="BH72" s="71" t="n"/>
      <c r="BI72" s="71" t="n"/>
      <c r="BJ72" s="71" t="n"/>
      <c r="BK72" s="71" t="n"/>
      <c r="BL72" s="93" t="n"/>
      <c r="BM72" s="71" t="n"/>
      <c r="BN72" s="71" t="n"/>
      <c r="BO72" s="71" t="n"/>
      <c r="BP72" s="71" t="n"/>
      <c r="BQ72" s="71" t="n"/>
      <c r="BR72" s="71" t="n"/>
      <c r="BS72" s="71" t="n"/>
      <c r="BT72" s="71" t="n"/>
      <c r="BU72" s="71" t="n"/>
      <c r="BV72" s="71" t="n"/>
      <c r="BW72" s="71" t="n"/>
      <c r="BX72" s="71" t="n"/>
      <c r="BY72" s="71" t="n"/>
      <c r="BZ72" s="71" t="n"/>
      <c r="CA72" s="71" t="n"/>
      <c r="CB72" s="71" t="n"/>
      <c r="CC72" s="71" t="n"/>
      <c r="CD72" s="10" t="n"/>
    </row>
    <row r="73" hidden="1" ht="3" customHeight="1">
      <c r="B73" s="388" t="n"/>
      <c r="C73" s="494" t="n"/>
      <c r="D73" s="71" t="n"/>
      <c r="F73" s="71" t="n"/>
      <c r="H73" s="71" t="n"/>
      <c r="J73" s="71" t="n"/>
      <c r="K73" s="71" t="n"/>
      <c r="L73" s="71" t="n"/>
      <c r="M73" s="71" t="n"/>
      <c r="N73" s="130" t="n"/>
      <c r="O73" s="501">
        <f>O65</f>
        <v/>
      </c>
      <c r="T73" s="130" t="n"/>
      <c r="U73" s="133">
        <f>U49</f>
        <v/>
      </c>
      <c r="V73" s="71" t="n"/>
      <c r="W73" s="130" t="inlineStr">
        <is>
          <t>-</t>
        </is>
      </c>
      <c r="X73" s="90" t="n"/>
      <c r="Y73" s="184" t="n">
        <v>1</v>
      </c>
      <c r="Z73" s="70" t="n"/>
      <c r="AA73" s="70" t="n"/>
      <c r="AB73" s="70" t="n"/>
      <c r="AC73" s="70" t="n"/>
      <c r="AD73" s="494" t="n"/>
      <c r="AE73" s="71" t="n"/>
      <c r="AG73" s="71" t="n"/>
      <c r="AI73" s="71" t="n"/>
      <c r="AK73" s="71" t="n"/>
      <c r="AL73" s="71" t="n"/>
      <c r="AM73" s="71" t="n"/>
      <c r="AN73" s="71" t="n"/>
      <c r="AO73" s="130" t="n"/>
      <c r="AP73" s="501">
        <f>AP65</f>
        <v/>
      </c>
      <c r="AU73" s="130" t="n"/>
      <c r="AV73" s="133">
        <f>AV49</f>
        <v/>
      </c>
      <c r="AW73" s="71" t="n"/>
      <c r="AX73" s="130" t="inlineStr">
        <is>
          <t>-</t>
        </is>
      </c>
      <c r="AY73" s="90" t="n"/>
      <c r="AZ73" s="184" t="n">
        <v>1</v>
      </c>
      <c r="BA73" s="70" t="n"/>
      <c r="BB73" s="70" t="n"/>
      <c r="BC73" s="70" t="n"/>
      <c r="BD73" s="70" t="n"/>
      <c r="BE73" s="91" t="n"/>
      <c r="BF73" s="71" t="n"/>
      <c r="BG73" s="71" t="n"/>
      <c r="BH73" s="71" t="n"/>
      <c r="BI73" s="71" t="n"/>
      <c r="BJ73" s="71" t="n"/>
      <c r="BK73" s="71" t="n"/>
      <c r="BL73" s="93" t="n"/>
      <c r="BM73" s="71" t="n"/>
      <c r="BN73" s="71" t="n"/>
      <c r="BO73" s="71" t="n"/>
      <c r="BP73" s="71" t="n"/>
      <c r="BQ73" s="71" t="n"/>
      <c r="BR73" s="71" t="n"/>
      <c r="BS73" s="130" t="n"/>
      <c r="BT73" s="503" t="n"/>
      <c r="BU73" s="503" t="n"/>
      <c r="BV73" s="503" t="n"/>
      <c r="BW73" s="503" t="n"/>
      <c r="BX73" s="503" t="n"/>
      <c r="BY73" s="130" t="n"/>
      <c r="BZ73" s="95" t="n"/>
      <c r="CA73" s="71" t="n"/>
      <c r="CB73" s="71" t="n"/>
      <c r="CC73" s="90" t="n"/>
      <c r="CD73" s="10" t="n"/>
    </row>
    <row r="74" hidden="1" ht="3" customHeight="1">
      <c r="B74" s="388" t="n"/>
      <c r="C74" s="494" t="n"/>
      <c r="D74" s="71" t="n"/>
      <c r="F74" s="71" t="n"/>
      <c r="H74" s="71" t="n"/>
      <c r="J74" s="71" t="n"/>
      <c r="K74" s="71" t="n"/>
      <c r="L74" s="71" t="n"/>
      <c r="M74" s="71" t="n"/>
      <c r="N74" s="130" t="n"/>
      <c r="T74" s="130" t="n"/>
      <c r="V74" s="71" t="n"/>
      <c r="X74" s="90" t="n"/>
      <c r="Y74" s="495" t="n"/>
      <c r="Z74" s="70" t="n"/>
      <c r="AA74" s="70" t="n"/>
      <c r="AB74" s="70" t="n"/>
      <c r="AC74" s="70" t="n"/>
      <c r="AD74" s="494" t="n"/>
      <c r="AE74" s="71" t="n"/>
      <c r="AG74" s="71" t="n"/>
      <c r="AI74" s="71" t="n"/>
      <c r="AK74" s="71" t="n"/>
      <c r="AL74" s="71" t="n"/>
      <c r="AM74" s="71" t="n"/>
      <c r="AN74" s="71" t="n"/>
      <c r="AO74" s="130" t="n"/>
      <c r="AU74" s="130" t="n"/>
      <c r="AW74" s="71" t="n"/>
      <c r="AY74" s="90" t="n"/>
      <c r="AZ74" s="495" t="n"/>
      <c r="BA74" s="70" t="n"/>
      <c r="BB74" s="70" t="n"/>
      <c r="BC74" s="70" t="n"/>
      <c r="BD74" s="70" t="n"/>
      <c r="BE74" s="91" t="n"/>
      <c r="BF74" s="71" t="n"/>
      <c r="BG74" s="71" t="n"/>
      <c r="BH74" s="71" t="n"/>
      <c r="BI74" s="71" t="n"/>
      <c r="BJ74" s="71" t="n"/>
      <c r="BK74" s="71" t="n"/>
      <c r="BL74" s="93" t="n"/>
      <c r="BM74" s="71" t="n"/>
      <c r="BN74" s="71" t="n"/>
      <c r="BO74" s="71" t="n"/>
      <c r="BP74" s="71" t="n"/>
      <c r="BQ74" s="71" t="n"/>
      <c r="BR74" s="71" t="n"/>
      <c r="BS74" s="130" t="n"/>
      <c r="BT74" s="503" t="n"/>
      <c r="BU74" s="503" t="n"/>
      <c r="BV74" s="503" t="n"/>
      <c r="BW74" s="503" t="n"/>
      <c r="BX74" s="503" t="n"/>
      <c r="BY74" s="130" t="n"/>
      <c r="BZ74" s="95" t="n"/>
      <c r="CA74" s="71" t="n"/>
      <c r="CB74" s="71" t="n"/>
      <c r="CC74" s="90" t="n"/>
      <c r="CD74" s="10" t="n"/>
    </row>
    <row r="75" hidden="1" ht="3" customHeight="1">
      <c r="B75" s="388" t="n"/>
      <c r="C75" s="494" t="n"/>
      <c r="D75" s="71" t="n"/>
      <c r="F75" s="71" t="n"/>
      <c r="H75" s="71" t="n"/>
      <c r="J75" s="71" t="n"/>
      <c r="K75" s="71" t="n"/>
      <c r="L75" s="71" t="n"/>
      <c r="M75" s="71" t="n"/>
      <c r="N75" s="130" t="n"/>
      <c r="T75" s="130" t="n"/>
      <c r="V75" s="71" t="n"/>
      <c r="X75" s="90" t="n"/>
      <c r="Y75" s="495" t="n"/>
      <c r="Z75" s="70" t="n"/>
      <c r="AA75" s="70" t="n"/>
      <c r="AB75" s="70" t="n"/>
      <c r="AC75" s="70" t="n"/>
      <c r="AD75" s="494" t="n"/>
      <c r="AE75" s="71" t="n"/>
      <c r="AG75" s="71" t="n"/>
      <c r="AI75" s="71" t="n"/>
      <c r="AK75" s="71" t="n"/>
      <c r="AL75" s="71" t="n"/>
      <c r="AM75" s="71" t="n"/>
      <c r="AN75" s="71" t="n"/>
      <c r="AO75" s="130" t="n"/>
      <c r="AU75" s="130" t="n"/>
      <c r="AW75" s="71" t="n"/>
      <c r="AY75" s="90" t="n"/>
      <c r="AZ75" s="495" t="n"/>
      <c r="BA75" s="70" t="n"/>
      <c r="BB75" s="70" t="n"/>
      <c r="BC75" s="70" t="n"/>
      <c r="BD75" s="70" t="n"/>
      <c r="BE75" s="91" t="n"/>
      <c r="BF75" s="71" t="n"/>
      <c r="BG75" s="71" t="n"/>
      <c r="BH75" s="71" t="n"/>
      <c r="BI75" s="71" t="n"/>
      <c r="BJ75" s="71" t="n"/>
      <c r="BK75" s="71" t="n"/>
      <c r="BL75" s="93" t="n"/>
      <c r="BM75" s="71" t="n"/>
      <c r="BN75" s="71" t="n"/>
      <c r="BO75" s="71" t="n"/>
      <c r="BP75" s="71" t="n"/>
      <c r="BQ75" s="71" t="n"/>
      <c r="BR75" s="71" t="n"/>
      <c r="BS75" s="130" t="n"/>
      <c r="BT75" s="503" t="n"/>
      <c r="BU75" s="503" t="n"/>
      <c r="BV75" s="503" t="n"/>
      <c r="BW75" s="503" t="n"/>
      <c r="BX75" s="503" t="n"/>
      <c r="BY75" s="130" t="n"/>
      <c r="BZ75" s="95" t="n"/>
      <c r="CA75" s="71" t="n"/>
      <c r="CB75" s="71" t="n"/>
      <c r="CC75" s="90" t="n"/>
      <c r="CD75" s="10" t="n"/>
    </row>
    <row r="76" hidden="1" ht="3" customHeight="1">
      <c r="B76" s="388" t="n"/>
      <c r="C76" s="494" t="n"/>
      <c r="D76" s="71" t="n"/>
      <c r="F76" s="71" t="n"/>
      <c r="H76" s="71" t="n"/>
      <c r="J76" s="71" t="n"/>
      <c r="K76" s="71" t="n"/>
      <c r="L76" s="71" t="n"/>
      <c r="M76" s="71" t="n"/>
      <c r="N76" s="71" t="n"/>
      <c r="T76" s="130" t="n"/>
      <c r="U76" s="130" t="n"/>
      <c r="V76" s="71" t="n"/>
      <c r="X76" s="71" t="n"/>
      <c r="Y76" s="495" t="n"/>
      <c r="Z76" s="70" t="n"/>
      <c r="AA76" s="70" t="n"/>
      <c r="AB76" s="70" t="n"/>
      <c r="AC76" s="70" t="n"/>
      <c r="AD76" s="494" t="n"/>
      <c r="AE76" s="71" t="n"/>
      <c r="AG76" s="71" t="n"/>
      <c r="AI76" s="71" t="n"/>
      <c r="AK76" s="71" t="n"/>
      <c r="AL76" s="71" t="n"/>
      <c r="AM76" s="71" t="n"/>
      <c r="AN76" s="71" t="n"/>
      <c r="AO76" s="71" t="n"/>
      <c r="AU76" s="130" t="n"/>
      <c r="AV76" s="130" t="n"/>
      <c r="AW76" s="71" t="n"/>
      <c r="AY76" s="71" t="n"/>
      <c r="AZ76" s="495" t="n"/>
      <c r="BA76" s="70" t="n"/>
      <c r="BB76" s="70" t="n"/>
      <c r="BC76" s="70" t="n"/>
      <c r="BD76" s="70" t="n"/>
      <c r="BE76" s="91" t="n"/>
      <c r="BF76" s="71" t="n"/>
      <c r="BG76" s="71" t="n"/>
      <c r="BH76" s="71" t="n"/>
      <c r="BI76" s="71" t="n"/>
      <c r="BJ76" s="71" t="n"/>
      <c r="BK76" s="71" t="n"/>
      <c r="BL76" s="93" t="n"/>
      <c r="BM76" s="71" t="n"/>
      <c r="BN76" s="71" t="n"/>
      <c r="BO76" s="71" t="n"/>
      <c r="BP76" s="71" t="n"/>
      <c r="BQ76" s="71" t="n"/>
      <c r="BR76" s="71" t="n"/>
      <c r="BS76" s="71" t="n"/>
      <c r="BT76" s="503" t="n"/>
      <c r="BU76" s="503" t="n"/>
      <c r="BV76" s="503" t="n"/>
      <c r="BW76" s="503" t="n"/>
      <c r="BX76" s="503" t="n"/>
      <c r="BY76" s="130" t="n"/>
      <c r="BZ76" s="130" t="n"/>
      <c r="CA76" s="71" t="n"/>
      <c r="CB76" s="71" t="n"/>
      <c r="CC76" s="71" t="n"/>
      <c r="CD76" s="10" t="n"/>
    </row>
    <row r="77" hidden="1" ht="3" customHeight="1">
      <c r="B77" s="388" t="n"/>
      <c r="C77" s="494" t="n"/>
      <c r="D77" s="71" t="n"/>
      <c r="F77" s="71" t="n"/>
      <c r="H77" s="71" t="n"/>
      <c r="J77" s="71" t="n"/>
      <c r="K77" s="71" t="n"/>
      <c r="L77" s="71" t="n"/>
      <c r="M77" s="71" t="n"/>
      <c r="N77" s="71" t="n"/>
      <c r="T77" s="130" t="n"/>
      <c r="U77" s="130" t="n"/>
      <c r="V77" s="71" t="n"/>
      <c r="X77" s="71" t="n"/>
      <c r="Y77" s="495" t="n"/>
      <c r="Z77" s="70" t="n"/>
      <c r="AA77" s="70" t="n"/>
      <c r="AB77" s="70" t="n"/>
      <c r="AC77" s="70" t="n"/>
      <c r="AD77" s="494" t="n"/>
      <c r="AE77" s="71" t="n"/>
      <c r="AG77" s="71" t="n"/>
      <c r="AI77" s="71" t="n"/>
      <c r="AK77" s="71" t="n"/>
      <c r="AL77" s="71" t="n"/>
      <c r="AM77" s="71" t="n"/>
      <c r="AN77" s="71" t="n"/>
      <c r="AO77" s="71" t="n"/>
      <c r="AU77" s="130" t="n"/>
      <c r="AV77" s="130" t="n"/>
      <c r="AW77" s="71" t="n"/>
      <c r="AY77" s="71" t="n"/>
      <c r="AZ77" s="495" t="n"/>
      <c r="BA77" s="70" t="n"/>
      <c r="BB77" s="70" t="n"/>
      <c r="BC77" s="70" t="n"/>
      <c r="BD77" s="70" t="n"/>
      <c r="BE77" s="91" t="n"/>
      <c r="BF77" s="71" t="n"/>
      <c r="BG77" s="71" t="n"/>
      <c r="BH77" s="71" t="n"/>
      <c r="BI77" s="71" t="n"/>
      <c r="BJ77" s="71" t="n"/>
      <c r="BK77" s="71" t="n"/>
      <c r="BL77" s="93" t="n"/>
      <c r="BM77" s="71" t="n"/>
      <c r="BN77" s="71" t="n"/>
      <c r="BO77" s="71" t="n"/>
      <c r="BP77" s="71" t="n"/>
      <c r="BQ77" s="71" t="n"/>
      <c r="BR77" s="71" t="n"/>
      <c r="BS77" s="71" t="n"/>
      <c r="BT77" s="503" t="n"/>
      <c r="BU77" s="503" t="n"/>
      <c r="BV77" s="503" t="n"/>
      <c r="BW77" s="503" t="n"/>
      <c r="BX77" s="503" t="n"/>
      <c r="BY77" s="130" t="n"/>
      <c r="BZ77" s="130" t="n"/>
      <c r="CA77" s="71" t="n"/>
      <c r="CB77" s="71" t="n"/>
      <c r="CC77" s="71" t="n"/>
      <c r="CD77" s="10" t="n"/>
    </row>
    <row r="78" hidden="1" ht="3" customHeight="1">
      <c r="B78" s="388" t="n"/>
      <c r="C78" s="494" t="n"/>
      <c r="D78" s="71" t="n"/>
      <c r="F78" s="71" t="n"/>
      <c r="H78" s="71" t="n"/>
      <c r="J78" s="71" t="n"/>
      <c r="K78" s="71" t="n"/>
      <c r="L78" s="71" t="n"/>
      <c r="M78" s="71" t="n"/>
      <c r="N78" s="130" t="n"/>
      <c r="T78" s="130" t="n"/>
      <c r="U78" s="130" t="n"/>
      <c r="V78" s="71" t="n"/>
      <c r="X78" s="71" t="n"/>
      <c r="Y78" s="495" t="n"/>
      <c r="Z78" s="70" t="n"/>
      <c r="AA78" s="70" t="n"/>
      <c r="AB78" s="70" t="n"/>
      <c r="AC78" s="70" t="n"/>
      <c r="AD78" s="494" t="n"/>
      <c r="AE78" s="71" t="n"/>
      <c r="AG78" s="71" t="n"/>
      <c r="AI78" s="71" t="n"/>
      <c r="AK78" s="71" t="n"/>
      <c r="AL78" s="71" t="n"/>
      <c r="AM78" s="71" t="n"/>
      <c r="AN78" s="71" t="n"/>
      <c r="AO78" s="130" t="n"/>
      <c r="AU78" s="130" t="n"/>
      <c r="AV78" s="130" t="n"/>
      <c r="AW78" s="71" t="n"/>
      <c r="AY78" s="71" t="n"/>
      <c r="AZ78" s="495" t="n"/>
      <c r="BA78" s="70" t="n"/>
      <c r="BB78" s="70" t="n"/>
      <c r="BC78" s="70" t="n"/>
      <c r="BD78" s="70" t="n"/>
      <c r="BE78" s="91" t="n"/>
      <c r="BF78" s="71" t="n"/>
      <c r="BG78" s="71" t="n"/>
      <c r="BH78" s="71" t="n"/>
      <c r="BI78" s="71" t="n"/>
      <c r="BJ78" s="71" t="n"/>
      <c r="BK78" s="71" t="n"/>
      <c r="BL78" s="93" t="n"/>
      <c r="BM78" s="71" t="n"/>
      <c r="BN78" s="71" t="n"/>
      <c r="BO78" s="71" t="n"/>
      <c r="BP78" s="71" t="n"/>
      <c r="BQ78" s="71" t="n"/>
      <c r="BR78" s="71" t="n"/>
      <c r="BS78" s="130" t="n"/>
      <c r="BT78" s="503" t="n"/>
      <c r="BU78" s="503" t="n"/>
      <c r="BV78" s="503" t="n"/>
      <c r="BW78" s="503" t="n"/>
      <c r="BX78" s="503" t="n"/>
      <c r="BY78" s="130" t="n"/>
      <c r="BZ78" s="130" t="n"/>
      <c r="CA78" s="71" t="n"/>
      <c r="CB78" s="71" t="n"/>
      <c r="CC78" s="71" t="n"/>
      <c r="CD78" s="10" t="n"/>
    </row>
    <row r="79" hidden="1" ht="3" customHeight="1">
      <c r="C79" s="494" t="n"/>
      <c r="D79" s="71" t="n"/>
      <c r="F79" s="71" t="n"/>
      <c r="H79" s="71" t="n"/>
      <c r="J79" s="71" t="n"/>
      <c r="K79" s="71" t="n"/>
      <c r="L79" s="71" t="n"/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92" t="n"/>
      <c r="Z79" s="70" t="n"/>
      <c r="AA79" s="70" t="n"/>
      <c r="AB79" s="70" t="n"/>
      <c r="AC79" s="70" t="n"/>
      <c r="AD79" s="494" t="n"/>
      <c r="AE79" s="71" t="n"/>
      <c r="AG79" s="71" t="n"/>
      <c r="AI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92" t="n"/>
      <c r="BA79" s="70" t="n"/>
      <c r="BB79" s="70" t="n"/>
      <c r="BC79" s="70" t="n"/>
      <c r="BD79" s="70" t="n"/>
      <c r="BE79" s="91" t="n"/>
      <c r="BF79" s="71" t="n"/>
      <c r="BG79" s="71" t="n"/>
      <c r="BH79" s="71" t="n"/>
      <c r="BI79" s="71" t="n"/>
      <c r="BJ79" s="71" t="n"/>
      <c r="BK79" s="71" t="n"/>
      <c r="BL79" s="93" t="n"/>
      <c r="BM79" s="71" t="n"/>
      <c r="BN79" s="71" t="n"/>
      <c r="BO79" s="71" t="n"/>
      <c r="BP79" s="71" t="n"/>
      <c r="BQ79" s="71" t="n"/>
      <c r="BR79" s="71" t="n"/>
      <c r="BS79" s="71" t="n"/>
      <c r="BT79" s="71" t="n"/>
      <c r="BU79" s="71" t="n"/>
      <c r="BV79" s="71" t="n"/>
      <c r="BW79" s="71" t="n"/>
      <c r="BX79" s="71" t="n"/>
      <c r="BY79" s="71" t="n"/>
      <c r="BZ79" s="71" t="n"/>
      <c r="CA79" s="71" t="n"/>
      <c r="CB79" s="71" t="n"/>
      <c r="CC79" s="71" t="n"/>
      <c r="CD79" s="10" t="n"/>
    </row>
    <row r="80" hidden="1" ht="9" customHeight="1">
      <c r="C80" s="79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92" t="n"/>
      <c r="Z80" s="70" t="n"/>
      <c r="AA80" s="70" t="n"/>
      <c r="AB80" s="70" t="n"/>
      <c r="AC80" s="70" t="n"/>
      <c r="AD80" s="79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92" t="n"/>
      <c r="BA80" s="70" t="n"/>
      <c r="BB80" s="70" t="n"/>
      <c r="BC80" s="70" t="n"/>
      <c r="BD80" s="70" t="n"/>
      <c r="BE80" s="71" t="n"/>
      <c r="BF80" s="71" t="n"/>
      <c r="BG80" s="71" t="n"/>
      <c r="BH80" s="71" t="n"/>
      <c r="BI80" s="71" t="n"/>
      <c r="BJ80" s="71" t="n"/>
      <c r="BK80" s="71" t="n"/>
      <c r="BL80" s="71" t="n"/>
      <c r="BM80" s="71" t="n"/>
      <c r="BN80" s="71" t="n"/>
      <c r="BO80" s="71" t="n"/>
      <c r="BP80" s="71" t="n"/>
      <c r="BQ80" s="71" t="n"/>
      <c r="BR80" s="71" t="n"/>
      <c r="BS80" s="71" t="n"/>
      <c r="BT80" s="71" t="n"/>
      <c r="BU80" s="71" t="n"/>
      <c r="BV80" s="71" t="n"/>
      <c r="BW80" s="71" t="n"/>
      <c r="BX80" s="71" t="n"/>
      <c r="BY80" s="71" t="n"/>
      <c r="BZ80" s="71" t="n"/>
      <c r="CA80" s="71" t="n"/>
      <c r="CB80" s="71" t="n"/>
      <c r="CC80" s="71" t="n"/>
      <c r="CD80" s="10" t="n"/>
    </row>
    <row r="81" hidden="1" ht="3" customHeight="1">
      <c r="B81" s="388" t="n"/>
      <c r="C81" s="129" t="inlineStr">
        <is>
          <t>PMT</t>
        </is>
      </c>
      <c r="D81" s="71" t="n"/>
      <c r="E81" s="130" t="inlineStr">
        <is>
          <t>=</t>
        </is>
      </c>
      <c r="F81" s="71" t="n"/>
      <c r="G81" s="193">
        <f>G65</f>
        <v/>
      </c>
      <c r="H81" s="71" t="n"/>
      <c r="I81" s="130" t="inlineStr">
        <is>
          <t>x</t>
        </is>
      </c>
      <c r="J81" s="71" t="n"/>
      <c r="K81" s="71" t="n"/>
      <c r="L81" s="71" t="n"/>
      <c r="M81" s="71" t="n"/>
      <c r="N81" s="130" t="n"/>
      <c r="O81" s="501">
        <f>POWER(O65,U65)</f>
        <v/>
      </c>
      <c r="V81" s="71" t="n"/>
      <c r="W81" s="130" t="inlineStr">
        <is>
          <t>x</t>
        </is>
      </c>
      <c r="X81" s="90" t="n"/>
      <c r="Y81" s="502">
        <f>Y65</f>
        <v/>
      </c>
      <c r="Z81" s="70" t="n"/>
      <c r="AA81" s="70" t="n"/>
      <c r="AB81" s="70" t="n"/>
      <c r="AC81" s="70" t="n"/>
      <c r="AD81" s="129" t="inlineStr">
        <is>
          <t>PMT</t>
        </is>
      </c>
      <c r="AE81" s="71" t="n"/>
      <c r="AF81" s="130" t="inlineStr">
        <is>
          <t>=</t>
        </is>
      </c>
      <c r="AG81" s="71" t="n"/>
      <c r="AH81" s="193">
        <f>AH65</f>
        <v/>
      </c>
      <c r="AI81" s="71" t="n"/>
      <c r="AJ81" s="130" t="inlineStr">
        <is>
          <t>x</t>
        </is>
      </c>
      <c r="AK81" s="71" t="n"/>
      <c r="AL81" s="71" t="n"/>
      <c r="AM81" s="71" t="n"/>
      <c r="AN81" s="71" t="n"/>
      <c r="AO81" s="130" t="n"/>
      <c r="AP81" s="501">
        <f>POWER(AP65,AV65)</f>
        <v/>
      </c>
      <c r="AW81" s="71" t="n"/>
      <c r="AX81" s="130" t="inlineStr">
        <is>
          <t>x</t>
        </is>
      </c>
      <c r="AY81" s="90" t="n"/>
      <c r="AZ81" s="502">
        <f>AZ65</f>
        <v/>
      </c>
      <c r="BA81" s="70" t="n"/>
      <c r="BB81" s="70" t="n"/>
      <c r="BC81" s="70" t="n"/>
      <c r="BD81" s="70" t="n"/>
      <c r="BE81" s="91" t="n"/>
      <c r="BF81" s="71" t="n"/>
      <c r="BG81" s="71" t="n"/>
      <c r="BH81" s="71" t="n"/>
      <c r="BI81" s="71" t="n"/>
      <c r="BJ81" s="71" t="n"/>
      <c r="BK81" s="71" t="n"/>
      <c r="BL81" s="93" t="n"/>
      <c r="BM81" s="71" t="n"/>
      <c r="BN81" s="71" t="n"/>
      <c r="BO81" s="71" t="n"/>
      <c r="BP81" s="71" t="n"/>
      <c r="BQ81" s="71" t="n"/>
      <c r="BR81" s="71" t="n"/>
      <c r="BS81" s="130" t="n"/>
      <c r="BT81" s="503" t="n"/>
      <c r="BU81" s="503" t="n"/>
      <c r="BV81" s="503" t="n"/>
      <c r="BW81" s="503" t="n"/>
      <c r="BX81" s="503" t="n"/>
      <c r="BY81" s="503" t="n"/>
      <c r="BZ81" s="503" t="n"/>
      <c r="CA81" s="71" t="n"/>
      <c r="CB81" s="71" t="n"/>
      <c r="CC81" s="90" t="n"/>
      <c r="CD81" s="500" t="n"/>
    </row>
    <row r="82" hidden="1" ht="3" customHeight="1">
      <c r="B82" s="388" t="n"/>
      <c r="C82" s="494" t="n"/>
      <c r="D82" s="71" t="n"/>
      <c r="F82" s="71" t="n"/>
      <c r="H82" s="71" t="n"/>
      <c r="J82" s="71" t="n"/>
      <c r="K82" s="71" t="n"/>
      <c r="L82" s="71" t="n"/>
      <c r="M82" s="71" t="n"/>
      <c r="N82" s="130" t="n"/>
      <c r="V82" s="71" t="n"/>
      <c r="X82" s="90" t="n"/>
      <c r="Y82" s="495" t="n"/>
      <c r="Z82" s="70" t="n"/>
      <c r="AA82" s="70" t="n"/>
      <c r="AB82" s="70" t="n"/>
      <c r="AC82" s="70" t="n"/>
      <c r="AD82" s="494" t="n"/>
      <c r="AE82" s="71" t="n"/>
      <c r="AG82" s="71" t="n"/>
      <c r="AI82" s="71" t="n"/>
      <c r="AK82" s="71" t="n"/>
      <c r="AL82" s="71" t="n"/>
      <c r="AM82" s="71" t="n"/>
      <c r="AN82" s="71" t="n"/>
      <c r="AO82" s="130" t="n"/>
      <c r="AW82" s="71" t="n"/>
      <c r="AY82" s="90" t="n"/>
      <c r="AZ82" s="495" t="n"/>
      <c r="BA82" s="70" t="n"/>
      <c r="BB82" s="70" t="n"/>
      <c r="BC82" s="70" t="n"/>
      <c r="BD82" s="70" t="n"/>
      <c r="BE82" s="91" t="n"/>
      <c r="BF82" s="71" t="n"/>
      <c r="BG82" s="71" t="n"/>
      <c r="BH82" s="71" t="n"/>
      <c r="BI82" s="71" t="n"/>
      <c r="BJ82" s="71" t="n"/>
      <c r="BK82" s="71" t="n"/>
      <c r="BL82" s="93" t="n"/>
      <c r="BM82" s="71" t="n"/>
      <c r="BN82" s="71" t="n"/>
      <c r="BO82" s="71" t="n"/>
      <c r="BP82" s="71" t="n"/>
      <c r="BQ82" s="71" t="n"/>
      <c r="BR82" s="71" t="n"/>
      <c r="BS82" s="130" t="n"/>
      <c r="BT82" s="503" t="n"/>
      <c r="BU82" s="503" t="n"/>
      <c r="BV82" s="503" t="n"/>
      <c r="BW82" s="503" t="n"/>
      <c r="BX82" s="503" t="n"/>
      <c r="BY82" s="503" t="n"/>
      <c r="BZ82" s="503" t="n"/>
      <c r="CA82" s="71" t="n"/>
      <c r="CB82" s="71" t="n"/>
      <c r="CC82" s="90" t="n"/>
      <c r="CD82" s="500" t="n"/>
    </row>
    <row r="83" hidden="1" ht="3" customHeight="1">
      <c r="B83" s="388" t="n"/>
      <c r="C83" s="494" t="n"/>
      <c r="D83" s="71" t="n"/>
      <c r="F83" s="71" t="n"/>
      <c r="H83" s="71" t="n"/>
      <c r="J83" s="71" t="n"/>
      <c r="K83" s="71" t="n"/>
      <c r="L83" s="71" t="n"/>
      <c r="M83" s="71" t="n"/>
      <c r="N83" s="130" t="n"/>
      <c r="V83" s="71" t="n"/>
      <c r="X83" s="90" t="n"/>
      <c r="Y83" s="495" t="n"/>
      <c r="Z83" s="70" t="n"/>
      <c r="AA83" s="70" t="n"/>
      <c r="AB83" s="70" t="n"/>
      <c r="AC83" s="70" t="n"/>
      <c r="AD83" s="494" t="n"/>
      <c r="AE83" s="71" t="n"/>
      <c r="AG83" s="71" t="n"/>
      <c r="AI83" s="71" t="n"/>
      <c r="AK83" s="71" t="n"/>
      <c r="AL83" s="71" t="n"/>
      <c r="AM83" s="71" t="n"/>
      <c r="AN83" s="71" t="n"/>
      <c r="AO83" s="130" t="n"/>
      <c r="AW83" s="71" t="n"/>
      <c r="AY83" s="90" t="n"/>
      <c r="AZ83" s="495" t="n"/>
      <c r="BA83" s="70" t="n"/>
      <c r="BB83" s="70" t="n"/>
      <c r="BC83" s="70" t="n"/>
      <c r="BD83" s="70" t="n"/>
      <c r="BE83" s="91" t="n"/>
      <c r="BF83" s="71" t="n"/>
      <c r="BG83" s="71" t="n"/>
      <c r="BH83" s="71" t="n"/>
      <c r="BI83" s="71" t="n"/>
      <c r="BJ83" s="71" t="n"/>
      <c r="BK83" s="71" t="n"/>
      <c r="BL83" s="93" t="n"/>
      <c r="BM83" s="71" t="n"/>
      <c r="BN83" s="71" t="n"/>
      <c r="BO83" s="71" t="n"/>
      <c r="BP83" s="71" t="n"/>
      <c r="BQ83" s="71" t="n"/>
      <c r="BR83" s="71" t="n"/>
      <c r="BS83" s="130" t="n"/>
      <c r="BT83" s="503" t="n"/>
      <c r="BU83" s="503" t="n"/>
      <c r="BV83" s="503" t="n"/>
      <c r="BW83" s="503" t="n"/>
      <c r="BX83" s="503" t="n"/>
      <c r="BY83" s="503" t="n"/>
      <c r="BZ83" s="503" t="n"/>
      <c r="CA83" s="71" t="n"/>
      <c r="CB83" s="71" t="n"/>
      <c r="CC83" s="90" t="n"/>
      <c r="CD83" s="500" t="n"/>
    </row>
    <row r="84" hidden="1" ht="3" customHeight="1">
      <c r="B84" s="388" t="n"/>
      <c r="C84" s="494" t="n"/>
      <c r="D84" s="71" t="n"/>
      <c r="F84" s="71" t="n"/>
      <c r="H84" s="71" t="n"/>
      <c r="J84" s="71" t="n"/>
      <c r="K84" s="71" t="n"/>
      <c r="L84" s="71" t="n"/>
      <c r="M84" s="71" t="n"/>
      <c r="N84" s="71" t="n"/>
      <c r="V84" s="71" t="n"/>
      <c r="X84" s="71" t="n"/>
      <c r="Y84" s="495" t="n"/>
      <c r="Z84" s="70" t="n"/>
      <c r="AA84" s="70" t="n"/>
      <c r="AB84" s="70" t="n"/>
      <c r="AC84" s="70" t="n"/>
      <c r="AD84" s="494" t="n"/>
      <c r="AE84" s="71" t="n"/>
      <c r="AG84" s="71" t="n"/>
      <c r="AI84" s="71" t="n"/>
      <c r="AK84" s="71" t="n"/>
      <c r="AL84" s="71" t="n"/>
      <c r="AM84" s="71" t="n"/>
      <c r="AN84" s="71" t="n"/>
      <c r="AO84" s="71" t="n"/>
      <c r="AW84" s="71" t="n"/>
      <c r="AY84" s="71" t="n"/>
      <c r="AZ84" s="495" t="n"/>
      <c r="BA84" s="70" t="n"/>
      <c r="BB84" s="70" t="n"/>
      <c r="BC84" s="70" t="n"/>
      <c r="BD84" s="70" t="n"/>
      <c r="BE84" s="91" t="n"/>
      <c r="BF84" s="71" t="n"/>
      <c r="BG84" s="71" t="n"/>
      <c r="BH84" s="71" t="n"/>
      <c r="BI84" s="71" t="n"/>
      <c r="BJ84" s="71" t="n"/>
      <c r="BK84" s="71" t="n"/>
      <c r="BL84" s="93" t="n"/>
      <c r="BM84" s="71" t="n"/>
      <c r="BN84" s="71" t="n"/>
      <c r="BO84" s="71" t="n"/>
      <c r="BP84" s="71" t="n"/>
      <c r="BQ84" s="71" t="n"/>
      <c r="BR84" s="71" t="n"/>
      <c r="BS84" s="71" t="n"/>
      <c r="BT84" s="503" t="n"/>
      <c r="BU84" s="503" t="n"/>
      <c r="BV84" s="503" t="n"/>
      <c r="BW84" s="503" t="n"/>
      <c r="BX84" s="503" t="n"/>
      <c r="BY84" s="503" t="n"/>
      <c r="BZ84" s="503" t="n"/>
      <c r="CA84" s="71" t="n"/>
      <c r="CB84" s="71" t="n"/>
      <c r="CC84" s="71" t="n"/>
      <c r="CD84" s="500" t="n"/>
    </row>
    <row r="85" hidden="1" ht="3" customHeight="1">
      <c r="B85" s="388" t="n"/>
      <c r="C85" s="494" t="n"/>
      <c r="D85" s="71" t="n"/>
      <c r="F85" s="71" t="n"/>
      <c r="H85" s="71" t="n"/>
      <c r="J85" s="71" t="n"/>
      <c r="K85" s="71" t="n"/>
      <c r="L85" s="71" t="n"/>
      <c r="M85" s="71" t="n"/>
      <c r="N85" s="71" t="n"/>
      <c r="V85" s="71" t="n"/>
      <c r="X85" s="71" t="n"/>
      <c r="Y85" s="495" t="n"/>
      <c r="Z85" s="70" t="n"/>
      <c r="AA85" s="70" t="n"/>
      <c r="AB85" s="70" t="n"/>
      <c r="AC85" s="70" t="n"/>
      <c r="AD85" s="494" t="n"/>
      <c r="AE85" s="71" t="n"/>
      <c r="AG85" s="71" t="n"/>
      <c r="AI85" s="71" t="n"/>
      <c r="AK85" s="71" t="n"/>
      <c r="AL85" s="71" t="n"/>
      <c r="AM85" s="71" t="n"/>
      <c r="AN85" s="71" t="n"/>
      <c r="AO85" s="71" t="n"/>
      <c r="AW85" s="71" t="n"/>
      <c r="AY85" s="71" t="n"/>
      <c r="AZ85" s="495" t="n"/>
      <c r="BA85" s="70" t="n"/>
      <c r="BB85" s="70" t="n"/>
      <c r="BC85" s="70" t="n"/>
      <c r="BD85" s="70" t="n"/>
      <c r="BE85" s="91" t="n"/>
      <c r="BF85" s="71" t="n"/>
      <c r="BG85" s="71" t="n"/>
      <c r="BH85" s="71" t="n"/>
      <c r="BI85" s="71" t="n"/>
      <c r="BJ85" s="71" t="n"/>
      <c r="BK85" s="71" t="n"/>
      <c r="BL85" s="93" t="n"/>
      <c r="BM85" s="71" t="n"/>
      <c r="BN85" s="71" t="n"/>
      <c r="BO85" s="71" t="n"/>
      <c r="BP85" s="71" t="n"/>
      <c r="BQ85" s="71" t="n"/>
      <c r="BR85" s="71" t="n"/>
      <c r="BS85" s="71" t="n"/>
      <c r="BT85" s="503" t="n"/>
      <c r="BU85" s="503" t="n"/>
      <c r="BV85" s="503" t="n"/>
      <c r="BW85" s="503" t="n"/>
      <c r="BX85" s="503" t="n"/>
      <c r="BY85" s="503" t="n"/>
      <c r="BZ85" s="503" t="n"/>
      <c r="CA85" s="71" t="n"/>
      <c r="CB85" s="71" t="n"/>
      <c r="CC85" s="71" t="n"/>
      <c r="CD85" s="500" t="n"/>
    </row>
    <row r="86" hidden="1" ht="3" customHeight="1">
      <c r="B86" s="388" t="n"/>
      <c r="C86" s="494" t="n"/>
      <c r="D86" s="71" t="n"/>
      <c r="F86" s="71" t="n"/>
      <c r="H86" s="71" t="n"/>
      <c r="J86" s="71" t="n"/>
      <c r="K86" s="71" t="n"/>
      <c r="L86" s="71" t="n"/>
      <c r="M86" s="71" t="n"/>
      <c r="N86" s="130" t="n"/>
      <c r="V86" s="71" t="n"/>
      <c r="X86" s="71" t="n"/>
      <c r="Y86" s="495" t="n"/>
      <c r="Z86" s="70" t="n"/>
      <c r="AA86" s="70" t="n"/>
      <c r="AB86" s="70" t="n"/>
      <c r="AC86" s="70" t="n"/>
      <c r="AD86" s="494" t="n"/>
      <c r="AE86" s="71" t="n"/>
      <c r="AG86" s="71" t="n"/>
      <c r="AI86" s="71" t="n"/>
      <c r="AK86" s="71" t="n"/>
      <c r="AL86" s="71" t="n"/>
      <c r="AM86" s="71" t="n"/>
      <c r="AN86" s="71" t="n"/>
      <c r="AO86" s="130" t="n"/>
      <c r="AW86" s="71" t="n"/>
      <c r="AY86" s="71" t="n"/>
      <c r="AZ86" s="495" t="n"/>
      <c r="BA86" s="70" t="n"/>
      <c r="BB86" s="70" t="n"/>
      <c r="BC86" s="70" t="n"/>
      <c r="BD86" s="70" t="n"/>
      <c r="BE86" s="91" t="n"/>
      <c r="BF86" s="71" t="n"/>
      <c r="BG86" s="71" t="n"/>
      <c r="BH86" s="71" t="n"/>
      <c r="BI86" s="71" t="n"/>
      <c r="BJ86" s="71" t="n"/>
      <c r="BK86" s="71" t="n"/>
      <c r="BL86" s="93" t="n"/>
      <c r="BM86" s="71" t="n"/>
      <c r="BN86" s="71" t="n"/>
      <c r="BO86" s="71" t="n"/>
      <c r="BP86" s="71" t="n"/>
      <c r="BQ86" s="71" t="n"/>
      <c r="BR86" s="71" t="n"/>
      <c r="BS86" s="130" t="n"/>
      <c r="BT86" s="503" t="n"/>
      <c r="BU86" s="503" t="n"/>
      <c r="BV86" s="503" t="n"/>
      <c r="BW86" s="503" t="n"/>
      <c r="BX86" s="503" t="n"/>
      <c r="BY86" s="503" t="n"/>
      <c r="BZ86" s="503" t="n"/>
      <c r="CA86" s="71" t="n"/>
      <c r="CB86" s="71" t="n"/>
      <c r="CC86" s="71" t="n"/>
      <c r="CD86" s="500" t="n"/>
    </row>
    <row r="87" hidden="1" ht="3" customHeight="1">
      <c r="B87" s="388" t="n"/>
      <c r="C87" s="494" t="n"/>
      <c r="D87" s="130" t="n"/>
      <c r="F87" s="71" t="n"/>
      <c r="H87" s="71" t="n"/>
      <c r="J87" s="71" t="n"/>
      <c r="K87" s="71" t="n"/>
      <c r="L87" s="71" t="n"/>
      <c r="M87" s="71" t="n"/>
      <c r="N87" s="71" t="n"/>
      <c r="O87" s="71" t="n"/>
      <c r="P87" s="71" t="n"/>
      <c r="Q87" s="71" t="n"/>
      <c r="R87" s="71" t="n"/>
      <c r="S87" s="71" t="n"/>
      <c r="T87" s="71" t="n"/>
      <c r="U87" s="71" t="n"/>
      <c r="V87" s="71" t="n"/>
      <c r="W87" s="71" t="n"/>
      <c r="X87" s="71" t="n"/>
      <c r="Y87" s="92" t="n"/>
      <c r="Z87" s="97" t="n"/>
      <c r="AA87" s="70" t="n"/>
      <c r="AB87" s="70" t="n"/>
      <c r="AC87" s="70" t="n"/>
      <c r="AD87" s="494" t="n"/>
      <c r="AE87" s="130" t="n"/>
      <c r="AG87" s="71" t="n"/>
      <c r="AI87" s="71" t="n"/>
      <c r="AK87" s="71" t="n"/>
      <c r="AL87" s="71" t="n"/>
      <c r="AM87" s="71" t="n"/>
      <c r="AN87" s="71" t="n"/>
      <c r="AO87" s="71" t="n"/>
      <c r="AP87" s="71" t="n"/>
      <c r="AQ87" s="71" t="n"/>
      <c r="AR87" s="71" t="n"/>
      <c r="AS87" s="71" t="n"/>
      <c r="AT87" s="71" t="n"/>
      <c r="AU87" s="71" t="n"/>
      <c r="AV87" s="71" t="n"/>
      <c r="AW87" s="71" t="n"/>
      <c r="AX87" s="71" t="n"/>
      <c r="AY87" s="71" t="n"/>
      <c r="AZ87" s="92" t="n"/>
      <c r="BA87" s="70" t="n"/>
      <c r="BB87" s="70" t="n"/>
      <c r="BC87" s="70" t="n"/>
      <c r="BD87" s="70" t="n"/>
      <c r="BE87" s="91" t="n"/>
      <c r="BF87" s="130" t="n"/>
      <c r="BG87" s="71" t="n"/>
      <c r="BH87" s="71" t="n"/>
      <c r="BI87" s="71" t="n"/>
      <c r="BJ87" s="71" t="n"/>
      <c r="BK87" s="71" t="n"/>
      <c r="BL87" s="93" t="n"/>
      <c r="BM87" s="71" t="n"/>
      <c r="BN87" s="71" t="n"/>
      <c r="BO87" s="71" t="n"/>
      <c r="BP87" s="71" t="n"/>
      <c r="BQ87" s="71" t="n"/>
      <c r="BR87" s="71" t="n"/>
      <c r="BS87" s="71" t="n"/>
      <c r="BT87" s="71" t="n"/>
      <c r="BU87" s="71" t="n"/>
      <c r="BV87" s="71" t="n"/>
      <c r="BW87" s="71" t="n"/>
      <c r="BX87" s="71" t="n"/>
      <c r="BY87" s="71" t="n"/>
      <c r="BZ87" s="71" t="n"/>
      <c r="CA87" s="71" t="n"/>
      <c r="CB87" s="71" t="n"/>
      <c r="CC87" s="71" t="n"/>
      <c r="CD87" s="10" t="n"/>
    </row>
    <row r="88" hidden="1" ht="3" customHeight="1">
      <c r="B88" s="388" t="n"/>
      <c r="C88" s="494" t="n"/>
      <c r="D88" s="130" t="n"/>
      <c r="F88" s="71" t="n"/>
      <c r="H88" s="71" t="n"/>
      <c r="J88" s="71" t="n"/>
      <c r="K88" s="71" t="n"/>
      <c r="L88" s="71" t="n"/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92" t="n"/>
      <c r="Z88" s="98" t="n"/>
      <c r="AA88" s="70" t="n"/>
      <c r="AB88" s="70" t="n"/>
      <c r="AC88" s="70" t="n"/>
      <c r="AD88" s="494" t="n"/>
      <c r="AE88" s="130" t="n"/>
      <c r="AG88" s="71" t="n"/>
      <c r="AI88" s="71" t="n"/>
      <c r="AK88" s="71" t="n"/>
      <c r="AL88" s="71" t="n"/>
      <c r="AM88" s="71" t="n"/>
      <c r="AN88" s="71" t="n"/>
      <c r="AO88" s="71" t="n"/>
      <c r="AP88" s="71" t="n"/>
      <c r="AQ88" s="71" t="n"/>
      <c r="AR88" s="71" t="n"/>
      <c r="AS88" s="71" t="n"/>
      <c r="AT88" s="71" t="n"/>
      <c r="AU88" s="71" t="n"/>
      <c r="AV88" s="71" t="n"/>
      <c r="AW88" s="71" t="n"/>
      <c r="AX88" s="71" t="n"/>
      <c r="AY88" s="71" t="n"/>
      <c r="AZ88" s="92" t="n"/>
      <c r="BA88" s="70" t="n"/>
      <c r="BB88" s="70" t="n"/>
      <c r="BC88" s="70" t="n"/>
      <c r="BD88" s="70" t="n"/>
      <c r="BE88" s="91" t="n"/>
      <c r="BF88" s="130" t="n"/>
      <c r="BG88" s="71" t="n"/>
      <c r="BH88" s="71" t="n"/>
      <c r="BI88" s="71" t="n"/>
      <c r="BJ88" s="71" t="n"/>
      <c r="BK88" s="71" t="n"/>
      <c r="BL88" s="93" t="n"/>
      <c r="BM88" s="71" t="n"/>
      <c r="BN88" s="71" t="n"/>
      <c r="BO88" s="71" t="n"/>
      <c r="BP88" s="71" t="n"/>
      <c r="BQ88" s="71" t="n"/>
      <c r="BR88" s="71" t="n"/>
      <c r="BS88" s="71" t="n"/>
      <c r="BT88" s="71" t="n"/>
      <c r="BU88" s="71" t="n"/>
      <c r="BV88" s="71" t="n"/>
      <c r="BW88" s="71" t="n"/>
      <c r="BX88" s="71" t="n"/>
      <c r="BY88" s="71" t="n"/>
      <c r="BZ88" s="71" t="n"/>
      <c r="CA88" s="71" t="n"/>
      <c r="CB88" s="71" t="n"/>
      <c r="CC88" s="71" t="n"/>
      <c r="CD88" s="10" t="n"/>
    </row>
    <row r="89" hidden="1" ht="3" customHeight="1">
      <c r="B89" s="388" t="n"/>
      <c r="C89" s="494" t="n"/>
      <c r="D89" s="71" t="n"/>
      <c r="F89" s="71" t="n"/>
      <c r="H89" s="71" t="n"/>
      <c r="J89" s="71" t="n"/>
      <c r="K89" s="71" t="n"/>
      <c r="L89" s="71" t="n"/>
      <c r="M89" s="71" t="n"/>
      <c r="N89" s="130" t="n"/>
      <c r="O89" s="501">
        <f>O81</f>
        <v/>
      </c>
      <c r="V89" s="71" t="n"/>
      <c r="W89" s="130" t="inlineStr">
        <is>
          <t>-</t>
        </is>
      </c>
      <c r="X89" s="90" t="n"/>
      <c r="Y89" s="184" t="n">
        <v>1</v>
      </c>
      <c r="Z89" s="70" t="n"/>
      <c r="AA89" s="70" t="n"/>
      <c r="AB89" s="70" t="n"/>
      <c r="AC89" s="70" t="n"/>
      <c r="AD89" s="494" t="n"/>
      <c r="AE89" s="71" t="n"/>
      <c r="AG89" s="71" t="n"/>
      <c r="AI89" s="71" t="n"/>
      <c r="AK89" s="71" t="n"/>
      <c r="AL89" s="71" t="n"/>
      <c r="AM89" s="71" t="n"/>
      <c r="AN89" s="71" t="n"/>
      <c r="AO89" s="130" t="n"/>
      <c r="AP89" s="501">
        <f>AP81</f>
        <v/>
      </c>
      <c r="AW89" s="71" t="n"/>
      <c r="AX89" s="130" t="inlineStr">
        <is>
          <t>-</t>
        </is>
      </c>
      <c r="AY89" s="90" t="n"/>
      <c r="AZ89" s="184" t="n">
        <v>1</v>
      </c>
      <c r="BA89" s="70" t="n"/>
      <c r="BB89" s="70" t="n"/>
      <c r="BC89" s="70" t="n"/>
      <c r="BD89" s="70" t="n"/>
      <c r="BE89" s="91" t="n"/>
      <c r="BF89" s="71" t="n"/>
      <c r="BG89" s="71" t="n"/>
      <c r="BH89" s="71" t="n"/>
      <c r="BI89" s="71" t="n"/>
      <c r="BJ89" s="71" t="n"/>
      <c r="BK89" s="71" t="n"/>
      <c r="BL89" s="93" t="n"/>
      <c r="BM89" s="71" t="n"/>
      <c r="BN89" s="71" t="n"/>
      <c r="BO89" s="71" t="n"/>
      <c r="BP89" s="71" t="n"/>
      <c r="BQ89" s="71" t="n"/>
      <c r="BR89" s="71" t="n"/>
      <c r="BS89" s="130" t="n"/>
      <c r="BT89" s="503" t="n"/>
      <c r="BU89" s="503" t="n"/>
      <c r="BV89" s="503" t="n"/>
      <c r="BW89" s="503" t="n"/>
      <c r="BX89" s="503" t="n"/>
      <c r="BY89" s="503" t="n"/>
      <c r="BZ89" s="503" t="n"/>
      <c r="CA89" s="71" t="n"/>
      <c r="CB89" s="71" t="n"/>
      <c r="CC89" s="90" t="n"/>
      <c r="CD89" s="10" t="n"/>
    </row>
    <row r="90" hidden="1" ht="3" customHeight="1">
      <c r="B90" s="388" t="n"/>
      <c r="C90" s="494" t="n"/>
      <c r="D90" s="71" t="n"/>
      <c r="F90" s="71" t="n"/>
      <c r="H90" s="71" t="n"/>
      <c r="J90" s="71" t="n"/>
      <c r="K90" s="71" t="n"/>
      <c r="L90" s="71" t="n"/>
      <c r="M90" s="71" t="n"/>
      <c r="N90" s="130" t="n"/>
      <c r="V90" s="71" t="n"/>
      <c r="X90" s="90" t="n"/>
      <c r="Y90" s="495" t="n"/>
      <c r="Z90" s="70" t="n"/>
      <c r="AA90" s="70" t="n"/>
      <c r="AB90" s="70" t="n"/>
      <c r="AC90" s="70" t="n"/>
      <c r="AD90" s="494" t="n"/>
      <c r="AE90" s="71" t="n"/>
      <c r="AG90" s="71" t="n"/>
      <c r="AI90" s="71" t="n"/>
      <c r="AK90" s="71" t="n"/>
      <c r="AL90" s="71" t="n"/>
      <c r="AM90" s="71" t="n"/>
      <c r="AN90" s="71" t="n"/>
      <c r="AO90" s="130" t="n"/>
      <c r="AW90" s="71" t="n"/>
      <c r="AY90" s="90" t="n"/>
      <c r="AZ90" s="495" t="n"/>
      <c r="BA90" s="70" t="n"/>
      <c r="BB90" s="70" t="n"/>
      <c r="BC90" s="70" t="n"/>
      <c r="BD90" s="70" t="n"/>
      <c r="BE90" s="91" t="n"/>
      <c r="BF90" s="71" t="n"/>
      <c r="BG90" s="71" t="n"/>
      <c r="BH90" s="71" t="n"/>
      <c r="BI90" s="71" t="n"/>
      <c r="BJ90" s="71" t="n"/>
      <c r="BK90" s="71" t="n"/>
      <c r="BL90" s="93" t="n"/>
      <c r="BM90" s="71" t="n"/>
      <c r="BN90" s="71" t="n"/>
      <c r="BO90" s="71" t="n"/>
      <c r="BP90" s="71" t="n"/>
      <c r="BQ90" s="71" t="n"/>
      <c r="BR90" s="71" t="n"/>
      <c r="BS90" s="130" t="n"/>
      <c r="BT90" s="503" t="n"/>
      <c r="BU90" s="503" t="n"/>
      <c r="BV90" s="503" t="n"/>
      <c r="BW90" s="503" t="n"/>
      <c r="BX90" s="503" t="n"/>
      <c r="BY90" s="503" t="n"/>
      <c r="BZ90" s="503" t="n"/>
      <c r="CA90" s="71" t="n"/>
      <c r="CB90" s="71" t="n"/>
      <c r="CC90" s="90" t="n"/>
      <c r="CD90" s="10" t="n"/>
    </row>
    <row r="91" hidden="1" ht="3" customHeight="1">
      <c r="B91" s="388" t="n"/>
      <c r="C91" s="494" t="n"/>
      <c r="D91" s="71" t="n"/>
      <c r="F91" s="71" t="n"/>
      <c r="H91" s="71" t="n"/>
      <c r="J91" s="71" t="n"/>
      <c r="K91" s="71" t="n"/>
      <c r="L91" s="71" t="n"/>
      <c r="M91" s="71" t="n"/>
      <c r="N91" s="130" t="n"/>
      <c r="V91" s="71" t="n"/>
      <c r="X91" s="90" t="n"/>
      <c r="Y91" s="495" t="n"/>
      <c r="Z91" s="70" t="n"/>
      <c r="AA91" s="70" t="n"/>
      <c r="AB91" s="70" t="n"/>
      <c r="AC91" s="70" t="n"/>
      <c r="AD91" s="494" t="n"/>
      <c r="AE91" s="71" t="n"/>
      <c r="AG91" s="71" t="n"/>
      <c r="AI91" s="71" t="n"/>
      <c r="AK91" s="71" t="n"/>
      <c r="AL91" s="71" t="n"/>
      <c r="AM91" s="71" t="n"/>
      <c r="AN91" s="71" t="n"/>
      <c r="AO91" s="130" t="n"/>
      <c r="AW91" s="71" t="n"/>
      <c r="AY91" s="90" t="n"/>
      <c r="AZ91" s="495" t="n"/>
      <c r="BA91" s="70" t="n"/>
      <c r="BB91" s="70" t="n"/>
      <c r="BC91" s="70" t="n"/>
      <c r="BD91" s="70" t="n"/>
      <c r="BE91" s="91" t="n"/>
      <c r="BF91" s="71" t="n"/>
      <c r="BG91" s="71" t="n"/>
      <c r="BH91" s="71" t="n"/>
      <c r="BI91" s="71" t="n"/>
      <c r="BJ91" s="71" t="n"/>
      <c r="BK91" s="71" t="n"/>
      <c r="BL91" s="93" t="n"/>
      <c r="BM91" s="71" t="n"/>
      <c r="BN91" s="71" t="n"/>
      <c r="BO91" s="71" t="n"/>
      <c r="BP91" s="71" t="n"/>
      <c r="BQ91" s="71" t="n"/>
      <c r="BR91" s="71" t="n"/>
      <c r="BS91" s="130" t="n"/>
      <c r="BT91" s="503" t="n"/>
      <c r="BU91" s="503" t="n"/>
      <c r="BV91" s="503" t="n"/>
      <c r="BW91" s="503" t="n"/>
      <c r="BX91" s="503" t="n"/>
      <c r="BY91" s="503" t="n"/>
      <c r="BZ91" s="503" t="n"/>
      <c r="CA91" s="71" t="n"/>
      <c r="CB91" s="71" t="n"/>
      <c r="CC91" s="90" t="n"/>
      <c r="CD91" s="10" t="n"/>
    </row>
    <row r="92" hidden="1" ht="3" customHeight="1">
      <c r="B92" s="388" t="n"/>
      <c r="C92" s="494" t="n"/>
      <c r="D92" s="71" t="n"/>
      <c r="F92" s="71" t="n"/>
      <c r="H92" s="71" t="n"/>
      <c r="J92" s="71" t="n"/>
      <c r="K92" s="71" t="n"/>
      <c r="L92" s="71" t="n"/>
      <c r="M92" s="71" t="n"/>
      <c r="N92" s="71" t="n"/>
      <c r="V92" s="71" t="n"/>
      <c r="X92" s="71" t="n"/>
      <c r="Y92" s="495" t="n"/>
      <c r="Z92" s="70" t="n"/>
      <c r="AA92" s="70" t="n"/>
      <c r="AB92" s="70" t="n"/>
      <c r="AC92" s="70" t="n"/>
      <c r="AD92" s="494" t="n"/>
      <c r="AE92" s="71" t="n"/>
      <c r="AG92" s="71" t="n"/>
      <c r="AI92" s="71" t="n"/>
      <c r="AK92" s="71" t="n"/>
      <c r="AL92" s="71" t="n"/>
      <c r="AM92" s="71" t="n"/>
      <c r="AN92" s="71" t="n"/>
      <c r="AO92" s="71" t="n"/>
      <c r="AW92" s="71" t="n"/>
      <c r="AY92" s="71" t="n"/>
      <c r="AZ92" s="495" t="n"/>
      <c r="BA92" s="70" t="n"/>
      <c r="BB92" s="70" t="n"/>
      <c r="BC92" s="70" t="n"/>
      <c r="BD92" s="70" t="n"/>
      <c r="BE92" s="91" t="n"/>
      <c r="BF92" s="71" t="n"/>
      <c r="BG92" s="71" t="n"/>
      <c r="BH92" s="71" t="n"/>
      <c r="BI92" s="71" t="n"/>
      <c r="BJ92" s="71" t="n"/>
      <c r="BK92" s="71" t="n"/>
      <c r="BL92" s="93" t="n"/>
      <c r="BM92" s="71" t="n"/>
      <c r="BN92" s="71" t="n"/>
      <c r="BO92" s="71" t="n"/>
      <c r="BP92" s="71" t="n"/>
      <c r="BQ92" s="71" t="n"/>
      <c r="BR92" s="71" t="n"/>
      <c r="BS92" s="71" t="n"/>
      <c r="BT92" s="503" t="n"/>
      <c r="BU92" s="503" t="n"/>
      <c r="BV92" s="503" t="n"/>
      <c r="BW92" s="503" t="n"/>
      <c r="BX92" s="503" t="n"/>
      <c r="BY92" s="503" t="n"/>
      <c r="BZ92" s="503" t="n"/>
      <c r="CA92" s="71" t="n"/>
      <c r="CB92" s="71" t="n"/>
      <c r="CC92" s="71" t="n"/>
      <c r="CD92" s="10" t="n"/>
    </row>
    <row r="93" hidden="1" ht="3" customHeight="1">
      <c r="B93" s="388" t="n"/>
      <c r="C93" s="494" t="n"/>
      <c r="D93" s="71" t="n"/>
      <c r="F93" s="71" t="n"/>
      <c r="H93" s="71" t="n"/>
      <c r="J93" s="71" t="n"/>
      <c r="K93" s="71" t="n"/>
      <c r="L93" s="71" t="n"/>
      <c r="M93" s="71" t="n"/>
      <c r="N93" s="71" t="n"/>
      <c r="V93" s="71" t="n"/>
      <c r="X93" s="71" t="n"/>
      <c r="Y93" s="495" t="n"/>
      <c r="Z93" s="70" t="n"/>
      <c r="AA93" s="70" t="n"/>
      <c r="AB93" s="70" t="n"/>
      <c r="AC93" s="70" t="n"/>
      <c r="AD93" s="494" t="n"/>
      <c r="AE93" s="71" t="n"/>
      <c r="AG93" s="71" t="n"/>
      <c r="AI93" s="71" t="n"/>
      <c r="AK93" s="71" t="n"/>
      <c r="AL93" s="71" t="n"/>
      <c r="AM93" s="71" t="n"/>
      <c r="AN93" s="71" t="n"/>
      <c r="AO93" s="71" t="n"/>
      <c r="AW93" s="71" t="n"/>
      <c r="AY93" s="71" t="n"/>
      <c r="AZ93" s="495" t="n"/>
      <c r="BA93" s="70" t="n"/>
      <c r="BB93" s="70" t="n"/>
      <c r="BC93" s="70" t="n"/>
      <c r="BD93" s="70" t="n"/>
      <c r="BE93" s="91" t="n"/>
      <c r="BF93" s="71" t="n"/>
      <c r="BG93" s="71" t="n"/>
      <c r="BH93" s="71" t="n"/>
      <c r="BI93" s="71" t="n"/>
      <c r="BJ93" s="71" t="n"/>
      <c r="BK93" s="71" t="n"/>
      <c r="BL93" s="93" t="n"/>
      <c r="BM93" s="71" t="n"/>
      <c r="BN93" s="71" t="n"/>
      <c r="BO93" s="71" t="n"/>
      <c r="BP93" s="71" t="n"/>
      <c r="BQ93" s="71" t="n"/>
      <c r="BR93" s="71" t="n"/>
      <c r="BS93" s="71" t="n"/>
      <c r="BT93" s="503" t="n"/>
      <c r="BU93" s="503" t="n"/>
      <c r="BV93" s="503" t="n"/>
      <c r="BW93" s="503" t="n"/>
      <c r="BX93" s="503" t="n"/>
      <c r="BY93" s="503" t="n"/>
      <c r="BZ93" s="503" t="n"/>
      <c r="CA93" s="71" t="n"/>
      <c r="CB93" s="71" t="n"/>
      <c r="CC93" s="71" t="n"/>
      <c r="CD93" s="10" t="n"/>
    </row>
    <row r="94" hidden="1" ht="3" customHeight="1">
      <c r="B94" s="388" t="n"/>
      <c r="C94" s="494" t="n"/>
      <c r="D94" s="71" t="n"/>
      <c r="F94" s="71" t="n"/>
      <c r="H94" s="71" t="n"/>
      <c r="J94" s="71" t="n"/>
      <c r="K94" s="71" t="n"/>
      <c r="L94" s="71" t="n"/>
      <c r="M94" s="71" t="n"/>
      <c r="N94" s="130" t="n"/>
      <c r="V94" s="71" t="n"/>
      <c r="X94" s="71" t="n"/>
      <c r="Y94" s="495" t="n"/>
      <c r="Z94" s="70" t="n"/>
      <c r="AA94" s="70" t="n"/>
      <c r="AB94" s="70" t="n"/>
      <c r="AC94" s="70" t="n"/>
      <c r="AD94" s="494" t="n"/>
      <c r="AE94" s="71" t="n"/>
      <c r="AG94" s="71" t="n"/>
      <c r="AI94" s="71" t="n"/>
      <c r="AK94" s="71" t="n"/>
      <c r="AL94" s="71" t="n"/>
      <c r="AM94" s="71" t="n"/>
      <c r="AN94" s="71" t="n"/>
      <c r="AO94" s="130" t="n"/>
      <c r="AW94" s="71" t="n"/>
      <c r="AY94" s="71" t="n"/>
      <c r="AZ94" s="495" t="n"/>
      <c r="BA94" s="70" t="n"/>
      <c r="BB94" s="70" t="n"/>
      <c r="BC94" s="70" t="n"/>
      <c r="BD94" s="70" t="n"/>
      <c r="BE94" s="91" t="n"/>
      <c r="BF94" s="71" t="n"/>
      <c r="BG94" s="71" t="n"/>
      <c r="BH94" s="71" t="n"/>
      <c r="BI94" s="71" t="n"/>
      <c r="BJ94" s="71" t="n"/>
      <c r="BK94" s="71" t="n"/>
      <c r="BL94" s="93" t="n"/>
      <c r="BM94" s="71" t="n"/>
      <c r="BN94" s="71" t="n"/>
      <c r="BO94" s="71" t="n"/>
      <c r="BP94" s="71" t="n"/>
      <c r="BQ94" s="71" t="n"/>
      <c r="BR94" s="71" t="n"/>
      <c r="BS94" s="130" t="n"/>
      <c r="BT94" s="503" t="n"/>
      <c r="BU94" s="503" t="n"/>
      <c r="BV94" s="503" t="n"/>
      <c r="BW94" s="503" t="n"/>
      <c r="BX94" s="503" t="n"/>
      <c r="BY94" s="503" t="n"/>
      <c r="BZ94" s="503" t="n"/>
      <c r="CA94" s="71" t="n"/>
      <c r="CB94" s="71" t="n"/>
      <c r="CC94" s="71" t="n"/>
      <c r="CD94" s="10" t="n"/>
    </row>
    <row r="95" hidden="1" ht="3" customHeight="1">
      <c r="C95" s="494" t="n"/>
      <c r="D95" s="71" t="n"/>
      <c r="F95" s="71" t="n"/>
      <c r="H95" s="71" t="n"/>
      <c r="J95" s="71" t="n"/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92" t="n"/>
      <c r="Z95" s="70" t="n"/>
      <c r="AA95" s="70" t="n"/>
      <c r="AB95" s="70" t="n"/>
      <c r="AC95" s="70" t="n"/>
      <c r="AD95" s="494" t="n"/>
      <c r="AE95" s="71" t="n"/>
      <c r="AG95" s="71" t="n"/>
      <c r="AI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92" t="n"/>
      <c r="BA95" s="70" t="n"/>
      <c r="BB95" s="70" t="n"/>
      <c r="BC95" s="70" t="n"/>
      <c r="BD95" s="70" t="n"/>
      <c r="BE95" s="91" t="n"/>
      <c r="BF95" s="71" t="n"/>
      <c r="BG95" s="71" t="n"/>
      <c r="BH95" s="71" t="n"/>
      <c r="BI95" s="71" t="n"/>
      <c r="BJ95" s="71" t="n"/>
      <c r="BK95" s="71" t="n"/>
      <c r="BL95" s="93" t="n"/>
      <c r="BM95" s="71" t="n"/>
      <c r="BN95" s="71" t="n"/>
      <c r="BO95" s="71" t="n"/>
      <c r="BP95" s="71" t="n"/>
      <c r="BQ95" s="71" t="n"/>
      <c r="BR95" s="71" t="n"/>
      <c r="BS95" s="71" t="n"/>
      <c r="BT95" s="71" t="n"/>
      <c r="BU95" s="71" t="n"/>
      <c r="BV95" s="71" t="n"/>
      <c r="BW95" s="71" t="n"/>
      <c r="BX95" s="71" t="n"/>
      <c r="BY95" s="71" t="n"/>
      <c r="BZ95" s="71" t="n"/>
      <c r="CA95" s="71" t="n"/>
      <c r="CB95" s="71" t="n"/>
      <c r="CC95" s="71" t="n"/>
      <c r="CD95" s="10" t="n"/>
    </row>
    <row r="96" hidden="1" ht="9" customHeight="1">
      <c r="C96" s="79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92" t="n"/>
      <c r="Z96" s="70" t="n"/>
      <c r="AA96" s="70" t="n"/>
      <c r="AB96" s="70" t="n"/>
      <c r="AC96" s="70" t="n"/>
      <c r="AD96" s="79" t="n"/>
      <c r="AE96" s="71" t="n"/>
      <c r="AF96" s="71" t="n"/>
      <c r="AG96" s="71" t="n"/>
      <c r="AH96" s="71" t="n"/>
      <c r="AI96" s="71" t="n"/>
      <c r="AJ96" s="71" t="n"/>
      <c r="AK96" s="71" t="n"/>
      <c r="AL96" s="71" t="n"/>
      <c r="AM96" s="71" t="n"/>
      <c r="AN96" s="71" t="n"/>
      <c r="AO96" s="71" t="n"/>
      <c r="AP96" s="71" t="n"/>
      <c r="AQ96" s="71" t="n"/>
      <c r="AR96" s="71" t="n"/>
      <c r="AS96" s="71" t="n"/>
      <c r="AT96" s="71" t="n"/>
      <c r="AU96" s="71" t="n"/>
      <c r="AV96" s="71" t="n"/>
      <c r="AW96" s="71" t="n"/>
      <c r="AX96" s="71" t="n"/>
      <c r="AY96" s="71" t="n"/>
      <c r="AZ96" s="92" t="n"/>
      <c r="BA96" s="70" t="n"/>
      <c r="BB96" s="70" t="n"/>
      <c r="BC96" s="70" t="n"/>
      <c r="BD96" s="70" t="n"/>
      <c r="BE96" s="71" t="n"/>
      <c r="BF96" s="71" t="n"/>
      <c r="BG96" s="71" t="n"/>
      <c r="BH96" s="71" t="n"/>
      <c r="BI96" s="71" t="n"/>
      <c r="BJ96" s="71" t="n"/>
      <c r="BK96" s="71" t="n"/>
      <c r="BL96" s="71" t="n"/>
      <c r="BM96" s="71" t="n"/>
      <c r="BN96" s="71" t="n"/>
      <c r="BO96" s="71" t="n"/>
      <c r="BP96" s="71" t="n"/>
      <c r="BQ96" s="71" t="n"/>
      <c r="BR96" s="71" t="n"/>
      <c r="BS96" s="71" t="n"/>
      <c r="BT96" s="71" t="n"/>
      <c r="BU96" s="71" t="n"/>
      <c r="BV96" s="71" t="n"/>
      <c r="BW96" s="71" t="n"/>
      <c r="BX96" s="71" t="n"/>
      <c r="BY96" s="71" t="n"/>
      <c r="BZ96" s="71" t="n"/>
      <c r="CA96" s="71" t="n"/>
      <c r="CB96" s="71" t="n"/>
      <c r="CC96" s="71" t="n"/>
      <c r="CD96" s="10" t="n"/>
    </row>
    <row r="97" hidden="1" ht="3" customHeight="1">
      <c r="B97" s="388" t="n"/>
      <c r="C97" s="129" t="inlineStr">
        <is>
          <t>PMT</t>
        </is>
      </c>
      <c r="D97" s="71" t="n"/>
      <c r="E97" s="130" t="inlineStr">
        <is>
          <t>=</t>
        </is>
      </c>
      <c r="F97" s="71" t="n"/>
      <c r="G97" s="193">
        <f>G81</f>
        <v/>
      </c>
      <c r="H97" s="71" t="n"/>
      <c r="I97" s="130" t="inlineStr">
        <is>
          <t>x</t>
        </is>
      </c>
      <c r="J97" s="71" t="n"/>
      <c r="K97" s="71" t="n"/>
      <c r="L97" s="71" t="n"/>
      <c r="M97" s="71" t="n"/>
      <c r="N97" s="130" t="n"/>
      <c r="O97" s="501">
        <f>O81*Y81</f>
        <v/>
      </c>
      <c r="V97" s="71" t="n"/>
      <c r="W97" s="71" t="n"/>
      <c r="X97" s="71" t="n"/>
      <c r="Y97" s="92" t="n"/>
      <c r="Z97" s="70" t="n"/>
      <c r="AA97" s="70" t="n"/>
      <c r="AB97" s="70" t="n"/>
      <c r="AC97" s="70" t="n"/>
      <c r="AD97" s="129" t="inlineStr">
        <is>
          <t>PMT</t>
        </is>
      </c>
      <c r="AE97" s="71" t="n"/>
      <c r="AF97" s="130" t="inlineStr">
        <is>
          <t>=</t>
        </is>
      </c>
      <c r="AG97" s="71" t="n"/>
      <c r="AH97" s="193">
        <f>AH81</f>
        <v/>
      </c>
      <c r="AI97" s="71" t="n"/>
      <c r="AJ97" s="130" t="inlineStr">
        <is>
          <t>x</t>
        </is>
      </c>
      <c r="AK97" s="71" t="n"/>
      <c r="AL97" s="71" t="n"/>
      <c r="AM97" s="71" t="n"/>
      <c r="AN97" s="71" t="n"/>
      <c r="AO97" s="130" t="n"/>
      <c r="AP97" s="501">
        <f>AP81*AZ81</f>
        <v/>
      </c>
      <c r="AW97" s="71" t="n"/>
      <c r="AX97" s="71" t="n"/>
      <c r="AY97" s="71" t="n"/>
      <c r="AZ97" s="92" t="n"/>
      <c r="BA97" s="70" t="n"/>
      <c r="BB97" s="70" t="n"/>
      <c r="BC97" s="70" t="n"/>
      <c r="BD97" s="70" t="n"/>
      <c r="BE97" s="91" t="n"/>
      <c r="BF97" s="71" t="n"/>
      <c r="BG97" s="71" t="n"/>
      <c r="BH97" s="71" t="n"/>
      <c r="BI97" s="71" t="n"/>
      <c r="BJ97" s="71" t="n"/>
      <c r="BK97" s="71" t="n"/>
      <c r="BL97" s="93" t="n"/>
      <c r="BM97" s="71" t="n"/>
      <c r="BN97" s="71" t="n"/>
      <c r="BO97" s="71" t="n"/>
      <c r="BP97" s="71" t="n"/>
      <c r="BQ97" s="71" t="n"/>
      <c r="BR97" s="71" t="n"/>
      <c r="BS97" s="130" t="n"/>
      <c r="BT97" s="503" t="n"/>
      <c r="BU97" s="504" t="n"/>
      <c r="BV97" s="504" t="n"/>
      <c r="BW97" s="504" t="n"/>
      <c r="BX97" s="504" t="n"/>
      <c r="BY97" s="504" t="n"/>
      <c r="BZ97" s="504" t="n"/>
      <c r="CA97" s="71" t="n"/>
      <c r="CB97" s="71" t="n"/>
      <c r="CC97" s="71" t="n"/>
      <c r="CD97" s="10" t="n"/>
    </row>
    <row r="98" hidden="1" ht="3" customHeight="1">
      <c r="B98" s="388" t="n"/>
      <c r="C98" s="494" t="n"/>
      <c r="D98" s="71" t="n"/>
      <c r="F98" s="71" t="n"/>
      <c r="H98" s="71" t="n"/>
      <c r="J98" s="71" t="n"/>
      <c r="K98" s="71" t="n"/>
      <c r="L98" s="71" t="n"/>
      <c r="M98" s="71" t="n"/>
      <c r="N98" s="130" t="n"/>
      <c r="V98" s="100" t="n"/>
      <c r="W98" s="100" t="n"/>
      <c r="X98" s="100" t="n"/>
      <c r="Y98" s="101" t="n"/>
      <c r="Z98" s="102" t="n"/>
      <c r="AA98" s="102" t="n"/>
      <c r="AB98" s="70" t="n"/>
      <c r="AC98" s="70" t="n"/>
      <c r="AD98" s="494" t="n"/>
      <c r="AE98" s="71" t="n"/>
      <c r="AG98" s="71" t="n"/>
      <c r="AI98" s="71" t="n"/>
      <c r="AK98" s="71" t="n"/>
      <c r="AL98" s="71" t="n"/>
      <c r="AM98" s="71" t="n"/>
      <c r="AN98" s="71" t="n"/>
      <c r="AO98" s="130" t="n"/>
      <c r="AW98" s="100" t="n"/>
      <c r="AX98" s="100" t="n"/>
      <c r="AY98" s="100" t="n"/>
      <c r="AZ98" s="101" t="n"/>
      <c r="BA98" s="70" t="n"/>
      <c r="BB98" s="70" t="n"/>
      <c r="BC98" s="70" t="n"/>
      <c r="BD98" s="70" t="n"/>
      <c r="BE98" s="91" t="n"/>
      <c r="BF98" s="71" t="n"/>
      <c r="BG98" s="71" t="n"/>
      <c r="BH98" s="71" t="n"/>
      <c r="BI98" s="71" t="n"/>
      <c r="BJ98" s="71" t="n"/>
      <c r="BK98" s="71" t="n"/>
      <c r="BL98" s="93" t="n"/>
      <c r="BM98" s="71" t="n"/>
      <c r="BN98" s="71" t="n"/>
      <c r="BO98" s="71" t="n"/>
      <c r="BP98" s="71" t="n"/>
      <c r="BQ98" s="71" t="n"/>
      <c r="BR98" s="71" t="n"/>
      <c r="BS98" s="130" t="n"/>
      <c r="BT98" s="504" t="n"/>
      <c r="BU98" s="504" t="n"/>
      <c r="BV98" s="504" t="n"/>
      <c r="BW98" s="504" t="n"/>
      <c r="BX98" s="504" t="n"/>
      <c r="BY98" s="504" t="n"/>
      <c r="BZ98" s="504" t="n"/>
      <c r="CA98" s="100" t="n"/>
      <c r="CB98" s="100" t="n"/>
      <c r="CC98" s="100" t="n"/>
      <c r="CD98" s="30" t="n"/>
    </row>
    <row r="99" hidden="1" ht="3" customHeight="1">
      <c r="B99" s="388" t="n"/>
      <c r="C99" s="494" t="n"/>
      <c r="D99" s="71" t="n"/>
      <c r="F99" s="71" t="n"/>
      <c r="H99" s="71" t="n"/>
      <c r="J99" s="71" t="n"/>
      <c r="K99" s="71" t="n"/>
      <c r="L99" s="71" t="n"/>
      <c r="M99" s="71" t="n"/>
      <c r="N99" s="130" t="n"/>
      <c r="V99" s="100" t="n"/>
      <c r="W99" s="100" t="n"/>
      <c r="X99" s="100" t="n"/>
      <c r="Y99" s="101" t="n"/>
      <c r="Z99" s="102" t="n"/>
      <c r="AA99" s="102" t="n"/>
      <c r="AB99" s="70" t="n"/>
      <c r="AC99" s="70" t="n"/>
      <c r="AD99" s="494" t="n"/>
      <c r="AE99" s="71" t="n"/>
      <c r="AG99" s="71" t="n"/>
      <c r="AI99" s="71" t="n"/>
      <c r="AK99" s="71" t="n"/>
      <c r="AL99" s="71" t="n"/>
      <c r="AM99" s="71" t="n"/>
      <c r="AN99" s="71" t="n"/>
      <c r="AO99" s="130" t="n"/>
      <c r="AW99" s="100" t="n"/>
      <c r="AX99" s="100" t="n"/>
      <c r="AY99" s="100" t="n"/>
      <c r="AZ99" s="101" t="n"/>
      <c r="BA99" s="70" t="n"/>
      <c r="BB99" s="70" t="n"/>
      <c r="BC99" s="70" t="n"/>
      <c r="BD99" s="70" t="n"/>
      <c r="BE99" s="91" t="n"/>
      <c r="BF99" s="71" t="n"/>
      <c r="BG99" s="71" t="n"/>
      <c r="BH99" s="71" t="n"/>
      <c r="BI99" s="71" t="n"/>
      <c r="BJ99" s="71" t="n"/>
      <c r="BK99" s="71" t="n"/>
      <c r="BL99" s="93" t="n"/>
      <c r="BM99" s="71" t="n"/>
      <c r="BN99" s="71" t="n"/>
      <c r="BO99" s="71" t="n"/>
      <c r="BP99" s="71" t="n"/>
      <c r="BQ99" s="71" t="n"/>
      <c r="BR99" s="71" t="n"/>
      <c r="BS99" s="130" t="n"/>
      <c r="BT99" s="504" t="n"/>
      <c r="BU99" s="504" t="n"/>
      <c r="BV99" s="504" t="n"/>
      <c r="BW99" s="504" t="n"/>
      <c r="BX99" s="504" t="n"/>
      <c r="BY99" s="504" t="n"/>
      <c r="BZ99" s="504" t="n"/>
      <c r="CA99" s="100" t="n"/>
      <c r="CB99" s="100" t="n"/>
      <c r="CC99" s="100" t="n"/>
      <c r="CD99" s="30" t="n"/>
    </row>
    <row r="100" hidden="1" ht="3" customHeight="1">
      <c r="B100" s="388" t="n"/>
      <c r="C100" s="494" t="n"/>
      <c r="D100" s="71" t="n"/>
      <c r="F100" s="71" t="n"/>
      <c r="H100" s="71" t="n"/>
      <c r="J100" s="71" t="n"/>
      <c r="K100" s="71" t="n"/>
      <c r="L100" s="71" t="n"/>
      <c r="M100" s="71" t="n"/>
      <c r="N100" s="71" t="n"/>
      <c r="V100" s="100" t="n"/>
      <c r="W100" s="100" t="n"/>
      <c r="X100" s="100" t="n"/>
      <c r="Y100" s="101" t="n"/>
      <c r="Z100" s="102" t="n"/>
      <c r="AA100" s="102" t="n"/>
      <c r="AB100" s="70" t="n"/>
      <c r="AC100" s="70" t="n"/>
      <c r="AD100" s="494" t="n"/>
      <c r="AE100" s="71" t="n"/>
      <c r="AG100" s="71" t="n"/>
      <c r="AI100" s="71" t="n"/>
      <c r="AK100" s="71" t="n"/>
      <c r="AL100" s="71" t="n"/>
      <c r="AM100" s="71" t="n"/>
      <c r="AN100" s="71" t="n"/>
      <c r="AO100" s="71" t="n"/>
      <c r="AW100" s="100" t="n"/>
      <c r="AX100" s="100" t="n"/>
      <c r="AY100" s="100" t="n"/>
      <c r="AZ100" s="101" t="n"/>
      <c r="BA100" s="70" t="n"/>
      <c r="BB100" s="70" t="n"/>
      <c r="BC100" s="70" t="n"/>
      <c r="BD100" s="70" t="n"/>
      <c r="BE100" s="91" t="n"/>
      <c r="BF100" s="71" t="n"/>
      <c r="BG100" s="71" t="n"/>
      <c r="BH100" s="71" t="n"/>
      <c r="BI100" s="71" t="n"/>
      <c r="BJ100" s="71" t="n"/>
      <c r="BK100" s="71" t="n"/>
      <c r="BL100" s="93" t="n"/>
      <c r="BM100" s="71" t="n"/>
      <c r="BN100" s="71" t="n"/>
      <c r="BO100" s="71" t="n"/>
      <c r="BP100" s="71" t="n"/>
      <c r="BQ100" s="71" t="n"/>
      <c r="BR100" s="71" t="n"/>
      <c r="BS100" s="71" t="n"/>
      <c r="BT100" s="504" t="n"/>
      <c r="BU100" s="504" t="n"/>
      <c r="BV100" s="504" t="n"/>
      <c r="BW100" s="504" t="n"/>
      <c r="BX100" s="504" t="n"/>
      <c r="BY100" s="504" t="n"/>
      <c r="BZ100" s="504" t="n"/>
      <c r="CA100" s="100" t="n"/>
      <c r="CB100" s="100" t="n"/>
      <c r="CC100" s="100" t="n"/>
      <c r="CD100" s="30" t="n"/>
    </row>
    <row r="101" hidden="1" ht="3" customHeight="1">
      <c r="B101" s="388" t="n"/>
      <c r="C101" s="494" t="n"/>
      <c r="D101" s="71" t="n"/>
      <c r="F101" s="71" t="n"/>
      <c r="H101" s="71" t="n"/>
      <c r="J101" s="71" t="n"/>
      <c r="K101" s="71" t="n"/>
      <c r="L101" s="71" t="n"/>
      <c r="M101" s="71" t="n"/>
      <c r="N101" s="71" t="n"/>
      <c r="V101" s="100" t="n"/>
      <c r="W101" s="100" t="n"/>
      <c r="X101" s="100" t="n"/>
      <c r="Y101" s="101" t="n"/>
      <c r="Z101" s="102" t="n"/>
      <c r="AA101" s="102" t="n"/>
      <c r="AB101" s="70" t="n"/>
      <c r="AC101" s="70" t="n"/>
      <c r="AD101" s="494" t="n"/>
      <c r="AE101" s="71" t="n"/>
      <c r="AG101" s="71" t="n"/>
      <c r="AI101" s="71" t="n"/>
      <c r="AK101" s="71" t="n"/>
      <c r="AL101" s="71" t="n"/>
      <c r="AM101" s="71" t="n"/>
      <c r="AN101" s="71" t="n"/>
      <c r="AO101" s="71" t="n"/>
      <c r="AW101" s="100" t="n"/>
      <c r="AX101" s="100" t="n"/>
      <c r="AY101" s="100" t="n"/>
      <c r="AZ101" s="101" t="n"/>
      <c r="BA101" s="70" t="n"/>
      <c r="BB101" s="70" t="n"/>
      <c r="BC101" s="70" t="n"/>
      <c r="BD101" s="70" t="n"/>
      <c r="BE101" s="91" t="n"/>
      <c r="BF101" s="71" t="n"/>
      <c r="BG101" s="71" t="n"/>
      <c r="BH101" s="71" t="n"/>
      <c r="BI101" s="71" t="n"/>
      <c r="BJ101" s="71" t="n"/>
      <c r="BK101" s="71" t="n"/>
      <c r="BL101" s="93" t="n"/>
      <c r="BM101" s="71" t="n"/>
      <c r="BN101" s="71" t="n"/>
      <c r="BO101" s="71" t="n"/>
      <c r="BP101" s="71" t="n"/>
      <c r="BQ101" s="71" t="n"/>
      <c r="BR101" s="71" t="n"/>
      <c r="BS101" s="71" t="n"/>
      <c r="BT101" s="504" t="n"/>
      <c r="BU101" s="504" t="n"/>
      <c r="BV101" s="504" t="n"/>
      <c r="BW101" s="504" t="n"/>
      <c r="BX101" s="504" t="n"/>
      <c r="BY101" s="504" t="n"/>
      <c r="BZ101" s="504" t="n"/>
      <c r="CA101" s="100" t="n"/>
      <c r="CB101" s="100" t="n"/>
      <c r="CC101" s="100" t="n"/>
      <c r="CD101" s="30" t="n"/>
    </row>
    <row r="102" hidden="1" ht="3" customHeight="1">
      <c r="B102" s="388" t="n"/>
      <c r="C102" s="494" t="n"/>
      <c r="D102" s="71" t="n"/>
      <c r="F102" s="71" t="n"/>
      <c r="H102" s="71" t="n"/>
      <c r="J102" s="71" t="n"/>
      <c r="K102" s="71" t="n"/>
      <c r="L102" s="71" t="n"/>
      <c r="M102" s="71" t="n"/>
      <c r="N102" s="130" t="n"/>
      <c r="V102" s="100" t="n"/>
      <c r="W102" s="100" t="n"/>
      <c r="X102" s="100" t="n"/>
      <c r="Y102" s="101" t="n"/>
      <c r="Z102" s="102" t="n"/>
      <c r="AA102" s="102" t="n"/>
      <c r="AB102" s="70" t="n"/>
      <c r="AC102" s="70" t="n"/>
      <c r="AD102" s="494" t="n"/>
      <c r="AE102" s="71" t="n"/>
      <c r="AG102" s="71" t="n"/>
      <c r="AI102" s="71" t="n"/>
      <c r="AK102" s="71" t="n"/>
      <c r="AL102" s="71" t="n"/>
      <c r="AM102" s="71" t="n"/>
      <c r="AN102" s="71" t="n"/>
      <c r="AO102" s="130" t="n"/>
      <c r="AW102" s="100" t="n"/>
      <c r="AX102" s="100" t="n"/>
      <c r="AY102" s="100" t="n"/>
      <c r="AZ102" s="101" t="n"/>
      <c r="BA102" s="70" t="n"/>
      <c r="BB102" s="70" t="n"/>
      <c r="BC102" s="70" t="n"/>
      <c r="BD102" s="70" t="n"/>
      <c r="BE102" s="91" t="n"/>
      <c r="BF102" s="71" t="n"/>
      <c r="BG102" s="71" t="n"/>
      <c r="BH102" s="71" t="n"/>
      <c r="BI102" s="71" t="n"/>
      <c r="BJ102" s="71" t="n"/>
      <c r="BK102" s="71" t="n"/>
      <c r="BL102" s="93" t="n"/>
      <c r="BM102" s="71" t="n"/>
      <c r="BN102" s="71" t="n"/>
      <c r="BO102" s="71" t="n"/>
      <c r="BP102" s="71" t="n"/>
      <c r="BQ102" s="71" t="n"/>
      <c r="BR102" s="71" t="n"/>
      <c r="BS102" s="130" t="n"/>
      <c r="BT102" s="504" t="n"/>
      <c r="BU102" s="504" t="n"/>
      <c r="BV102" s="504" t="n"/>
      <c r="BW102" s="504" t="n"/>
      <c r="BX102" s="504" t="n"/>
      <c r="BY102" s="504" t="n"/>
      <c r="BZ102" s="504" t="n"/>
      <c r="CA102" s="100" t="n"/>
      <c r="CB102" s="100" t="n"/>
      <c r="CC102" s="100" t="n"/>
      <c r="CD102" s="30" t="n"/>
    </row>
    <row r="103" hidden="1" ht="3" customHeight="1">
      <c r="B103" s="388" t="n"/>
      <c r="C103" s="494" t="n"/>
      <c r="D103" s="130" t="n"/>
      <c r="F103" s="71" t="n"/>
      <c r="H103" s="71" t="n"/>
      <c r="J103" s="71" t="n"/>
      <c r="K103" s="71" t="n"/>
      <c r="L103" s="71" t="n"/>
      <c r="M103" s="71" t="n"/>
      <c r="N103" s="71" t="n"/>
      <c r="O103" s="71" t="n"/>
      <c r="P103" s="71" t="n"/>
      <c r="Q103" s="71" t="n"/>
      <c r="R103" s="71" t="n"/>
      <c r="S103" s="71" t="n"/>
      <c r="T103" s="71" t="n"/>
      <c r="U103" s="71" t="n"/>
      <c r="V103" s="100" t="n"/>
      <c r="W103" s="100" t="n"/>
      <c r="X103" s="100" t="n"/>
      <c r="Y103" s="101" t="n"/>
      <c r="Z103" s="102" t="n"/>
      <c r="AA103" s="102" t="n"/>
      <c r="AB103" s="70" t="n"/>
      <c r="AC103" s="70" t="n"/>
      <c r="AD103" s="494" t="n"/>
      <c r="AE103" s="130" t="n"/>
      <c r="AG103" s="71" t="n"/>
      <c r="AI103" s="71" t="n"/>
      <c r="AK103" s="71" t="n"/>
      <c r="AL103" s="71" t="n"/>
      <c r="AM103" s="71" t="n"/>
      <c r="AN103" s="71" t="n"/>
      <c r="AO103" s="71" t="n"/>
      <c r="AP103" s="71" t="n"/>
      <c r="AQ103" s="71" t="n"/>
      <c r="AR103" s="71" t="n"/>
      <c r="AS103" s="71" t="n"/>
      <c r="AT103" s="71" t="n"/>
      <c r="AU103" s="71" t="n"/>
      <c r="AV103" s="71" t="n"/>
      <c r="AW103" s="100" t="n"/>
      <c r="AX103" s="100" t="n"/>
      <c r="AY103" s="100" t="n"/>
      <c r="AZ103" s="101" t="n"/>
      <c r="BA103" s="70" t="n"/>
      <c r="BB103" s="70" t="n"/>
      <c r="BC103" s="70" t="n"/>
      <c r="BD103" s="70" t="n"/>
      <c r="BE103" s="91" t="n"/>
      <c r="BF103" s="130" t="n"/>
      <c r="BG103" s="71" t="n"/>
      <c r="BH103" s="71" t="n"/>
      <c r="BI103" s="71" t="n"/>
      <c r="BJ103" s="71" t="n"/>
      <c r="BK103" s="71" t="n"/>
      <c r="BL103" s="93" t="n"/>
      <c r="BM103" s="71" t="n"/>
      <c r="BN103" s="71" t="n"/>
      <c r="BO103" s="71" t="n"/>
      <c r="BP103" s="71" t="n"/>
      <c r="BQ103" s="71" t="n"/>
      <c r="BR103" s="71" t="n"/>
      <c r="BS103" s="71" t="n"/>
      <c r="BT103" s="71" t="n"/>
      <c r="BU103" s="71" t="n"/>
      <c r="BV103" s="71" t="n"/>
      <c r="BW103" s="71" t="n"/>
      <c r="BX103" s="71" t="n"/>
      <c r="BY103" s="71" t="n"/>
      <c r="BZ103" s="71" t="n"/>
      <c r="CA103" s="100" t="n"/>
      <c r="CB103" s="100" t="n"/>
      <c r="CC103" s="100" t="n"/>
      <c r="CD103" s="30" t="n"/>
    </row>
    <row r="104" hidden="1" ht="3" customHeight="1">
      <c r="B104" s="388" t="n"/>
      <c r="C104" s="494" t="n"/>
      <c r="D104" s="130" t="n"/>
      <c r="F104" s="71" t="n"/>
      <c r="H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100" t="n"/>
      <c r="W104" s="100" t="n"/>
      <c r="X104" s="100" t="n"/>
      <c r="Y104" s="101" t="n"/>
      <c r="Z104" s="102" t="n"/>
      <c r="AA104" s="102" t="n"/>
      <c r="AB104" s="70" t="n"/>
      <c r="AC104" s="70" t="n"/>
      <c r="AD104" s="494" t="n"/>
      <c r="AE104" s="130" t="n"/>
      <c r="AG104" s="71" t="n"/>
      <c r="AI104" s="71" t="n"/>
      <c r="AK104" s="71" t="n"/>
      <c r="AL104" s="71" t="n"/>
      <c r="AM104" s="71" t="n"/>
      <c r="AN104" s="71" t="n"/>
      <c r="AO104" s="71" t="n"/>
      <c r="AP104" s="71" t="n"/>
      <c r="AQ104" s="71" t="n"/>
      <c r="AR104" s="71" t="n"/>
      <c r="AS104" s="71" t="n"/>
      <c r="AT104" s="71" t="n"/>
      <c r="AU104" s="71" t="n"/>
      <c r="AV104" s="71" t="n"/>
      <c r="AW104" s="100" t="n"/>
      <c r="AX104" s="100" t="n"/>
      <c r="AY104" s="100" t="n"/>
      <c r="AZ104" s="101" t="n"/>
      <c r="BA104" s="70" t="n"/>
      <c r="BB104" s="70" t="n"/>
      <c r="BC104" s="70" t="n"/>
      <c r="BD104" s="70" t="n"/>
      <c r="BE104" s="91" t="n"/>
      <c r="BF104" s="130" t="n"/>
      <c r="BG104" s="71" t="n"/>
      <c r="BH104" s="71" t="n"/>
      <c r="BI104" s="71" t="n"/>
      <c r="BJ104" s="71" t="n"/>
      <c r="BK104" s="71" t="n"/>
      <c r="BL104" s="93" t="n"/>
      <c r="BM104" s="71" t="n"/>
      <c r="BN104" s="71" t="n"/>
      <c r="BO104" s="71" t="n"/>
      <c r="BP104" s="71" t="n"/>
      <c r="BQ104" s="71" t="n"/>
      <c r="BR104" s="71" t="n"/>
      <c r="BS104" s="71" t="n"/>
      <c r="BT104" s="71" t="n"/>
      <c r="BU104" s="71" t="n"/>
      <c r="BV104" s="71" t="n"/>
      <c r="BW104" s="71" t="n"/>
      <c r="BX104" s="71" t="n"/>
      <c r="BY104" s="71" t="n"/>
      <c r="BZ104" s="71" t="n"/>
      <c r="CA104" s="100" t="n"/>
      <c r="CB104" s="100" t="n"/>
      <c r="CC104" s="100" t="n"/>
      <c r="CD104" s="30" t="n"/>
    </row>
    <row r="105" hidden="1" ht="3" customHeight="1">
      <c r="B105" s="388" t="n"/>
      <c r="C105" s="494" t="n"/>
      <c r="D105" s="71" t="n"/>
      <c r="F105" s="71" t="n"/>
      <c r="H105" s="71" t="n"/>
      <c r="J105" s="71" t="n"/>
      <c r="K105" s="71" t="n"/>
      <c r="L105" s="71" t="n"/>
      <c r="M105" s="71" t="n"/>
      <c r="N105" s="130" t="n"/>
      <c r="O105" s="501">
        <f>O89-Y89</f>
        <v/>
      </c>
      <c r="V105" s="100" t="n"/>
      <c r="W105" s="100" t="n"/>
      <c r="X105" s="100" t="n"/>
      <c r="Y105" s="101" t="n"/>
      <c r="Z105" s="102" t="n"/>
      <c r="AA105" s="102" t="n"/>
      <c r="AB105" s="70" t="n"/>
      <c r="AC105" s="70" t="n"/>
      <c r="AD105" s="494" t="n"/>
      <c r="AE105" s="71" t="n"/>
      <c r="AG105" s="71" t="n"/>
      <c r="AI105" s="71" t="n"/>
      <c r="AK105" s="71" t="n"/>
      <c r="AL105" s="71" t="n"/>
      <c r="AM105" s="71" t="n"/>
      <c r="AN105" s="71" t="n"/>
      <c r="AO105" s="130" t="n"/>
      <c r="AP105" s="501">
        <f>AP89-AZ89</f>
        <v/>
      </c>
      <c r="AW105" s="100" t="n"/>
      <c r="AX105" s="100" t="n"/>
      <c r="AY105" s="100" t="n"/>
      <c r="AZ105" s="101" t="n"/>
      <c r="BA105" s="70" t="n"/>
      <c r="BB105" s="70" t="n"/>
      <c r="BC105" s="70" t="n"/>
      <c r="BD105" s="70" t="n"/>
      <c r="BE105" s="91" t="n"/>
      <c r="BF105" s="71" t="n"/>
      <c r="BG105" s="71" t="n"/>
      <c r="BH105" s="71" t="n"/>
      <c r="BI105" s="71" t="n"/>
      <c r="BJ105" s="71" t="n"/>
      <c r="BK105" s="71" t="n"/>
      <c r="BL105" s="93" t="n"/>
      <c r="BM105" s="71" t="n"/>
      <c r="BN105" s="71" t="n"/>
      <c r="BO105" s="71" t="n"/>
      <c r="BP105" s="71" t="n"/>
      <c r="BQ105" s="71" t="n"/>
      <c r="BR105" s="71" t="n"/>
      <c r="BS105" s="130" t="n"/>
      <c r="BT105" s="503" t="n"/>
      <c r="BU105" s="504" t="n"/>
      <c r="BV105" s="504" t="n"/>
      <c r="BW105" s="504" t="n"/>
      <c r="BX105" s="504" t="n"/>
      <c r="BY105" s="504" t="n"/>
      <c r="BZ105" s="504" t="n"/>
      <c r="CA105" s="100" t="n"/>
      <c r="CB105" s="100" t="n"/>
      <c r="CC105" s="100" t="n"/>
      <c r="CD105" s="30" t="n"/>
    </row>
    <row r="106" hidden="1" ht="3" customHeight="1">
      <c r="B106" s="388" t="n"/>
      <c r="C106" s="494" t="n"/>
      <c r="D106" s="71" t="n"/>
      <c r="F106" s="71" t="n"/>
      <c r="H106" s="71" t="n"/>
      <c r="J106" s="71" t="n"/>
      <c r="K106" s="71" t="n"/>
      <c r="L106" s="71" t="n"/>
      <c r="M106" s="71" t="n"/>
      <c r="N106" s="130" t="n"/>
      <c r="V106" s="100" t="n"/>
      <c r="W106" s="100" t="n"/>
      <c r="X106" s="100" t="n"/>
      <c r="Y106" s="101" t="n"/>
      <c r="Z106" s="102" t="n"/>
      <c r="AA106" s="102" t="n"/>
      <c r="AB106" s="70" t="n"/>
      <c r="AC106" s="70" t="n"/>
      <c r="AD106" s="494" t="n"/>
      <c r="AE106" s="71" t="n"/>
      <c r="AG106" s="71" t="n"/>
      <c r="AI106" s="71" t="n"/>
      <c r="AK106" s="71" t="n"/>
      <c r="AL106" s="71" t="n"/>
      <c r="AM106" s="71" t="n"/>
      <c r="AN106" s="71" t="n"/>
      <c r="AO106" s="130" t="n"/>
      <c r="AW106" s="100" t="n"/>
      <c r="AX106" s="100" t="n"/>
      <c r="AY106" s="100" t="n"/>
      <c r="AZ106" s="101" t="n"/>
      <c r="BA106" s="70" t="n"/>
      <c r="BB106" s="70" t="n"/>
      <c r="BC106" s="70" t="n"/>
      <c r="BD106" s="70" t="n"/>
      <c r="BE106" s="91" t="n"/>
      <c r="BF106" s="71" t="n"/>
      <c r="BG106" s="71" t="n"/>
      <c r="BH106" s="71" t="n"/>
      <c r="BI106" s="71" t="n"/>
      <c r="BJ106" s="71" t="n"/>
      <c r="BK106" s="71" t="n"/>
      <c r="BL106" s="93" t="n"/>
      <c r="BM106" s="71" t="n"/>
      <c r="BN106" s="71" t="n"/>
      <c r="BO106" s="71" t="n"/>
      <c r="BP106" s="71" t="n"/>
      <c r="BQ106" s="71" t="n"/>
      <c r="BR106" s="71" t="n"/>
      <c r="BS106" s="130" t="n"/>
      <c r="BT106" s="504" t="n"/>
      <c r="BU106" s="504" t="n"/>
      <c r="BV106" s="504" t="n"/>
      <c r="BW106" s="504" t="n"/>
      <c r="BX106" s="504" t="n"/>
      <c r="BY106" s="504" t="n"/>
      <c r="BZ106" s="504" t="n"/>
      <c r="CA106" s="100" t="n"/>
      <c r="CB106" s="100" t="n"/>
      <c r="CC106" s="100" t="n"/>
      <c r="CD106" s="30" t="n"/>
    </row>
    <row r="107" hidden="1" ht="3" customHeight="1">
      <c r="B107" s="388" t="n"/>
      <c r="C107" s="494" t="n"/>
      <c r="D107" s="71" t="n"/>
      <c r="F107" s="71" t="n"/>
      <c r="H107" s="71" t="n"/>
      <c r="J107" s="71" t="n"/>
      <c r="K107" s="71" t="n"/>
      <c r="L107" s="71" t="n"/>
      <c r="M107" s="71" t="n"/>
      <c r="N107" s="130" t="n"/>
      <c r="V107" s="100" t="n"/>
      <c r="W107" s="100" t="n"/>
      <c r="X107" s="100" t="n"/>
      <c r="Y107" s="101" t="n"/>
      <c r="Z107" s="102" t="n"/>
      <c r="AA107" s="102" t="n"/>
      <c r="AB107" s="70" t="n"/>
      <c r="AC107" s="70" t="n"/>
      <c r="AD107" s="494" t="n"/>
      <c r="AE107" s="71" t="n"/>
      <c r="AG107" s="71" t="n"/>
      <c r="AI107" s="71" t="n"/>
      <c r="AK107" s="71" t="n"/>
      <c r="AL107" s="71" t="n"/>
      <c r="AM107" s="71" t="n"/>
      <c r="AN107" s="71" t="n"/>
      <c r="AO107" s="130" t="n"/>
      <c r="AW107" s="100" t="n"/>
      <c r="AX107" s="100" t="n"/>
      <c r="AY107" s="100" t="n"/>
      <c r="AZ107" s="101" t="n"/>
      <c r="BA107" s="70" t="n"/>
      <c r="BB107" s="70" t="n"/>
      <c r="BC107" s="70" t="n"/>
      <c r="BD107" s="70" t="n"/>
      <c r="BE107" s="91" t="n"/>
      <c r="BF107" s="71" t="n"/>
      <c r="BG107" s="71" t="n"/>
      <c r="BH107" s="71" t="n"/>
      <c r="BI107" s="71" t="n"/>
      <c r="BJ107" s="71" t="n"/>
      <c r="BK107" s="71" t="n"/>
      <c r="BL107" s="93" t="n"/>
      <c r="BM107" s="71" t="n"/>
      <c r="BN107" s="71" t="n"/>
      <c r="BO107" s="71" t="n"/>
      <c r="BP107" s="71" t="n"/>
      <c r="BQ107" s="71" t="n"/>
      <c r="BR107" s="71" t="n"/>
      <c r="BS107" s="130" t="n"/>
      <c r="BT107" s="504" t="n"/>
      <c r="BU107" s="504" t="n"/>
      <c r="BV107" s="504" t="n"/>
      <c r="BW107" s="504" t="n"/>
      <c r="BX107" s="504" t="n"/>
      <c r="BY107" s="504" t="n"/>
      <c r="BZ107" s="504" t="n"/>
      <c r="CA107" s="100" t="n"/>
      <c r="CB107" s="100" t="n"/>
      <c r="CC107" s="100" t="n"/>
      <c r="CD107" s="30" t="n"/>
    </row>
    <row r="108" hidden="1" ht="3" customHeight="1">
      <c r="B108" s="388" t="n"/>
      <c r="C108" s="494" t="n"/>
      <c r="D108" s="71" t="n"/>
      <c r="F108" s="71" t="n"/>
      <c r="H108" s="71" t="n"/>
      <c r="J108" s="71" t="n"/>
      <c r="K108" s="71" t="n"/>
      <c r="L108" s="71" t="n"/>
      <c r="M108" s="71" t="n"/>
      <c r="N108" s="71" t="n"/>
      <c r="V108" s="100" t="n"/>
      <c r="W108" s="100" t="n"/>
      <c r="X108" s="100" t="n"/>
      <c r="Y108" s="101" t="n"/>
      <c r="Z108" s="102" t="n"/>
      <c r="AA108" s="102" t="n"/>
      <c r="AB108" s="70" t="n"/>
      <c r="AC108" s="70" t="n"/>
      <c r="AD108" s="494" t="n"/>
      <c r="AE108" s="71" t="n"/>
      <c r="AG108" s="71" t="n"/>
      <c r="AI108" s="71" t="n"/>
      <c r="AK108" s="71" t="n"/>
      <c r="AL108" s="71" t="n"/>
      <c r="AM108" s="71" t="n"/>
      <c r="AN108" s="71" t="n"/>
      <c r="AO108" s="71" t="n"/>
      <c r="AW108" s="100" t="n"/>
      <c r="AX108" s="100" t="n"/>
      <c r="AY108" s="100" t="n"/>
      <c r="AZ108" s="101" t="n"/>
      <c r="BA108" s="70" t="n"/>
      <c r="BB108" s="70" t="n"/>
      <c r="BC108" s="70" t="n"/>
      <c r="BD108" s="70" t="n"/>
      <c r="BE108" s="91" t="n"/>
      <c r="BF108" s="71" t="n"/>
      <c r="BG108" s="71" t="n"/>
      <c r="BH108" s="71" t="n"/>
      <c r="BI108" s="71" t="n"/>
      <c r="BJ108" s="71" t="n"/>
      <c r="BK108" s="71" t="n"/>
      <c r="BL108" s="93" t="n"/>
      <c r="BM108" s="71" t="n"/>
      <c r="BN108" s="71" t="n"/>
      <c r="BO108" s="71" t="n"/>
      <c r="BP108" s="71" t="n"/>
      <c r="BQ108" s="71" t="n"/>
      <c r="BR108" s="71" t="n"/>
      <c r="BS108" s="71" t="n"/>
      <c r="BT108" s="504" t="n"/>
      <c r="BU108" s="504" t="n"/>
      <c r="BV108" s="504" t="n"/>
      <c r="BW108" s="504" t="n"/>
      <c r="BX108" s="504" t="n"/>
      <c r="BY108" s="504" t="n"/>
      <c r="BZ108" s="504" t="n"/>
      <c r="CA108" s="100" t="n"/>
      <c r="CB108" s="100" t="n"/>
      <c r="CC108" s="100" t="n"/>
      <c r="CD108" s="30" t="n"/>
    </row>
    <row r="109" hidden="1" ht="3" customHeight="1">
      <c r="B109" s="388" t="n"/>
      <c r="C109" s="494" t="n"/>
      <c r="D109" s="71" t="n"/>
      <c r="F109" s="71" t="n"/>
      <c r="H109" s="71" t="n"/>
      <c r="J109" s="71" t="n"/>
      <c r="K109" s="71" t="n"/>
      <c r="L109" s="71" t="n"/>
      <c r="M109" s="71" t="n"/>
      <c r="N109" s="71" t="n"/>
      <c r="V109" s="100" t="n"/>
      <c r="W109" s="100" t="n"/>
      <c r="X109" s="100" t="n"/>
      <c r="Y109" s="101" t="n"/>
      <c r="Z109" s="102" t="n"/>
      <c r="AA109" s="102" t="n"/>
      <c r="AB109" s="70" t="n"/>
      <c r="AC109" s="70" t="n"/>
      <c r="AD109" s="494" t="n"/>
      <c r="AE109" s="71" t="n"/>
      <c r="AG109" s="71" t="n"/>
      <c r="AI109" s="71" t="n"/>
      <c r="AK109" s="71" t="n"/>
      <c r="AL109" s="71" t="n"/>
      <c r="AM109" s="71" t="n"/>
      <c r="AN109" s="71" t="n"/>
      <c r="AO109" s="71" t="n"/>
      <c r="AW109" s="100" t="n"/>
      <c r="AX109" s="100" t="n"/>
      <c r="AY109" s="100" t="n"/>
      <c r="AZ109" s="101" t="n"/>
      <c r="BA109" s="70" t="n"/>
      <c r="BB109" s="70" t="n"/>
      <c r="BC109" s="70" t="n"/>
      <c r="BD109" s="70" t="n"/>
      <c r="BE109" s="91" t="n"/>
      <c r="BF109" s="71" t="n"/>
      <c r="BG109" s="71" t="n"/>
      <c r="BH109" s="71" t="n"/>
      <c r="BI109" s="71" t="n"/>
      <c r="BJ109" s="71" t="n"/>
      <c r="BK109" s="71" t="n"/>
      <c r="BL109" s="93" t="n"/>
      <c r="BM109" s="71" t="n"/>
      <c r="BN109" s="71" t="n"/>
      <c r="BO109" s="71" t="n"/>
      <c r="BP109" s="71" t="n"/>
      <c r="BQ109" s="71" t="n"/>
      <c r="BR109" s="71" t="n"/>
      <c r="BS109" s="71" t="n"/>
      <c r="BT109" s="504" t="n"/>
      <c r="BU109" s="504" t="n"/>
      <c r="BV109" s="504" t="n"/>
      <c r="BW109" s="504" t="n"/>
      <c r="BX109" s="504" t="n"/>
      <c r="BY109" s="504" t="n"/>
      <c r="BZ109" s="504" t="n"/>
      <c r="CA109" s="100" t="n"/>
      <c r="CB109" s="100" t="n"/>
      <c r="CC109" s="100" t="n"/>
      <c r="CD109" s="30" t="n"/>
    </row>
    <row r="110" hidden="1" ht="3" customHeight="1">
      <c r="B110" s="388" t="n"/>
      <c r="C110" s="494" t="n"/>
      <c r="D110" s="71" t="n"/>
      <c r="F110" s="71" t="n"/>
      <c r="H110" s="71" t="n"/>
      <c r="J110" s="71" t="n"/>
      <c r="K110" s="71" t="n"/>
      <c r="L110" s="71" t="n"/>
      <c r="M110" s="71" t="n"/>
      <c r="N110" s="130" t="n"/>
      <c r="V110" s="71" t="n"/>
      <c r="W110" s="71" t="n"/>
      <c r="X110" s="71" t="n"/>
      <c r="Y110" s="92" t="n"/>
      <c r="Z110" s="70" t="n"/>
      <c r="AA110" s="70" t="n"/>
      <c r="AB110" s="70" t="n"/>
      <c r="AC110" s="70" t="n"/>
      <c r="AD110" s="494" t="n"/>
      <c r="AE110" s="71" t="n"/>
      <c r="AG110" s="71" t="n"/>
      <c r="AI110" s="71" t="n"/>
      <c r="AK110" s="71" t="n"/>
      <c r="AL110" s="71" t="n"/>
      <c r="AM110" s="71" t="n"/>
      <c r="AN110" s="71" t="n"/>
      <c r="AO110" s="130" t="n"/>
      <c r="AW110" s="71" t="n"/>
      <c r="AX110" s="71" t="n"/>
      <c r="AY110" s="71" t="n"/>
      <c r="AZ110" s="92" t="n"/>
      <c r="BA110" s="70" t="n"/>
      <c r="BB110" s="70" t="n"/>
      <c r="BC110" s="70" t="n"/>
      <c r="BD110" s="70" t="n"/>
      <c r="BE110" s="91" t="n"/>
      <c r="BF110" s="71" t="n"/>
      <c r="BG110" s="71" t="n"/>
      <c r="BH110" s="71" t="n"/>
      <c r="BI110" s="71" t="n"/>
      <c r="BJ110" s="71" t="n"/>
      <c r="BK110" s="71" t="n"/>
      <c r="BL110" s="93" t="n"/>
      <c r="BM110" s="71" t="n"/>
      <c r="BN110" s="71" t="n"/>
      <c r="BO110" s="71" t="n"/>
      <c r="BP110" s="71" t="n"/>
      <c r="BQ110" s="71" t="n"/>
      <c r="BR110" s="71" t="n"/>
      <c r="BS110" s="130" t="n"/>
      <c r="BT110" s="504" t="n"/>
      <c r="BU110" s="504" t="n"/>
      <c r="BV110" s="504" t="n"/>
      <c r="BW110" s="504" t="n"/>
      <c r="BX110" s="504" t="n"/>
      <c r="BY110" s="504" t="n"/>
      <c r="BZ110" s="504" t="n"/>
      <c r="CA110" s="71" t="n"/>
      <c r="CB110" s="71" t="n"/>
      <c r="CC110" s="71" t="n"/>
      <c r="CD110" s="10" t="n"/>
    </row>
    <row r="111" hidden="1" ht="3" customHeight="1">
      <c r="C111" s="494" t="n"/>
      <c r="D111" s="71" t="n"/>
      <c r="F111" s="71" t="n"/>
      <c r="H111" s="71" t="n"/>
      <c r="J111" s="71" t="n"/>
      <c r="K111" s="71" t="n"/>
      <c r="L111" s="71" t="n"/>
      <c r="M111" s="71" t="n"/>
      <c r="N111" s="71" t="n"/>
      <c r="O111" s="71" t="n"/>
      <c r="P111" s="71" t="n"/>
      <c r="Q111" s="71" t="n"/>
      <c r="R111" s="71" t="n"/>
      <c r="S111" s="71" t="n"/>
      <c r="T111" s="71" t="n"/>
      <c r="U111" s="71" t="n"/>
      <c r="V111" s="71" t="n"/>
      <c r="W111" s="71" t="n"/>
      <c r="X111" s="71" t="n"/>
      <c r="Y111" s="92" t="n"/>
      <c r="Z111" s="70" t="n"/>
      <c r="AA111" s="70" t="n"/>
      <c r="AB111" s="70" t="n"/>
      <c r="AC111" s="70" t="n"/>
      <c r="AD111" s="494" t="n"/>
      <c r="AE111" s="71" t="n"/>
      <c r="AG111" s="71" t="n"/>
      <c r="AI111" s="71" t="n"/>
      <c r="AK111" s="71" t="n"/>
      <c r="AL111" s="71" t="n"/>
      <c r="AM111" s="71" t="n"/>
      <c r="AN111" s="71" t="n"/>
      <c r="AO111" s="71" t="n"/>
      <c r="AP111" s="71" t="n"/>
      <c r="AQ111" s="71" t="n"/>
      <c r="AR111" s="71" t="n"/>
      <c r="AS111" s="71" t="n"/>
      <c r="AT111" s="71" t="n"/>
      <c r="AU111" s="71" t="n"/>
      <c r="AV111" s="71" t="n"/>
      <c r="AW111" s="71" t="n"/>
      <c r="AX111" s="71" t="n"/>
      <c r="AY111" s="71" t="n"/>
      <c r="AZ111" s="92" t="n"/>
      <c r="BA111" s="70" t="n"/>
      <c r="BB111" s="70" t="n"/>
      <c r="BC111" s="70" t="n"/>
      <c r="BD111" s="70" t="n"/>
      <c r="BE111" s="91" t="n"/>
      <c r="BF111" s="71" t="n"/>
      <c r="BG111" s="71" t="n"/>
      <c r="BH111" s="71" t="n"/>
      <c r="BI111" s="71" t="n"/>
      <c r="BJ111" s="71" t="n"/>
      <c r="BK111" s="71" t="n"/>
      <c r="BL111" s="93" t="n"/>
      <c r="BM111" s="71" t="n"/>
      <c r="BN111" s="71" t="n"/>
      <c r="BO111" s="71" t="n"/>
      <c r="BP111" s="71" t="n"/>
      <c r="BQ111" s="71" t="n"/>
      <c r="BR111" s="71" t="n"/>
      <c r="BS111" s="71" t="n"/>
      <c r="BT111" s="71" t="n"/>
      <c r="BU111" s="71" t="n"/>
      <c r="BV111" s="71" t="n"/>
      <c r="BW111" s="71" t="n"/>
      <c r="BX111" s="71" t="n"/>
      <c r="BY111" s="71" t="n"/>
      <c r="BZ111" s="71" t="n"/>
      <c r="CA111" s="71" t="n"/>
      <c r="CB111" s="71" t="n"/>
      <c r="CC111" s="71" t="n"/>
      <c r="CD111" s="10" t="n"/>
    </row>
    <row r="112" hidden="1" ht="9" customHeight="1">
      <c r="C112" s="79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92" t="n"/>
      <c r="Z112" s="70" t="n"/>
      <c r="AA112" s="70" t="n"/>
      <c r="AB112" s="70" t="n"/>
      <c r="AC112" s="70" t="n"/>
      <c r="AD112" s="79" t="n"/>
      <c r="AE112" s="71" t="n"/>
      <c r="AF112" s="71" t="n"/>
      <c r="AG112" s="71" t="n"/>
      <c r="AH112" s="71" t="n"/>
      <c r="AI112" s="71" t="n"/>
      <c r="AJ112" s="71" t="n"/>
      <c r="AK112" s="71" t="n"/>
      <c r="AL112" s="71" t="n"/>
      <c r="AM112" s="71" t="n"/>
      <c r="AN112" s="71" t="n"/>
      <c r="AO112" s="71" t="n"/>
      <c r="AP112" s="71" t="n"/>
      <c r="AQ112" s="71" t="n"/>
      <c r="AR112" s="71" t="n"/>
      <c r="AS112" s="71" t="n"/>
      <c r="AT112" s="71" t="n"/>
      <c r="AU112" s="71" t="n"/>
      <c r="AV112" s="71" t="n"/>
      <c r="AW112" s="71" t="n"/>
      <c r="AX112" s="71" t="n"/>
      <c r="AY112" s="71" t="n"/>
      <c r="AZ112" s="92" t="n"/>
      <c r="BA112" s="70" t="n"/>
      <c r="BB112" s="70" t="n"/>
      <c r="BC112" s="70" t="n"/>
      <c r="BD112" s="70" t="n"/>
      <c r="BE112" s="71" t="n"/>
      <c r="BF112" s="71" t="n"/>
      <c r="BG112" s="71" t="n"/>
      <c r="BH112" s="71" t="n"/>
      <c r="BI112" s="71" t="n"/>
      <c r="BJ112" s="71" t="n"/>
      <c r="BK112" s="71" t="n"/>
      <c r="BL112" s="71" t="n"/>
      <c r="BM112" s="71" t="n"/>
      <c r="BN112" s="71" t="n"/>
      <c r="BO112" s="71" t="n"/>
      <c r="BP112" s="71" t="n"/>
      <c r="BQ112" s="71" t="n"/>
      <c r="BR112" s="71" t="n"/>
      <c r="BS112" s="71" t="n"/>
      <c r="BT112" s="71" t="n"/>
      <c r="BU112" s="71" t="n"/>
      <c r="BV112" s="71" t="n"/>
      <c r="BW112" s="71" t="n"/>
      <c r="BX112" s="71" t="n"/>
      <c r="BY112" s="71" t="n"/>
      <c r="BZ112" s="71" t="n"/>
      <c r="CA112" s="71" t="n"/>
      <c r="CB112" s="71" t="n"/>
      <c r="CC112" s="71" t="n"/>
      <c r="CD112" s="10" t="n"/>
    </row>
    <row r="113" hidden="1" ht="3" customHeight="1">
      <c r="B113" s="388" t="n"/>
      <c r="C113" s="129" t="inlineStr">
        <is>
          <t>PMT</t>
        </is>
      </c>
      <c r="D113" s="70" t="n"/>
      <c r="E113" s="195" t="inlineStr">
        <is>
          <t>=</t>
        </is>
      </c>
      <c r="F113" s="70" t="n"/>
      <c r="G113" s="193">
        <f>G97</f>
        <v/>
      </c>
      <c r="H113" s="70" t="n"/>
      <c r="I113" s="195" t="inlineStr">
        <is>
          <t>x</t>
        </is>
      </c>
      <c r="J113" s="70" t="n"/>
      <c r="K113" s="501">
        <f>O97/O105</f>
        <v/>
      </c>
      <c r="T113" s="505" t="n"/>
      <c r="U113" s="505" t="n"/>
      <c r="V113" s="70" t="n"/>
      <c r="W113" s="70" t="n"/>
      <c r="X113" s="70" t="n"/>
      <c r="Y113" s="78" t="n"/>
      <c r="Z113" s="70" t="n"/>
      <c r="AA113" s="70" t="n"/>
      <c r="AB113" s="70" t="n"/>
      <c r="AC113" s="70" t="n"/>
      <c r="AD113" s="129" t="inlineStr">
        <is>
          <t>PMT</t>
        </is>
      </c>
      <c r="AE113" s="70" t="n"/>
      <c r="AF113" s="195" t="inlineStr">
        <is>
          <t>=</t>
        </is>
      </c>
      <c r="AG113" s="70" t="n"/>
      <c r="AH113" s="193">
        <f>AH97</f>
        <v/>
      </c>
      <c r="AI113" s="70" t="n"/>
      <c r="AJ113" s="195" t="inlineStr">
        <is>
          <t>x</t>
        </is>
      </c>
      <c r="AK113" s="70" t="n"/>
      <c r="AL113" s="501">
        <f>AP97/AP105</f>
        <v/>
      </c>
      <c r="AU113" s="505" t="n"/>
      <c r="AV113" s="505" t="n"/>
      <c r="AW113" s="70" t="n"/>
      <c r="AX113" s="70" t="n"/>
      <c r="AY113" s="70" t="n"/>
      <c r="AZ113" s="78" t="n"/>
      <c r="BA113" s="70" t="n"/>
      <c r="BB113" s="70" t="n"/>
      <c r="BC113" s="70" t="n"/>
      <c r="BD113" s="70" t="n"/>
      <c r="BE113" s="91" t="n"/>
      <c r="BF113" s="70" t="n"/>
      <c r="BG113" s="70" t="n"/>
      <c r="BH113" s="70" t="n"/>
      <c r="BI113" s="70" t="n"/>
      <c r="BJ113" s="70" t="n"/>
      <c r="BK113" s="70" t="n"/>
      <c r="BL113" s="93" t="n"/>
      <c r="BM113" s="70" t="n"/>
      <c r="BN113" s="70" t="n"/>
      <c r="BO113" s="70" t="n"/>
      <c r="BP113" s="503" t="n"/>
      <c r="BQ113" s="503" t="n"/>
      <c r="BR113" s="503" t="n"/>
      <c r="BS113" s="503" t="n"/>
      <c r="BT113" s="503" t="n"/>
      <c r="BU113" s="503" t="n"/>
      <c r="BV113" s="503" t="n"/>
      <c r="BW113" s="503" t="n"/>
      <c r="BX113" s="503" t="n"/>
      <c r="BY113" s="505" t="n"/>
      <c r="BZ113" s="505" t="n"/>
      <c r="CA113" s="70" t="n"/>
      <c r="CB113" s="70" t="n"/>
      <c r="CC113" s="70" t="n"/>
    </row>
    <row r="114" hidden="1" ht="3" customHeight="1">
      <c r="B114" s="388" t="n"/>
      <c r="C114" s="494" t="n"/>
      <c r="D114" s="70" t="n"/>
      <c r="F114" s="70" t="n"/>
      <c r="H114" s="70" t="n"/>
      <c r="J114" s="70" t="n"/>
      <c r="T114" s="505" t="n"/>
      <c r="U114" s="505" t="n"/>
      <c r="V114" s="70" t="n"/>
      <c r="W114" s="70" t="n"/>
      <c r="X114" s="70" t="n"/>
      <c r="Y114" s="78" t="n"/>
      <c r="Z114" s="70" t="n"/>
      <c r="AA114" s="70" t="n"/>
      <c r="AB114" s="70" t="n"/>
      <c r="AC114" s="70" t="n"/>
      <c r="AD114" s="494" t="n"/>
      <c r="AE114" s="70" t="n"/>
      <c r="AG114" s="70" t="n"/>
      <c r="AI114" s="70" t="n"/>
      <c r="AK114" s="70" t="n"/>
      <c r="AU114" s="505" t="n"/>
      <c r="AV114" s="505" t="n"/>
      <c r="AW114" s="70" t="n"/>
      <c r="AX114" s="70" t="n"/>
      <c r="AY114" s="70" t="n"/>
      <c r="AZ114" s="78" t="n"/>
      <c r="BA114" s="70" t="n"/>
      <c r="BB114" s="70" t="n"/>
      <c r="BC114" s="70" t="n"/>
      <c r="BD114" s="70" t="n"/>
      <c r="BE114" s="91" t="n"/>
      <c r="BF114" s="70" t="n"/>
      <c r="BG114" s="70" t="n"/>
      <c r="BH114" s="70" t="n"/>
      <c r="BI114" s="70" t="n"/>
      <c r="BJ114" s="70" t="n"/>
      <c r="BK114" s="70" t="n"/>
      <c r="BL114" s="93" t="n"/>
      <c r="BM114" s="70" t="n"/>
      <c r="BN114" s="70" t="n"/>
      <c r="BO114" s="70" t="n"/>
      <c r="BP114" s="503" t="n"/>
      <c r="BQ114" s="503" t="n"/>
      <c r="BR114" s="503" t="n"/>
      <c r="BS114" s="503" t="n"/>
      <c r="BT114" s="503" t="n"/>
      <c r="BU114" s="503" t="n"/>
      <c r="BV114" s="503" t="n"/>
      <c r="BW114" s="503" t="n"/>
      <c r="BX114" s="503" t="n"/>
      <c r="BY114" s="505" t="n"/>
      <c r="BZ114" s="505" t="n"/>
      <c r="CA114" s="70" t="n"/>
      <c r="CB114" s="70" t="n"/>
      <c r="CC114" s="70" t="n"/>
    </row>
    <row r="115" hidden="1" ht="3" customHeight="1">
      <c r="B115" s="388" t="n"/>
      <c r="C115" s="494" t="n"/>
      <c r="D115" s="70" t="n"/>
      <c r="F115" s="70" t="n"/>
      <c r="H115" s="70" t="n"/>
      <c r="J115" s="70" t="n"/>
      <c r="T115" s="505" t="n"/>
      <c r="U115" s="505" t="n"/>
      <c r="V115" s="70" t="n"/>
      <c r="W115" s="70" t="n"/>
      <c r="X115" s="70" t="n"/>
      <c r="Y115" s="78" t="n"/>
      <c r="Z115" s="70" t="n"/>
      <c r="AA115" s="70" t="n"/>
      <c r="AB115" s="70" t="n"/>
      <c r="AC115" s="70" t="n"/>
      <c r="AD115" s="494" t="n"/>
      <c r="AE115" s="70" t="n"/>
      <c r="AG115" s="70" t="n"/>
      <c r="AI115" s="70" t="n"/>
      <c r="AK115" s="70" t="n"/>
      <c r="AU115" s="505" t="n"/>
      <c r="AV115" s="505" t="n"/>
      <c r="AW115" s="70" t="n"/>
      <c r="AX115" s="70" t="n"/>
      <c r="AY115" s="70" t="n"/>
      <c r="AZ115" s="78" t="n"/>
      <c r="BA115" s="70" t="n"/>
      <c r="BB115" s="70" t="n"/>
      <c r="BC115" s="70" t="n"/>
      <c r="BD115" s="70" t="n"/>
      <c r="BE115" s="91" t="n"/>
      <c r="BF115" s="70" t="n"/>
      <c r="BG115" s="70" t="n"/>
      <c r="BH115" s="70" t="n"/>
      <c r="BI115" s="70" t="n"/>
      <c r="BJ115" s="70" t="n"/>
      <c r="BK115" s="70" t="n"/>
      <c r="BL115" s="93" t="n"/>
      <c r="BM115" s="70" t="n"/>
      <c r="BN115" s="70" t="n"/>
      <c r="BO115" s="70" t="n"/>
      <c r="BP115" s="503" t="n"/>
      <c r="BQ115" s="503" t="n"/>
      <c r="BR115" s="503" t="n"/>
      <c r="BS115" s="503" t="n"/>
      <c r="BT115" s="503" t="n"/>
      <c r="BU115" s="503" t="n"/>
      <c r="BV115" s="503" t="n"/>
      <c r="BW115" s="503" t="n"/>
      <c r="BX115" s="503" t="n"/>
      <c r="BY115" s="505" t="n"/>
      <c r="BZ115" s="505" t="n"/>
      <c r="CA115" s="70" t="n"/>
      <c r="CB115" s="70" t="n"/>
      <c r="CC115" s="70" t="n"/>
    </row>
    <row r="116" hidden="1" ht="3" customHeight="1">
      <c r="B116" s="388" t="n"/>
      <c r="C116" s="494" t="n"/>
      <c r="D116" s="70" t="n"/>
      <c r="F116" s="70" t="n"/>
      <c r="H116" s="70" t="n"/>
      <c r="J116" s="70" t="n"/>
      <c r="T116" s="505" t="n"/>
      <c r="U116" s="505" t="n"/>
      <c r="V116" s="70" t="n"/>
      <c r="W116" s="70" t="n"/>
      <c r="X116" s="70" t="n"/>
      <c r="Y116" s="78" t="n"/>
      <c r="Z116" s="70" t="n"/>
      <c r="AA116" s="70" t="n"/>
      <c r="AB116" s="70" t="n"/>
      <c r="AC116" s="70" t="n"/>
      <c r="AD116" s="494" t="n"/>
      <c r="AE116" s="70" t="n"/>
      <c r="AG116" s="70" t="n"/>
      <c r="AI116" s="70" t="n"/>
      <c r="AK116" s="70" t="n"/>
      <c r="AU116" s="505" t="n"/>
      <c r="AV116" s="505" t="n"/>
      <c r="AW116" s="70" t="n"/>
      <c r="AX116" s="70" t="n"/>
      <c r="AY116" s="70" t="n"/>
      <c r="AZ116" s="78" t="n"/>
      <c r="BA116" s="70" t="n"/>
      <c r="BB116" s="70" t="n"/>
      <c r="BC116" s="70" t="n"/>
      <c r="BD116" s="70" t="n"/>
      <c r="BE116" s="91" t="n"/>
      <c r="BF116" s="70" t="n"/>
      <c r="BG116" s="70" t="n"/>
      <c r="BH116" s="70" t="n"/>
      <c r="BI116" s="70" t="n"/>
      <c r="BJ116" s="70" t="n"/>
      <c r="BK116" s="70" t="n"/>
      <c r="BL116" s="93" t="n"/>
      <c r="BM116" s="70" t="n"/>
      <c r="BN116" s="70" t="n"/>
      <c r="BO116" s="70" t="n"/>
      <c r="BP116" s="503" t="n"/>
      <c r="BQ116" s="503" t="n"/>
      <c r="BR116" s="503" t="n"/>
      <c r="BS116" s="503" t="n"/>
      <c r="BT116" s="503" t="n"/>
      <c r="BU116" s="503" t="n"/>
      <c r="BV116" s="503" t="n"/>
      <c r="BW116" s="503" t="n"/>
      <c r="BX116" s="503" t="n"/>
      <c r="BY116" s="505" t="n"/>
      <c r="BZ116" s="505" t="n"/>
      <c r="CA116" s="70" t="n"/>
      <c r="CB116" s="70" t="n"/>
      <c r="CC116" s="70" t="n"/>
    </row>
    <row r="117" hidden="1" ht="3" customHeight="1">
      <c r="B117" s="388" t="n"/>
      <c r="C117" s="494" t="n"/>
      <c r="D117" s="70" t="n"/>
      <c r="F117" s="70" t="n"/>
      <c r="H117" s="70" t="n"/>
      <c r="J117" s="70" t="n"/>
      <c r="T117" s="505" t="n"/>
      <c r="U117" s="505" t="n"/>
      <c r="V117" s="70" t="n"/>
      <c r="W117" s="70" t="n"/>
      <c r="X117" s="70" t="n"/>
      <c r="Y117" s="78" t="n"/>
      <c r="Z117" s="70" t="n"/>
      <c r="AA117" s="70" t="n"/>
      <c r="AB117" s="70" t="n"/>
      <c r="AC117" s="70" t="n"/>
      <c r="AD117" s="494" t="n"/>
      <c r="AE117" s="70" t="n"/>
      <c r="AG117" s="70" t="n"/>
      <c r="AI117" s="70" t="n"/>
      <c r="AK117" s="70" t="n"/>
      <c r="AU117" s="505" t="n"/>
      <c r="AV117" s="505" t="n"/>
      <c r="AW117" s="70" t="n"/>
      <c r="AX117" s="70" t="n"/>
      <c r="AY117" s="70" t="n"/>
      <c r="AZ117" s="78" t="n"/>
      <c r="BA117" s="70" t="n"/>
      <c r="BB117" s="70" t="n"/>
      <c r="BC117" s="70" t="n"/>
      <c r="BD117" s="70" t="n"/>
      <c r="BE117" s="91" t="n"/>
      <c r="BF117" s="70" t="n"/>
      <c r="BG117" s="70" t="n"/>
      <c r="BH117" s="70" t="n"/>
      <c r="BI117" s="70" t="n"/>
      <c r="BJ117" s="70" t="n"/>
      <c r="BK117" s="70" t="n"/>
      <c r="BL117" s="93" t="n"/>
      <c r="BM117" s="70" t="n"/>
      <c r="BN117" s="70" t="n"/>
      <c r="BO117" s="70" t="n"/>
      <c r="BP117" s="503" t="n"/>
      <c r="BQ117" s="503" t="n"/>
      <c r="BR117" s="503" t="n"/>
      <c r="BS117" s="503" t="n"/>
      <c r="BT117" s="503" t="n"/>
      <c r="BU117" s="503" t="n"/>
      <c r="BV117" s="503" t="n"/>
      <c r="BW117" s="503" t="n"/>
      <c r="BX117" s="503" t="n"/>
      <c r="BY117" s="505" t="n"/>
      <c r="BZ117" s="505" t="n"/>
      <c r="CA117" s="70" t="n"/>
      <c r="CB117" s="70" t="n"/>
      <c r="CC117" s="70" t="n"/>
    </row>
    <row r="118" hidden="1" ht="3" customHeight="1">
      <c r="B118" s="388" t="n"/>
      <c r="C118" s="494" t="n"/>
      <c r="D118" s="70" t="n"/>
      <c r="F118" s="70" t="n"/>
      <c r="H118" s="70" t="n"/>
      <c r="J118" s="70" t="n"/>
      <c r="T118" s="505" t="n"/>
      <c r="U118" s="505" t="n"/>
      <c r="V118" s="70" t="n"/>
      <c r="W118" s="70" t="n"/>
      <c r="X118" s="70" t="n"/>
      <c r="Y118" s="78" t="n"/>
      <c r="Z118" s="70" t="n"/>
      <c r="AA118" s="70" t="n"/>
      <c r="AB118" s="70" t="n"/>
      <c r="AC118" s="70" t="n"/>
      <c r="AD118" s="494" t="n"/>
      <c r="AE118" s="70" t="n"/>
      <c r="AG118" s="70" t="n"/>
      <c r="AI118" s="70" t="n"/>
      <c r="AK118" s="70" t="n"/>
      <c r="AU118" s="505" t="n"/>
      <c r="AV118" s="505" t="n"/>
      <c r="AW118" s="70" t="n"/>
      <c r="AX118" s="70" t="n"/>
      <c r="AY118" s="70" t="n"/>
      <c r="AZ118" s="78" t="n"/>
      <c r="BA118" s="70" t="n"/>
      <c r="BB118" s="70" t="n"/>
      <c r="BC118" s="70" t="n"/>
      <c r="BD118" s="70" t="n"/>
      <c r="BE118" s="91" t="n"/>
      <c r="BF118" s="70" t="n"/>
      <c r="BG118" s="70" t="n"/>
      <c r="BH118" s="70" t="n"/>
      <c r="BI118" s="70" t="n"/>
      <c r="BJ118" s="70" t="n"/>
      <c r="BK118" s="70" t="n"/>
      <c r="BL118" s="93" t="n"/>
      <c r="BM118" s="70" t="n"/>
      <c r="BN118" s="70" t="n"/>
      <c r="BO118" s="70" t="n"/>
      <c r="BP118" s="503" t="n"/>
      <c r="BQ118" s="503" t="n"/>
      <c r="BR118" s="503" t="n"/>
      <c r="BS118" s="503" t="n"/>
      <c r="BT118" s="503" t="n"/>
      <c r="BU118" s="503" t="n"/>
      <c r="BV118" s="503" t="n"/>
      <c r="BW118" s="503" t="n"/>
      <c r="BX118" s="503" t="n"/>
      <c r="BY118" s="505" t="n"/>
      <c r="BZ118" s="505" t="n"/>
      <c r="CA118" s="70" t="n"/>
      <c r="CB118" s="70" t="n"/>
      <c r="CC118" s="70" t="n"/>
    </row>
    <row r="119" hidden="1" ht="3" customHeight="1">
      <c r="B119" s="388" t="n"/>
      <c r="C119" s="494" t="n"/>
      <c r="D119" s="195" t="n"/>
      <c r="F119" s="70" t="n"/>
      <c r="H119" s="70" t="n"/>
      <c r="J119" s="70" t="n"/>
      <c r="T119" s="70" t="n"/>
      <c r="U119" s="70" t="n"/>
      <c r="V119" s="70" t="n"/>
      <c r="W119" s="70" t="n"/>
      <c r="X119" s="70" t="n"/>
      <c r="Y119" s="78" t="n"/>
      <c r="Z119" s="70" t="n"/>
      <c r="AA119" s="70" t="n"/>
      <c r="AB119" s="70" t="n"/>
      <c r="AC119" s="70" t="n"/>
      <c r="AD119" s="494" t="n"/>
      <c r="AE119" s="195" t="n"/>
      <c r="AG119" s="70" t="n"/>
      <c r="AI119" s="70" t="n"/>
      <c r="AK119" s="70" t="n"/>
      <c r="AU119" s="70" t="n"/>
      <c r="AV119" s="70" t="n"/>
      <c r="AW119" s="70" t="n"/>
      <c r="AX119" s="70" t="n"/>
      <c r="AY119" s="70" t="n"/>
      <c r="AZ119" s="78" t="n"/>
      <c r="BA119" s="70" t="n"/>
      <c r="BB119" s="70" t="n"/>
      <c r="BC119" s="70" t="n"/>
      <c r="BD119" s="70" t="n"/>
      <c r="BE119" s="91" t="n"/>
      <c r="BF119" s="195" t="n"/>
      <c r="BG119" s="70" t="n"/>
      <c r="BH119" s="70" t="n"/>
      <c r="BI119" s="70" t="n"/>
      <c r="BJ119" s="70" t="n"/>
      <c r="BK119" s="70" t="n"/>
      <c r="BL119" s="93" t="n"/>
      <c r="BM119" s="70" t="n"/>
      <c r="BN119" s="70" t="n"/>
      <c r="BO119" s="70" t="n"/>
      <c r="BP119" s="503" t="n"/>
      <c r="BQ119" s="503" t="n"/>
      <c r="BR119" s="503" t="n"/>
      <c r="BS119" s="503" t="n"/>
      <c r="BT119" s="503" t="n"/>
      <c r="BU119" s="503" t="n"/>
      <c r="BV119" s="503" t="n"/>
      <c r="BW119" s="503" t="n"/>
      <c r="BX119" s="503" t="n"/>
      <c r="BY119" s="70" t="n"/>
      <c r="BZ119" s="70" t="n"/>
      <c r="CA119" s="70" t="n"/>
      <c r="CB119" s="70" t="n"/>
      <c r="CC119" s="70" t="n"/>
    </row>
    <row r="120" ht="1.5" customHeight="1">
      <c r="C120" s="77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8" t="n"/>
      <c r="Z120" s="70" t="n"/>
      <c r="AA120" s="70" t="n"/>
      <c r="AB120" s="70" t="n"/>
      <c r="AC120" s="70" t="n"/>
      <c r="AD120" s="77" t="n"/>
      <c r="AE120" s="70" t="n"/>
      <c r="AF120" s="70" t="n"/>
      <c r="AG120" s="70" t="n"/>
      <c r="AH120" s="70" t="n"/>
      <c r="AI120" s="70" t="n"/>
      <c r="AJ120" s="70" t="n"/>
      <c r="AK120" s="70" t="n"/>
      <c r="AL120" s="70" t="n"/>
      <c r="AM120" s="70" t="n"/>
      <c r="AN120" s="70" t="n"/>
      <c r="AO120" s="70" t="n"/>
      <c r="AP120" s="70" t="n"/>
      <c r="AQ120" s="70" t="n"/>
      <c r="AR120" s="70" t="n"/>
      <c r="AS120" s="70" t="n"/>
      <c r="AT120" s="70" t="n"/>
      <c r="AU120" s="70" t="n"/>
      <c r="AV120" s="70" t="n"/>
      <c r="AW120" s="70" t="n"/>
      <c r="AX120" s="70" t="n"/>
      <c r="AY120" s="70" t="n"/>
      <c r="AZ120" s="78" t="n"/>
      <c r="BA120" s="70" t="n"/>
      <c r="BB120" s="70" t="n"/>
      <c r="BC120" s="70" t="n"/>
      <c r="BD120" s="70" t="n"/>
      <c r="BE120" s="70" t="n"/>
      <c r="BF120" s="70" t="n"/>
      <c r="BG120" s="70" t="n"/>
      <c r="BH120" s="70" t="n"/>
      <c r="BI120" s="70" t="n"/>
      <c r="BJ120" s="70" t="n"/>
      <c r="BK120" s="70" t="n"/>
      <c r="BL120" s="70" t="n"/>
      <c r="BM120" s="70" t="n"/>
      <c r="BN120" s="70" t="n"/>
      <c r="BO120" s="70" t="n"/>
      <c r="BP120" s="70" t="n"/>
      <c r="BQ120" s="70" t="n"/>
      <c r="BR120" s="70" t="n"/>
      <c r="BS120" s="70" t="n"/>
      <c r="BT120" s="70" t="n"/>
      <c r="BU120" s="70" t="n"/>
      <c r="BV120" s="70" t="n"/>
      <c r="BW120" s="70" t="n"/>
      <c r="BX120" s="70" t="n"/>
      <c r="BY120" s="70" t="n"/>
      <c r="BZ120" s="70" t="n"/>
      <c r="CA120" s="70" t="n"/>
      <c r="CB120" s="70" t="n"/>
      <c r="CC120" s="70" t="n"/>
    </row>
    <row r="121" ht="3" customHeight="1">
      <c r="B121" s="388" t="n"/>
      <c r="C121" s="191" t="inlineStr">
        <is>
          <t>Valor da parcela</t>
        </is>
      </c>
      <c r="D121" s="70" t="n"/>
      <c r="E121" s="192" t="inlineStr">
        <is>
          <t>=</t>
        </is>
      </c>
      <c r="F121" s="70" t="n"/>
      <c r="G121" s="194">
        <f>(G113*K113)</f>
        <v/>
      </c>
      <c r="H121" s="70" t="n"/>
      <c r="I121" s="195" t="n"/>
      <c r="J121" s="70" t="n"/>
      <c r="K121" s="506" t="n"/>
      <c r="L121" s="506" t="n"/>
      <c r="M121" s="506" t="n"/>
      <c r="N121" s="506" t="n"/>
      <c r="O121" s="506" t="n"/>
      <c r="P121" s="506" t="n"/>
      <c r="Q121" s="506" t="n"/>
      <c r="R121" s="506" t="n"/>
      <c r="S121" s="506" t="n"/>
      <c r="T121" s="505" t="n"/>
      <c r="U121" s="505" t="n"/>
      <c r="V121" s="70" t="n"/>
      <c r="W121" s="70" t="n"/>
      <c r="X121" s="70" t="n"/>
      <c r="Y121" s="78" t="n"/>
      <c r="Z121" s="70" t="n"/>
      <c r="AA121" s="70" t="n"/>
      <c r="AB121" s="70" t="n"/>
      <c r="AC121" s="70" t="n"/>
      <c r="AD121" s="191" t="inlineStr">
        <is>
          <t>Valor da parcela</t>
        </is>
      </c>
      <c r="AE121" s="70" t="n"/>
      <c r="AF121" s="192" t="inlineStr">
        <is>
          <t>=</t>
        </is>
      </c>
      <c r="AG121" s="70" t="n"/>
      <c r="AH121" s="194">
        <f>(AH113*AL113)</f>
        <v/>
      </c>
      <c r="AI121" s="70" t="n"/>
      <c r="AJ121" s="195" t="n"/>
      <c r="AK121" s="70" t="n"/>
      <c r="AL121" s="506" t="n"/>
      <c r="AM121" s="506" t="n"/>
      <c r="AN121" s="506" t="n"/>
      <c r="AO121" s="506" t="n"/>
      <c r="AP121" s="506" t="n"/>
      <c r="AQ121" s="506" t="n"/>
      <c r="AR121" s="506" t="n"/>
      <c r="AS121" s="506" t="n"/>
      <c r="AT121" s="506" t="n"/>
      <c r="AU121" s="505" t="n"/>
      <c r="AV121" s="505" t="n"/>
      <c r="AW121" s="70" t="n"/>
      <c r="AX121" s="70" t="n"/>
      <c r="AY121" s="70" t="n"/>
      <c r="AZ121" s="78" t="n"/>
      <c r="BA121" s="70" t="n"/>
      <c r="BB121" s="70" t="n"/>
      <c r="BC121" s="70" t="n"/>
      <c r="BD121" s="70" t="n"/>
      <c r="BE121" s="91" t="n"/>
      <c r="BF121" s="70" t="n"/>
      <c r="BG121" s="71" t="n"/>
      <c r="BH121" s="70" t="n"/>
      <c r="BI121" s="70" t="n"/>
      <c r="BJ121" s="70" t="n"/>
      <c r="BK121" s="70" t="n"/>
      <c r="BL121" s="93" t="n"/>
      <c r="BM121" s="70" t="n"/>
      <c r="BN121" s="195" t="n"/>
      <c r="BO121" s="70" t="n"/>
      <c r="BP121" s="506" t="n"/>
      <c r="BQ121" s="506" t="n"/>
      <c r="BR121" s="506" t="n"/>
      <c r="BS121" s="506" t="n"/>
      <c r="BT121" s="506" t="n"/>
      <c r="BU121" s="506" t="n"/>
      <c r="BV121" s="506" t="n"/>
      <c r="BW121" s="506" t="n"/>
      <c r="BX121" s="506" t="n"/>
      <c r="BY121" s="505" t="n"/>
      <c r="BZ121" s="505" t="n"/>
      <c r="CA121" s="70" t="n"/>
      <c r="CB121" s="70" t="n"/>
      <c r="CC121" s="70" t="n"/>
    </row>
    <row r="122" ht="3" customHeight="1">
      <c r="B122" s="388" t="n"/>
      <c r="C122" s="494" t="n"/>
      <c r="D122" s="70" t="n"/>
      <c r="F122" s="70" t="n"/>
      <c r="H122" s="70" t="n"/>
      <c r="I122" s="195" t="n"/>
      <c r="J122" s="70" t="n"/>
      <c r="K122" s="506" t="n"/>
      <c r="L122" s="506" t="n"/>
      <c r="M122" s="506" t="n"/>
      <c r="N122" s="506" t="n"/>
      <c r="O122" s="506" t="n"/>
      <c r="P122" s="506" t="n"/>
      <c r="Q122" s="506" t="n"/>
      <c r="R122" s="506" t="n"/>
      <c r="S122" s="506" t="n"/>
      <c r="T122" s="505" t="n"/>
      <c r="U122" s="505" t="n"/>
      <c r="V122" s="70" t="n"/>
      <c r="W122" s="70" t="n"/>
      <c r="X122" s="70" t="n"/>
      <c r="Y122" s="78" t="n"/>
      <c r="Z122" s="70" t="n"/>
      <c r="AA122" s="70" t="n"/>
      <c r="AB122" s="70" t="n"/>
      <c r="AC122" s="70" t="n"/>
      <c r="AD122" s="494" t="n"/>
      <c r="AE122" s="70" t="n"/>
      <c r="AG122" s="70" t="n"/>
      <c r="AI122" s="70" t="n"/>
      <c r="AJ122" s="195" t="n"/>
      <c r="AK122" s="70" t="n"/>
      <c r="AL122" s="506" t="n"/>
      <c r="AM122" s="506" t="n"/>
      <c r="AN122" s="506" t="n"/>
      <c r="AO122" s="506" t="n"/>
      <c r="AP122" s="506" t="n"/>
      <c r="AQ122" s="506" t="n"/>
      <c r="AR122" s="506" t="n"/>
      <c r="AS122" s="506" t="n"/>
      <c r="AT122" s="506" t="n"/>
      <c r="AU122" s="505" t="n"/>
      <c r="AV122" s="505" t="n"/>
      <c r="AW122" s="70" t="n"/>
      <c r="AX122" s="70" t="n"/>
      <c r="AY122" s="70" t="n"/>
      <c r="AZ122" s="78" t="n"/>
      <c r="BA122" s="70" t="n"/>
      <c r="BB122" s="70" t="n"/>
      <c r="BC122" s="70" t="n"/>
      <c r="BD122" s="70" t="n"/>
      <c r="BE122" s="91" t="n"/>
      <c r="BF122" s="70" t="n"/>
      <c r="BG122" s="71" t="n"/>
      <c r="BH122" s="70" t="n"/>
      <c r="BI122" s="70" t="n"/>
      <c r="BJ122" s="70" t="n"/>
      <c r="BK122" s="70" t="n"/>
      <c r="BL122" s="93" t="n"/>
      <c r="BM122" s="70" t="n"/>
      <c r="BN122" s="195" t="n"/>
      <c r="BO122" s="70" t="n"/>
      <c r="BP122" s="506" t="n"/>
      <c r="BQ122" s="506" t="n"/>
      <c r="BR122" s="506" t="n"/>
      <c r="BS122" s="506" t="n"/>
      <c r="BT122" s="506" t="n"/>
      <c r="BU122" s="506" t="n"/>
      <c r="BV122" s="506" t="n"/>
      <c r="BW122" s="506" t="n"/>
      <c r="BX122" s="506" t="n"/>
      <c r="BY122" s="505" t="n"/>
      <c r="BZ122" s="505" t="n"/>
      <c r="CA122" s="70" t="n"/>
      <c r="CB122" s="70" t="n"/>
      <c r="CC122" s="70" t="n"/>
    </row>
    <row r="123" ht="3" customHeight="1">
      <c r="B123" s="388" t="n"/>
      <c r="C123" s="494" t="n"/>
      <c r="D123" s="70" t="n"/>
      <c r="F123" s="70" t="n"/>
      <c r="H123" s="70" t="n"/>
      <c r="I123" s="195" t="n"/>
      <c r="J123" s="70" t="n"/>
      <c r="K123" s="506" t="n"/>
      <c r="L123" s="506" t="n"/>
      <c r="M123" s="506" t="n"/>
      <c r="N123" s="506" t="n"/>
      <c r="O123" s="506" t="n"/>
      <c r="P123" s="506" t="n"/>
      <c r="Q123" s="506" t="n"/>
      <c r="R123" s="506" t="n"/>
      <c r="S123" s="506" t="n"/>
      <c r="T123" s="505" t="n"/>
      <c r="U123" s="505" t="n"/>
      <c r="V123" s="70" t="n"/>
      <c r="W123" s="70" t="n"/>
      <c r="X123" s="70" t="n"/>
      <c r="Y123" s="78" t="n"/>
      <c r="Z123" s="70" t="n"/>
      <c r="AA123" s="70" t="n"/>
      <c r="AB123" s="70" t="n"/>
      <c r="AC123" s="70" t="n"/>
      <c r="AD123" s="494" t="n"/>
      <c r="AE123" s="70" t="n"/>
      <c r="AG123" s="70" t="n"/>
      <c r="AI123" s="70" t="n"/>
      <c r="AJ123" s="195" t="n"/>
      <c r="AK123" s="70" t="n"/>
      <c r="AL123" s="506" t="n"/>
      <c r="AM123" s="506" t="n"/>
      <c r="AN123" s="506" t="n"/>
      <c r="AO123" s="506" t="n"/>
      <c r="AP123" s="506" t="n"/>
      <c r="AQ123" s="506" t="n"/>
      <c r="AR123" s="506" t="n"/>
      <c r="AS123" s="506" t="n"/>
      <c r="AT123" s="506" t="n"/>
      <c r="AU123" s="505" t="n"/>
      <c r="AV123" s="505" t="n"/>
      <c r="AW123" s="70" t="n"/>
      <c r="AX123" s="70" t="n"/>
      <c r="AY123" s="70" t="n"/>
      <c r="AZ123" s="78" t="n"/>
      <c r="BA123" s="70" t="n"/>
      <c r="BB123" s="70" t="n"/>
      <c r="BC123" s="70" t="n"/>
      <c r="BD123" s="70" t="n"/>
      <c r="BE123" s="91" t="n"/>
      <c r="BF123" s="70" t="n"/>
      <c r="BG123" s="71" t="n"/>
      <c r="BH123" s="70" t="n"/>
      <c r="BI123" s="70" t="n"/>
      <c r="BJ123" s="70" t="n"/>
      <c r="BK123" s="70" t="n"/>
      <c r="BL123" s="93" t="n"/>
      <c r="BM123" s="70" t="n"/>
      <c r="BN123" s="195" t="n"/>
      <c r="BO123" s="70" t="n"/>
      <c r="BP123" s="506" t="n"/>
      <c r="BQ123" s="506" t="n"/>
      <c r="BR123" s="506" t="n"/>
      <c r="BS123" s="506" t="n"/>
      <c r="BT123" s="506" t="n"/>
      <c r="BU123" s="506" t="n"/>
      <c r="BV123" s="506" t="n"/>
      <c r="BW123" s="506" t="n"/>
      <c r="BX123" s="506" t="n"/>
      <c r="BY123" s="505" t="n"/>
      <c r="BZ123" s="505" t="n"/>
      <c r="CA123" s="70" t="n"/>
      <c r="CB123" s="70" t="n"/>
      <c r="CC123" s="70" t="n"/>
    </row>
    <row r="124" ht="3" customHeight="1">
      <c r="B124" s="388" t="n"/>
      <c r="C124" s="494" t="n"/>
      <c r="D124" s="70" t="n"/>
      <c r="F124" s="70" t="n"/>
      <c r="H124" s="70" t="n"/>
      <c r="I124" s="195" t="n"/>
      <c r="J124" s="70" t="n"/>
      <c r="K124" s="506" t="n"/>
      <c r="L124" s="506" t="n"/>
      <c r="M124" s="506" t="n"/>
      <c r="N124" s="506" t="n"/>
      <c r="O124" s="506" t="n"/>
      <c r="P124" s="506" t="n"/>
      <c r="Q124" s="506" t="n"/>
      <c r="R124" s="506" t="n"/>
      <c r="S124" s="506" t="n"/>
      <c r="T124" s="505" t="n"/>
      <c r="U124" s="505" t="n"/>
      <c r="V124" s="70" t="n"/>
      <c r="W124" s="70" t="n"/>
      <c r="X124" s="70" t="n"/>
      <c r="Y124" s="78" t="n"/>
      <c r="Z124" s="70" t="n"/>
      <c r="AA124" s="70" t="n"/>
      <c r="AB124" s="70" t="n"/>
      <c r="AC124" s="70" t="n"/>
      <c r="AD124" s="494" t="n"/>
      <c r="AE124" s="70" t="n"/>
      <c r="AG124" s="70" t="n"/>
      <c r="AI124" s="70" t="n"/>
      <c r="AJ124" s="195" t="n"/>
      <c r="AK124" s="70" t="n"/>
      <c r="AL124" s="506" t="n"/>
      <c r="AM124" s="506" t="n"/>
      <c r="AN124" s="506" t="n"/>
      <c r="AO124" s="506" t="n"/>
      <c r="AP124" s="506" t="n"/>
      <c r="AQ124" s="506" t="n"/>
      <c r="AR124" s="506" t="n"/>
      <c r="AS124" s="506" t="n"/>
      <c r="AT124" s="506" t="n"/>
      <c r="AU124" s="505" t="n"/>
      <c r="AV124" s="505" t="n"/>
      <c r="AW124" s="70" t="n"/>
      <c r="AX124" s="70" t="n"/>
      <c r="AY124" s="70" t="n"/>
      <c r="AZ124" s="78" t="n"/>
      <c r="BA124" s="70" t="n"/>
      <c r="BB124" s="70" t="n"/>
      <c r="BC124" s="70" t="n"/>
      <c r="BD124" s="70" t="n"/>
      <c r="BE124" s="91" t="n"/>
      <c r="BF124" s="70" t="n"/>
      <c r="BG124" s="71" t="n"/>
      <c r="BH124" s="70" t="n"/>
      <c r="BI124" s="70" t="n"/>
      <c r="BJ124" s="70" t="n"/>
      <c r="BK124" s="70" t="n"/>
      <c r="BL124" s="93" t="n"/>
      <c r="BM124" s="70" t="n"/>
      <c r="BN124" s="195" t="n"/>
      <c r="BO124" s="70" t="n"/>
      <c r="BP124" s="506" t="n"/>
      <c r="BQ124" s="506" t="n"/>
      <c r="BR124" s="506" t="n"/>
      <c r="BS124" s="506" t="n"/>
      <c r="BT124" s="506" t="n"/>
      <c r="BU124" s="506" t="n"/>
      <c r="BV124" s="506" t="n"/>
      <c r="BW124" s="506" t="n"/>
      <c r="BX124" s="506" t="n"/>
      <c r="BY124" s="505" t="n"/>
      <c r="BZ124" s="505" t="n"/>
      <c r="CA124" s="70" t="n"/>
      <c r="CB124" s="70" t="n"/>
      <c r="CC124" s="70" t="n"/>
    </row>
    <row r="125" ht="3" customHeight="1">
      <c r="B125" s="388" t="n"/>
      <c r="C125" s="494" t="n"/>
      <c r="D125" s="70" t="n"/>
      <c r="F125" s="70" t="n"/>
      <c r="H125" s="70" t="n"/>
      <c r="I125" s="195" t="n"/>
      <c r="J125" s="70" t="n"/>
      <c r="K125" s="506" t="n"/>
      <c r="L125" s="506" t="n"/>
      <c r="M125" s="506" t="n"/>
      <c r="N125" s="506" t="n"/>
      <c r="O125" s="506" t="n"/>
      <c r="P125" s="506" t="n"/>
      <c r="Q125" s="506" t="n"/>
      <c r="R125" s="506" t="n"/>
      <c r="S125" s="506" t="n"/>
      <c r="T125" s="505" t="n"/>
      <c r="U125" s="505" t="n"/>
      <c r="V125" s="70" t="n"/>
      <c r="W125" s="70" t="n"/>
      <c r="X125" s="70" t="n"/>
      <c r="Y125" s="78" t="n"/>
      <c r="Z125" s="70" t="n"/>
      <c r="AA125" s="70" t="n"/>
      <c r="AB125" s="70" t="n"/>
      <c r="AC125" s="70" t="n"/>
      <c r="AD125" s="494" t="n"/>
      <c r="AE125" s="70" t="n"/>
      <c r="AG125" s="70" t="n"/>
      <c r="AI125" s="70" t="n"/>
      <c r="AJ125" s="195" t="n"/>
      <c r="AK125" s="70" t="n"/>
      <c r="AL125" s="506" t="n"/>
      <c r="AM125" s="506" t="n"/>
      <c r="AN125" s="506" t="n"/>
      <c r="AO125" s="506" t="n"/>
      <c r="AP125" s="506" t="n"/>
      <c r="AQ125" s="506" t="n"/>
      <c r="AR125" s="506" t="n"/>
      <c r="AS125" s="506" t="n"/>
      <c r="AT125" s="506" t="n"/>
      <c r="AU125" s="505" t="n"/>
      <c r="AV125" s="505" t="n"/>
      <c r="AW125" s="70" t="n"/>
      <c r="AX125" s="70" t="n"/>
      <c r="AY125" s="70" t="n"/>
      <c r="AZ125" s="78" t="n"/>
      <c r="BA125" s="70" t="n"/>
      <c r="BB125" s="70" t="n"/>
      <c r="BC125" s="70" t="n"/>
      <c r="BD125" s="70" t="n"/>
      <c r="BE125" s="91" t="n"/>
      <c r="BF125" s="70" t="n"/>
      <c r="BG125" s="71" t="n"/>
      <c r="BH125" s="70" t="n"/>
      <c r="BI125" s="70" t="n"/>
      <c r="BJ125" s="70" t="n"/>
      <c r="BK125" s="70" t="n"/>
      <c r="BL125" s="93" t="n"/>
      <c r="BM125" s="70" t="n"/>
      <c r="BN125" s="195" t="n"/>
      <c r="BO125" s="70" t="n"/>
      <c r="BP125" s="506" t="n"/>
      <c r="BQ125" s="506" t="n"/>
      <c r="BR125" s="506" t="n"/>
      <c r="BS125" s="506" t="n"/>
      <c r="BT125" s="506" t="n"/>
      <c r="BU125" s="506" t="n"/>
      <c r="BV125" s="506" t="n"/>
      <c r="BW125" s="506" t="n"/>
      <c r="BX125" s="506" t="n"/>
      <c r="BY125" s="505" t="n"/>
      <c r="BZ125" s="505" t="n"/>
      <c r="CA125" s="70" t="n"/>
      <c r="CB125" s="70" t="n"/>
      <c r="CC125" s="70" t="n"/>
    </row>
    <row r="126" ht="2.25" customHeight="1">
      <c r="B126" s="388" t="n"/>
      <c r="C126" s="494" t="n"/>
      <c r="D126" s="70" t="n"/>
      <c r="F126" s="70" t="n"/>
      <c r="H126" s="70" t="n"/>
      <c r="I126" s="195" t="n"/>
      <c r="J126" s="70" t="n"/>
      <c r="K126" s="506" t="n"/>
      <c r="L126" s="506" t="n"/>
      <c r="M126" s="506" t="n"/>
      <c r="N126" s="506" t="n"/>
      <c r="O126" s="506" t="n"/>
      <c r="P126" s="506" t="n"/>
      <c r="Q126" s="506" t="n"/>
      <c r="R126" s="506" t="n"/>
      <c r="S126" s="506" t="n"/>
      <c r="T126" s="505" t="n"/>
      <c r="U126" s="505" t="n"/>
      <c r="V126" s="70" t="n"/>
      <c r="W126" s="70" t="n"/>
      <c r="X126" s="70" t="n"/>
      <c r="Y126" s="78" t="n"/>
      <c r="Z126" s="70" t="n"/>
      <c r="AA126" s="70" t="n"/>
      <c r="AB126" s="70" t="n"/>
      <c r="AC126" s="70" t="n"/>
      <c r="AD126" s="494" t="n"/>
      <c r="AE126" s="70" t="n"/>
      <c r="AG126" s="70" t="n"/>
      <c r="AI126" s="70" t="n"/>
      <c r="AJ126" s="195" t="n"/>
      <c r="AK126" s="70" t="n"/>
      <c r="AL126" s="506" t="n"/>
      <c r="AM126" s="506" t="n"/>
      <c r="AN126" s="506" t="n"/>
      <c r="AO126" s="506" t="n"/>
      <c r="AP126" s="506" t="n"/>
      <c r="AQ126" s="506" t="n"/>
      <c r="AR126" s="506" t="n"/>
      <c r="AS126" s="506" t="n"/>
      <c r="AT126" s="506" t="n"/>
      <c r="AU126" s="505" t="n"/>
      <c r="AV126" s="505" t="n"/>
      <c r="AW126" s="70" t="n"/>
      <c r="AX126" s="70" t="n"/>
      <c r="AY126" s="70" t="n"/>
      <c r="AZ126" s="78" t="n"/>
      <c r="BA126" s="70" t="n"/>
      <c r="BB126" s="70" t="n"/>
      <c r="BC126" s="70" t="n"/>
      <c r="BD126" s="70" t="n"/>
      <c r="BE126" s="91" t="n"/>
      <c r="BF126" s="70" t="n"/>
      <c r="BG126" s="71" t="n"/>
      <c r="BH126" s="70" t="n"/>
      <c r="BI126" s="70" t="n"/>
      <c r="BJ126" s="70" t="n"/>
      <c r="BK126" s="70" t="n"/>
      <c r="BL126" s="93" t="n"/>
      <c r="BM126" s="70" t="n"/>
      <c r="BN126" s="195" t="n"/>
      <c r="BO126" s="70" t="n"/>
      <c r="BP126" s="506" t="n"/>
      <c r="BQ126" s="506" t="n"/>
      <c r="BR126" s="506" t="n"/>
      <c r="BS126" s="506" t="n"/>
      <c r="BT126" s="506" t="n"/>
      <c r="BU126" s="506" t="n"/>
      <c r="BV126" s="506" t="n"/>
      <c r="BW126" s="506" t="n"/>
      <c r="BX126" s="506" t="n"/>
      <c r="BY126" s="505" t="n"/>
      <c r="BZ126" s="505" t="n"/>
      <c r="CA126" s="70" t="n"/>
      <c r="CB126" s="70" t="n"/>
      <c r="CC126" s="70" t="n"/>
    </row>
    <row r="127" hidden="1" ht="3" customHeight="1">
      <c r="B127" s="388" t="n"/>
      <c r="C127" s="494" t="n"/>
      <c r="D127" s="70" t="n"/>
      <c r="F127" s="70" t="n"/>
      <c r="H127" s="70" t="n"/>
      <c r="I127" s="195" t="n"/>
      <c r="J127" s="70" t="n"/>
      <c r="K127" s="506" t="n"/>
      <c r="L127" s="506" t="n"/>
      <c r="M127" s="506" t="n"/>
      <c r="N127" s="506" t="n"/>
      <c r="O127" s="506" t="n"/>
      <c r="P127" s="506" t="n"/>
      <c r="Q127" s="506" t="n"/>
      <c r="R127" s="506" t="n"/>
      <c r="S127" s="506" t="n"/>
      <c r="T127" s="505" t="n"/>
      <c r="U127" s="505" t="n"/>
      <c r="V127" s="70" t="n"/>
      <c r="W127" s="70" t="n"/>
      <c r="X127" s="70" t="n"/>
      <c r="Y127" s="78" t="n"/>
      <c r="Z127" s="70" t="n"/>
      <c r="AA127" s="70" t="n"/>
      <c r="AB127" s="70" t="n"/>
      <c r="AC127" s="70" t="n"/>
      <c r="AD127" s="494" t="n"/>
      <c r="AE127" s="70" t="n"/>
      <c r="AG127" s="70" t="n"/>
      <c r="AI127" s="70" t="n"/>
      <c r="AJ127" s="195" t="n"/>
      <c r="AK127" s="70" t="n"/>
      <c r="AL127" s="506" t="n"/>
      <c r="AM127" s="506" t="n"/>
      <c r="AN127" s="506" t="n"/>
      <c r="AO127" s="506" t="n"/>
      <c r="AP127" s="506" t="n"/>
      <c r="AQ127" s="506" t="n"/>
      <c r="AR127" s="506" t="n"/>
      <c r="AS127" s="506" t="n"/>
      <c r="AT127" s="506" t="n"/>
      <c r="AU127" s="505" t="n"/>
      <c r="AV127" s="505" t="n"/>
      <c r="AW127" s="70" t="n"/>
      <c r="AX127" s="70" t="n"/>
      <c r="AY127" s="70" t="n"/>
      <c r="AZ127" s="78" t="n"/>
      <c r="BA127" s="70" t="n"/>
      <c r="BB127" s="70" t="n"/>
      <c r="BC127" s="70" t="n"/>
      <c r="BD127" s="70" t="n"/>
      <c r="BE127" s="91" t="n"/>
      <c r="BF127" s="70" t="n"/>
      <c r="BG127" s="71" t="n"/>
      <c r="BH127" s="70" t="n"/>
      <c r="BI127" s="70" t="n"/>
      <c r="BJ127" s="70" t="n"/>
      <c r="BK127" s="70" t="n"/>
      <c r="BL127" s="93" t="n"/>
      <c r="BM127" s="70" t="n"/>
      <c r="BN127" s="195" t="n"/>
      <c r="BO127" s="70" t="n"/>
      <c r="BP127" s="506" t="n"/>
      <c r="BQ127" s="506" t="n"/>
      <c r="BR127" s="506" t="n"/>
      <c r="BS127" s="506" t="n"/>
      <c r="BT127" s="506" t="n"/>
      <c r="BU127" s="506" t="n"/>
      <c r="BV127" s="506" t="n"/>
      <c r="BW127" s="506" t="n"/>
      <c r="BX127" s="506" t="n"/>
      <c r="BY127" s="505" t="n"/>
      <c r="BZ127" s="505" t="n"/>
      <c r="CA127" s="70" t="n"/>
      <c r="CB127" s="70" t="n"/>
      <c r="CC127" s="70" t="n"/>
    </row>
    <row r="128" ht="18.75" customHeight="1">
      <c r="B128" s="388" t="n"/>
      <c r="C128" s="507" t="n"/>
      <c r="D128" s="109" t="n"/>
      <c r="E128" s="448" t="n"/>
      <c r="F128" s="97" t="n"/>
      <c r="G128" s="448" t="n"/>
      <c r="H128" s="97" t="n"/>
      <c r="I128" s="109" t="n"/>
      <c r="J128" s="97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97" t="n"/>
      <c r="U128" s="97" t="n"/>
      <c r="V128" s="97" t="n"/>
      <c r="W128" s="97" t="n"/>
      <c r="X128" s="97" t="n"/>
      <c r="Y128" s="111" t="n"/>
      <c r="Z128" s="70" t="n"/>
      <c r="AA128" s="70" t="n"/>
      <c r="AB128" s="70" t="n"/>
      <c r="AC128" s="70" t="n"/>
      <c r="AD128" s="507" t="n"/>
      <c r="AE128" s="109" t="n"/>
      <c r="AF128" s="448" t="n"/>
      <c r="AG128" s="97" t="n"/>
      <c r="AH128" s="448" t="n"/>
      <c r="AI128" s="97" t="n"/>
      <c r="AJ128" s="109" t="n"/>
      <c r="AK128" s="97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97" t="n"/>
      <c r="AV128" s="97" t="n"/>
      <c r="AW128" s="97" t="n"/>
      <c r="AX128" s="97" t="n"/>
      <c r="AY128" s="97" t="n"/>
      <c r="AZ128" s="111" t="n"/>
      <c r="BA128" s="70" t="n"/>
      <c r="BB128" s="70" t="n"/>
      <c r="BC128" s="70" t="n"/>
      <c r="BD128" s="70" t="n"/>
      <c r="BE128" s="91" t="n"/>
      <c r="BF128" s="195" t="n"/>
      <c r="BG128" s="71" t="n"/>
      <c r="BH128" s="70" t="n"/>
      <c r="BI128" s="70" t="n"/>
      <c r="BJ128" s="70" t="n"/>
      <c r="BK128" s="70" t="n"/>
      <c r="BL128" s="93" t="n"/>
      <c r="BM128" s="70" t="n"/>
      <c r="BN128" s="195" t="n"/>
      <c r="BO128" s="70" t="n"/>
      <c r="BP128" s="506" t="n"/>
      <c r="BQ128" s="506" t="n"/>
      <c r="BR128" s="506" t="n"/>
      <c r="BS128" s="506" t="n"/>
      <c r="BT128" s="506" t="n"/>
      <c r="BU128" s="506" t="n"/>
      <c r="BV128" s="506" t="n"/>
      <c r="BW128" s="506" t="n"/>
      <c r="BX128" s="506" t="n"/>
      <c r="BY128" s="70" t="n"/>
      <c r="BZ128" s="70" t="n"/>
      <c r="CA128" s="70" t="n"/>
      <c r="CB128" s="70" t="n"/>
      <c r="CC128" s="70" t="n"/>
    </row>
    <row r="129" ht="15" customHeight="1" thickBot="1">
      <c r="B129" s="388" t="n"/>
      <c r="C129" s="112" t="n"/>
      <c r="D129" s="195" t="n"/>
      <c r="E129" s="71" t="n"/>
      <c r="F129" s="70" t="n"/>
      <c r="G129" s="193" t="n"/>
      <c r="H129" s="70" t="n"/>
      <c r="I129" s="195" t="n"/>
      <c r="J129" s="70" t="n"/>
      <c r="K129" s="506" t="n"/>
      <c r="L129" s="506" t="n"/>
      <c r="M129" s="506" t="n"/>
      <c r="N129" s="506" t="n"/>
      <c r="O129" s="506" t="n"/>
      <c r="P129" s="506" t="n"/>
      <c r="Q129" s="506" t="n"/>
      <c r="R129" s="506" t="n"/>
      <c r="S129" s="506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112" t="n"/>
      <c r="AE129" s="195" t="n"/>
      <c r="AF129" s="71" t="n"/>
      <c r="AG129" s="70" t="n"/>
      <c r="AH129" s="193" t="n"/>
      <c r="AI129" s="70" t="n"/>
      <c r="AJ129" s="195" t="n"/>
      <c r="AK129" s="70" t="n"/>
      <c r="AL129" s="506" t="n"/>
      <c r="AM129" s="506" t="n"/>
      <c r="AN129" s="506" t="n"/>
      <c r="AO129" s="506" t="n"/>
      <c r="AP129" s="506" t="n"/>
      <c r="AQ129" s="506" t="n"/>
      <c r="AR129" s="506" t="n"/>
      <c r="AS129" s="506" t="n"/>
      <c r="AT129" s="506" t="n"/>
      <c r="AU129" s="70" t="n"/>
      <c r="AV129" s="70" t="n"/>
      <c r="AW129" s="70" t="n"/>
      <c r="AX129" s="70" t="n"/>
      <c r="AY129" s="70" t="n"/>
      <c r="AZ129" s="70" t="n"/>
      <c r="BA129" s="70" t="n"/>
      <c r="BB129" s="70" t="n"/>
      <c r="BC129" s="70" t="n"/>
      <c r="BD129" s="70" t="n"/>
      <c r="BE129" s="112" t="n"/>
      <c r="BF129" s="195" t="n"/>
      <c r="BG129" s="71" t="n"/>
      <c r="BH129" s="70" t="n"/>
      <c r="BI129" s="70" t="n"/>
      <c r="BJ129" s="70" t="n"/>
      <c r="BK129" s="70" t="n"/>
      <c r="BL129" s="193" t="n"/>
      <c r="BM129" s="70" t="n"/>
      <c r="BN129" s="195" t="n"/>
      <c r="BO129" s="70" t="n"/>
      <c r="BP129" s="506" t="n"/>
      <c r="BQ129" s="506" t="n"/>
      <c r="BR129" s="506" t="n"/>
      <c r="BS129" s="506" t="n"/>
      <c r="BT129" s="506" t="n"/>
      <c r="BU129" s="506" t="n"/>
      <c r="BV129" s="506" t="n"/>
      <c r="BW129" s="506" t="n"/>
      <c r="BX129" s="506" t="n"/>
      <c r="BY129" s="70" t="n"/>
      <c r="BZ129" s="70" t="n"/>
      <c r="CA129" s="70" t="n"/>
      <c r="CB129" s="70" t="n"/>
      <c r="CC129" s="70" t="n"/>
    </row>
    <row r="130" ht="12.95" customHeight="1" thickBot="1">
      <c r="C130" s="436" t="inlineStr">
        <is>
          <t>PARCELAS CONFORME O CONTRATO</t>
        </is>
      </c>
      <c r="D130" s="437" t="n"/>
      <c r="E130" s="437" t="n"/>
      <c r="F130" s="437" t="n"/>
      <c r="G130" s="437" t="n"/>
      <c r="H130" s="437" t="n"/>
      <c r="I130" s="437" t="n"/>
      <c r="J130" s="437" t="n"/>
      <c r="K130" s="437" t="n"/>
      <c r="L130" s="437" t="n"/>
      <c r="M130" s="437" t="n"/>
      <c r="N130" s="437" t="n"/>
      <c r="O130" s="437" t="n"/>
      <c r="P130" s="437" t="n"/>
      <c r="Q130" s="437" t="n"/>
      <c r="R130" s="437" t="n"/>
      <c r="S130" s="437" t="n"/>
      <c r="T130" s="437" t="n"/>
      <c r="U130" s="437" t="n"/>
      <c r="V130" s="437" t="n"/>
      <c r="W130" s="437" t="n"/>
      <c r="X130" s="437" t="n"/>
      <c r="Y130" s="438" t="n"/>
      <c r="Z130" s="70" t="n"/>
      <c r="AA130" s="70" t="n"/>
      <c r="AB130" s="70" t="n"/>
      <c r="AC130" s="70" t="n"/>
      <c r="AD130" s="436" t="inlineStr">
        <is>
          <t>PARCELAS RECALCULADAS</t>
        </is>
      </c>
      <c r="AE130" s="437" t="n"/>
      <c r="AF130" s="437" t="n"/>
      <c r="AG130" s="437" t="n"/>
      <c r="AH130" s="437" t="n"/>
      <c r="AI130" s="437" t="n"/>
      <c r="AJ130" s="437" t="n"/>
      <c r="AK130" s="437" t="n"/>
      <c r="AL130" s="437" t="n"/>
      <c r="AM130" s="437" t="n"/>
      <c r="AN130" s="437" t="n"/>
      <c r="AO130" s="437" t="n"/>
      <c r="AP130" s="437" t="n"/>
      <c r="AQ130" s="437" t="n"/>
      <c r="AR130" s="437" t="n"/>
      <c r="AS130" s="437" t="n"/>
      <c r="AT130" s="437" t="n"/>
      <c r="AU130" s="437" t="n"/>
      <c r="AV130" s="437" t="n"/>
      <c r="AW130" s="437" t="n"/>
      <c r="AX130" s="437" t="n"/>
      <c r="AY130" s="437" t="n"/>
      <c r="AZ130" s="438" t="n"/>
      <c r="BA130" s="70" t="n"/>
      <c r="BB130" s="70" t="n"/>
      <c r="BC130" s="70" t="n"/>
      <c r="BD130" s="70" t="n"/>
      <c r="BE130" s="436" t="inlineStr">
        <is>
          <t>VALORES PAGOS PELO CLIENTE</t>
        </is>
      </c>
      <c r="BF130" s="437" t="n"/>
      <c r="BG130" s="437" t="n"/>
      <c r="BH130" s="437" t="n"/>
      <c r="BI130" s="437" t="n"/>
      <c r="BJ130" s="437" t="n"/>
      <c r="BK130" s="437" t="n"/>
      <c r="BL130" s="437" t="n"/>
      <c r="BM130" s="437" t="n"/>
      <c r="BN130" s="437" t="n"/>
      <c r="BO130" s="437" t="n"/>
      <c r="BP130" s="437" t="n"/>
      <c r="BQ130" s="437" t="n"/>
      <c r="BR130" s="437" t="n"/>
      <c r="BS130" s="437" t="n"/>
      <c r="BT130" s="437" t="n"/>
      <c r="BU130" s="437" t="n"/>
      <c r="BV130" s="437" t="n"/>
      <c r="BW130" s="437" t="n"/>
      <c r="BX130" s="437" t="n"/>
      <c r="BY130" s="437" t="n"/>
      <c r="BZ130" s="437" t="n"/>
      <c r="CA130" s="437" t="n"/>
      <c r="CB130" s="437" t="n"/>
      <c r="CC130" s="438" t="n"/>
      <c r="CI130" s="481" t="n"/>
    </row>
    <row r="131" ht="16.5" customHeight="1" thickBot="1">
      <c r="C131" s="113" t="inlineStr">
        <is>
          <t xml:space="preserve">Parcela </t>
        </is>
      </c>
      <c r="D131" s="199" t="inlineStr">
        <is>
          <t>Vencimento</t>
        </is>
      </c>
      <c r="E131" s="437" t="n"/>
      <c r="F131" s="437" t="n"/>
      <c r="G131" s="437" t="n"/>
      <c r="H131" s="437" t="n"/>
      <c r="I131" s="437" t="n"/>
      <c r="J131" s="437" t="n"/>
      <c r="K131" s="437" t="n"/>
      <c r="L131" s="437" t="n"/>
      <c r="M131" s="440" t="n"/>
      <c r="N131" s="199" t="inlineStr">
        <is>
          <t>Parcela cobrada</t>
        </is>
      </c>
      <c r="O131" s="437" t="n"/>
      <c r="P131" s="437" t="n"/>
      <c r="Q131" s="437" t="n"/>
      <c r="R131" s="437" t="n"/>
      <c r="S131" s="437" t="n"/>
      <c r="T131" s="437" t="n"/>
      <c r="U131" s="437" t="n"/>
      <c r="V131" s="437" t="n"/>
      <c r="W131" s="437" t="n"/>
      <c r="X131" s="437" t="n"/>
      <c r="Y131" s="440" t="n"/>
      <c r="Z131" s="70" t="n"/>
      <c r="AA131" s="70" t="n"/>
      <c r="AB131" s="70" t="n"/>
      <c r="AC131" s="70" t="n"/>
      <c r="AD131" s="113" t="inlineStr">
        <is>
          <t xml:space="preserve">Parcela </t>
        </is>
      </c>
      <c r="AE131" s="199" t="inlineStr">
        <is>
          <t>Vencimento</t>
        </is>
      </c>
      <c r="AF131" s="437" t="n"/>
      <c r="AG131" s="437" t="n"/>
      <c r="AH131" s="437" t="n"/>
      <c r="AI131" s="437" t="n"/>
      <c r="AJ131" s="437" t="n"/>
      <c r="AK131" s="437" t="n"/>
      <c r="AL131" s="437" t="n"/>
      <c r="AM131" s="437" t="n"/>
      <c r="AN131" s="440" t="n"/>
      <c r="AO131" s="199" t="inlineStr">
        <is>
          <t>Parcela recalculada</t>
        </is>
      </c>
      <c r="AP131" s="437" t="n"/>
      <c r="AQ131" s="437" t="n"/>
      <c r="AR131" s="437" t="n"/>
      <c r="AS131" s="437" t="n"/>
      <c r="AT131" s="437" t="n"/>
      <c r="AU131" s="437" t="n"/>
      <c r="AV131" s="437" t="n"/>
      <c r="AW131" s="437" t="n"/>
      <c r="AX131" s="437" t="n"/>
      <c r="AY131" s="437" t="n"/>
      <c r="AZ131" s="440" t="n"/>
      <c r="BA131" s="70" t="n"/>
      <c r="BB131" s="70" t="n"/>
      <c r="BC131" s="70" t="n"/>
      <c r="BD131" s="70" t="n"/>
      <c r="BE131" s="113" t="inlineStr">
        <is>
          <t xml:space="preserve">Parcela </t>
        </is>
      </c>
      <c r="BF131" s="199" t="inlineStr">
        <is>
          <t>Vencimento</t>
        </is>
      </c>
      <c r="BG131" s="437" t="n"/>
      <c r="BH131" s="437" t="n"/>
      <c r="BI131" s="437" t="n"/>
      <c r="BJ131" s="437" t="n"/>
      <c r="BK131" s="437" t="n"/>
      <c r="BL131" s="437" t="n"/>
      <c r="BM131" s="437" t="n"/>
      <c r="BN131" s="437" t="n"/>
      <c r="BO131" s="440" t="n"/>
      <c r="BP131" s="199" t="inlineStr">
        <is>
          <t>Valor pago</t>
        </is>
      </c>
      <c r="BQ131" s="437" t="n"/>
      <c r="BR131" s="437" t="n"/>
      <c r="BS131" s="437" t="n"/>
      <c r="BT131" s="437" t="n"/>
      <c r="BU131" s="437" t="n"/>
      <c r="BV131" s="437" t="n"/>
      <c r="BW131" s="437" t="n"/>
      <c r="BX131" s="437" t="n"/>
      <c r="BY131" s="437" t="n"/>
      <c r="BZ131" s="437" t="n"/>
      <c r="CA131" s="437" t="n"/>
      <c r="CB131" s="437" t="n"/>
      <c r="CC131" s="440" t="n"/>
      <c r="CI131" s="481" t="n"/>
    </row>
    <row r="132" ht="15.75" customHeight="1">
      <c r="C132" s="201" t="n">
        <v>1</v>
      </c>
      <c r="D132" s="509">
        <f>IF(C132&lt;=$I$15, $D$5, "")</f>
        <v/>
      </c>
      <c r="E132" s="448" t="n"/>
      <c r="F132" s="448" t="n"/>
      <c r="G132" s="448" t="n"/>
      <c r="H132" s="448" t="n"/>
      <c r="I132" s="448" t="n"/>
      <c r="J132" s="448" t="n"/>
      <c r="K132" s="448" t="n"/>
      <c r="L132" s="448" t="n"/>
      <c r="M132" s="449" t="n"/>
      <c r="N132" s="450">
        <f>IF(C132&lt;=$I$15, $I$16, "")</f>
        <v/>
      </c>
      <c r="O132" s="448" t="n"/>
      <c r="P132" s="448" t="n"/>
      <c r="Q132" s="448" t="n"/>
      <c r="R132" s="448" t="n"/>
      <c r="S132" s="448" t="n"/>
      <c r="T132" s="448" t="n"/>
      <c r="U132" s="448" t="n"/>
      <c r="V132" s="448" t="n"/>
      <c r="W132" s="448" t="n"/>
      <c r="X132" s="448" t="n"/>
      <c r="Y132" s="449" t="n"/>
      <c r="Z132" s="70" t="n"/>
      <c r="AA132" s="70" t="n"/>
      <c r="AB132" s="70" t="n"/>
      <c r="AC132" s="70" t="n"/>
      <c r="AD132" s="201" t="n">
        <v>1</v>
      </c>
      <c r="AE132" s="509">
        <f>D132</f>
        <v/>
      </c>
      <c r="AF132" s="448" t="n"/>
      <c r="AG132" s="448" t="n"/>
      <c r="AH132" s="448" t="n"/>
      <c r="AI132" s="448" t="n"/>
      <c r="AJ132" s="448" t="n"/>
      <c r="AK132" s="448" t="n"/>
      <c r="AL132" s="448" t="n"/>
      <c r="AM132" s="448" t="n"/>
      <c r="AN132" s="449" t="n"/>
      <c r="AO132" s="450">
        <f>AH121</f>
        <v/>
      </c>
      <c r="AP132" s="448" t="n"/>
      <c r="AQ132" s="448" t="n"/>
      <c r="AR132" s="448" t="n"/>
      <c r="AS132" s="448" t="n"/>
      <c r="AT132" s="448" t="n"/>
      <c r="AU132" s="448" t="n"/>
      <c r="AV132" s="448" t="n"/>
      <c r="AW132" s="448" t="n"/>
      <c r="AX132" s="448" t="n"/>
      <c r="AY132" s="448" t="n"/>
      <c r="AZ132" s="449" t="n"/>
      <c r="BA132" s="70" t="n"/>
      <c r="BB132" s="70" t="n"/>
      <c r="BC132" s="70" t="n"/>
      <c r="BD132" s="70" t="n"/>
      <c r="BE132" s="201" t="n">
        <v>1</v>
      </c>
      <c r="BF132" s="509">
        <f>AE132</f>
        <v/>
      </c>
      <c r="BG132" s="448" t="n"/>
      <c r="BH132" s="448" t="n"/>
      <c r="BI132" s="448" t="n"/>
      <c r="BJ132" s="448" t="n"/>
      <c r="BK132" s="448" t="n"/>
      <c r="BL132" s="448" t="n"/>
      <c r="BM132" s="448" t="n"/>
      <c r="BN132" s="448" t="n"/>
      <c r="BO132" s="449" t="n"/>
      <c r="BP132" s="450">
        <f>N132</f>
        <v/>
      </c>
      <c r="BQ132" s="448" t="n"/>
      <c r="BR132" s="448" t="n"/>
      <c r="BS132" s="448" t="n"/>
      <c r="BT132" s="448" t="n"/>
      <c r="BU132" s="448" t="n"/>
      <c r="BV132" s="448" t="n"/>
      <c r="BW132" s="448" t="n"/>
      <c r="BX132" s="448" t="n"/>
      <c r="BY132" s="448" t="n"/>
      <c r="BZ132" s="448" t="n"/>
      <c r="CA132" s="448" t="n"/>
      <c r="CB132" s="448" t="n"/>
      <c r="CC132" s="449" t="n"/>
      <c r="CI132" s="481" t="n"/>
    </row>
    <row r="133" ht="15.75" customHeight="1">
      <c r="C133" s="117" t="n">
        <v>2</v>
      </c>
      <c r="D133" s="509">
        <f>IF(C133&lt;=$I$15, EDATE($D$5, C133-1), "")</f>
        <v/>
      </c>
      <c r="E133" s="448" t="n"/>
      <c r="F133" s="448" t="n"/>
      <c r="G133" s="448" t="n"/>
      <c r="H133" s="448" t="n"/>
      <c r="I133" s="448" t="n"/>
      <c r="J133" s="448" t="n"/>
      <c r="K133" s="448" t="n"/>
      <c r="L133" s="448" t="n"/>
      <c r="M133" s="449" t="n"/>
      <c r="N133" s="510">
        <f>IF(C133&lt;=$I$15, $I$16, "")</f>
        <v/>
      </c>
      <c r="O133" s="453" t="n"/>
      <c r="P133" s="453" t="n"/>
      <c r="Q133" s="453" t="n"/>
      <c r="R133" s="453" t="n"/>
      <c r="S133" s="453" t="n"/>
      <c r="T133" s="453" t="n"/>
      <c r="U133" s="453" t="n"/>
      <c r="V133" s="453" t="n"/>
      <c r="W133" s="453" t="n"/>
      <c r="X133" s="453" t="n"/>
      <c r="Y133" s="454" t="n"/>
      <c r="Z133" s="70" t="n"/>
      <c r="AA133" s="70" t="n"/>
      <c r="AB133" s="70" t="n"/>
      <c r="AC133" s="70" t="n"/>
      <c r="AD133" s="117" t="n">
        <v>2</v>
      </c>
      <c r="AE133" s="511">
        <f>D133</f>
        <v/>
      </c>
      <c r="AF133" s="453" t="n"/>
      <c r="AG133" s="453" t="n"/>
      <c r="AH133" s="453" t="n"/>
      <c r="AI133" s="453" t="n"/>
      <c r="AJ133" s="453" t="n"/>
      <c r="AK133" s="453" t="n"/>
      <c r="AL133" s="453" t="n"/>
      <c r="AM133" s="453" t="n"/>
      <c r="AN133" s="454" t="n"/>
      <c r="AO133" s="510">
        <f>AO132</f>
        <v/>
      </c>
      <c r="AP133" s="453" t="n"/>
      <c r="AQ133" s="453" t="n"/>
      <c r="AR133" s="453" t="n"/>
      <c r="AS133" s="453" t="n"/>
      <c r="AT133" s="453" t="n"/>
      <c r="AU133" s="453" t="n"/>
      <c r="AV133" s="453" t="n"/>
      <c r="AW133" s="453" t="n"/>
      <c r="AX133" s="453" t="n"/>
      <c r="AY133" s="453" t="n"/>
      <c r="AZ133" s="454" t="n"/>
      <c r="BA133" s="70" t="n"/>
      <c r="BB133" s="70" t="n"/>
      <c r="BC133" s="70" t="n"/>
      <c r="BD133" s="70" t="n"/>
      <c r="BE133" s="117" t="n">
        <v>2</v>
      </c>
      <c r="BF133" s="511">
        <f>AE133</f>
        <v/>
      </c>
      <c r="BG133" s="453" t="n"/>
      <c r="BH133" s="453" t="n"/>
      <c r="BI133" s="453" t="n"/>
      <c r="BJ133" s="453" t="n"/>
      <c r="BK133" s="453" t="n"/>
      <c r="BL133" s="453" t="n"/>
      <c r="BM133" s="453" t="n"/>
      <c r="BN133" s="453" t="n"/>
      <c r="BO133" s="454" t="n"/>
      <c r="BP133" s="510">
        <f>BP132</f>
        <v/>
      </c>
      <c r="BQ133" s="453" t="n"/>
      <c r="BR133" s="453" t="n"/>
      <c r="BS133" s="453" t="n"/>
      <c r="BT133" s="453" t="n"/>
      <c r="BU133" s="453" t="n"/>
      <c r="BV133" s="453" t="n"/>
      <c r="BW133" s="453" t="n"/>
      <c r="BX133" s="453" t="n"/>
      <c r="BY133" s="453" t="n"/>
      <c r="BZ133" s="453" t="n"/>
      <c r="CA133" s="453" t="n"/>
      <c r="CB133" s="453" t="n"/>
      <c r="CC133" s="454" t="n"/>
      <c r="CI133" s="481" t="n"/>
    </row>
    <row r="134" ht="15.75" customHeight="1">
      <c r="C134" s="117" t="n">
        <v>3</v>
      </c>
      <c r="D134" s="509">
        <f>IF(C134&lt;=$I$15, EDATE($D$5, C134-1), "")</f>
        <v/>
      </c>
      <c r="E134" s="448" t="n"/>
      <c r="F134" s="448" t="n"/>
      <c r="G134" s="448" t="n"/>
      <c r="H134" s="448" t="n"/>
      <c r="I134" s="448" t="n"/>
      <c r="J134" s="448" t="n"/>
      <c r="K134" s="448" t="n"/>
      <c r="L134" s="448" t="n"/>
      <c r="M134" s="449" t="n"/>
      <c r="N134" s="510">
        <f>IF(C134&lt;=$I$15, $I$16, "")</f>
        <v/>
      </c>
      <c r="O134" s="453" t="n"/>
      <c r="P134" s="453" t="n"/>
      <c r="Q134" s="453" t="n"/>
      <c r="R134" s="453" t="n"/>
      <c r="S134" s="453" t="n"/>
      <c r="T134" s="453" t="n"/>
      <c r="U134" s="453" t="n"/>
      <c r="V134" s="453" t="n"/>
      <c r="W134" s="453" t="n"/>
      <c r="X134" s="453" t="n"/>
      <c r="Y134" s="454" t="n"/>
      <c r="Z134" s="70" t="n"/>
      <c r="AA134" s="70" t="n"/>
      <c r="AB134" s="70" t="n"/>
      <c r="AC134" s="70" t="n"/>
      <c r="AD134" s="117" t="n">
        <v>3</v>
      </c>
      <c r="AE134" s="511">
        <f>D134</f>
        <v/>
      </c>
      <c r="AF134" s="453" t="n"/>
      <c r="AG134" s="453" t="n"/>
      <c r="AH134" s="453" t="n"/>
      <c r="AI134" s="453" t="n"/>
      <c r="AJ134" s="453" t="n"/>
      <c r="AK134" s="453" t="n"/>
      <c r="AL134" s="453" t="n"/>
      <c r="AM134" s="453" t="n"/>
      <c r="AN134" s="454" t="n"/>
      <c r="AO134" s="510">
        <f>AO133</f>
        <v/>
      </c>
      <c r="AP134" s="453" t="n"/>
      <c r="AQ134" s="453" t="n"/>
      <c r="AR134" s="453" t="n"/>
      <c r="AS134" s="453" t="n"/>
      <c r="AT134" s="453" t="n"/>
      <c r="AU134" s="453" t="n"/>
      <c r="AV134" s="453" t="n"/>
      <c r="AW134" s="453" t="n"/>
      <c r="AX134" s="453" t="n"/>
      <c r="AY134" s="453" t="n"/>
      <c r="AZ134" s="454" t="n"/>
      <c r="BA134" s="70" t="n"/>
      <c r="BB134" s="70" t="n"/>
      <c r="BC134" s="70" t="n"/>
      <c r="BD134" s="70" t="n"/>
      <c r="BE134" s="117" t="n">
        <v>3</v>
      </c>
      <c r="BF134" s="511">
        <f>AE134</f>
        <v/>
      </c>
      <c r="BG134" s="453" t="n"/>
      <c r="BH134" s="453" t="n"/>
      <c r="BI134" s="453" t="n"/>
      <c r="BJ134" s="453" t="n"/>
      <c r="BK134" s="453" t="n"/>
      <c r="BL134" s="453" t="n"/>
      <c r="BM134" s="453" t="n"/>
      <c r="BN134" s="453" t="n"/>
      <c r="BO134" s="454" t="n"/>
      <c r="BP134" s="510">
        <f>BP133</f>
        <v/>
      </c>
      <c r="BQ134" s="453" t="n"/>
      <c r="BR134" s="453" t="n"/>
      <c r="BS134" s="453" t="n"/>
      <c r="BT134" s="453" t="n"/>
      <c r="BU134" s="453" t="n"/>
      <c r="BV134" s="453" t="n"/>
      <c r="BW134" s="453" t="n"/>
      <c r="BX134" s="453" t="n"/>
      <c r="BY134" s="453" t="n"/>
      <c r="BZ134" s="453" t="n"/>
      <c r="CA134" s="453" t="n"/>
      <c r="CB134" s="453" t="n"/>
      <c r="CC134" s="454" t="n"/>
      <c r="CI134" s="481" t="n"/>
    </row>
    <row r="135" ht="15.75" customHeight="1">
      <c r="C135" s="117" t="n">
        <v>4</v>
      </c>
      <c r="D135" s="509">
        <f>IF(C135&lt;=$I$15, EDATE($D$5, C135-1), "")</f>
        <v/>
      </c>
      <c r="E135" s="448" t="n"/>
      <c r="F135" s="448" t="n"/>
      <c r="G135" s="448" t="n"/>
      <c r="H135" s="448" t="n"/>
      <c r="I135" s="448" t="n"/>
      <c r="J135" s="448" t="n"/>
      <c r="K135" s="448" t="n"/>
      <c r="L135" s="448" t="n"/>
      <c r="M135" s="449" t="n"/>
      <c r="N135" s="510">
        <f>IF(C135&lt;=$I$15, $I$16, "")</f>
        <v/>
      </c>
      <c r="O135" s="453" t="n"/>
      <c r="P135" s="453" t="n"/>
      <c r="Q135" s="453" t="n"/>
      <c r="R135" s="453" t="n"/>
      <c r="S135" s="453" t="n"/>
      <c r="T135" s="453" t="n"/>
      <c r="U135" s="453" t="n"/>
      <c r="V135" s="453" t="n"/>
      <c r="W135" s="453" t="n"/>
      <c r="X135" s="453" t="n"/>
      <c r="Y135" s="454" t="n"/>
      <c r="Z135" s="70" t="n"/>
      <c r="AA135" s="70" t="n"/>
      <c r="AB135" s="70" t="n"/>
      <c r="AC135" s="70" t="n"/>
      <c r="AD135" s="117" t="n">
        <v>4</v>
      </c>
      <c r="AE135" s="511">
        <f>D135</f>
        <v/>
      </c>
      <c r="AF135" s="453" t="n"/>
      <c r="AG135" s="453" t="n"/>
      <c r="AH135" s="453" t="n"/>
      <c r="AI135" s="453" t="n"/>
      <c r="AJ135" s="453" t="n"/>
      <c r="AK135" s="453" t="n"/>
      <c r="AL135" s="453" t="n"/>
      <c r="AM135" s="453" t="n"/>
      <c r="AN135" s="454" t="n"/>
      <c r="AO135" s="510">
        <f>AO134</f>
        <v/>
      </c>
      <c r="AP135" s="453" t="n"/>
      <c r="AQ135" s="453" t="n"/>
      <c r="AR135" s="453" t="n"/>
      <c r="AS135" s="453" t="n"/>
      <c r="AT135" s="453" t="n"/>
      <c r="AU135" s="453" t="n"/>
      <c r="AV135" s="453" t="n"/>
      <c r="AW135" s="453" t="n"/>
      <c r="AX135" s="453" t="n"/>
      <c r="AY135" s="453" t="n"/>
      <c r="AZ135" s="454" t="n"/>
      <c r="BA135" s="70" t="n"/>
      <c r="BB135" s="70" t="n"/>
      <c r="BC135" s="70" t="n"/>
      <c r="BD135" s="70" t="n"/>
      <c r="BE135" s="117" t="n">
        <v>4</v>
      </c>
      <c r="BF135" s="511">
        <f>AE135</f>
        <v/>
      </c>
      <c r="BG135" s="453" t="n"/>
      <c r="BH135" s="453" t="n"/>
      <c r="BI135" s="453" t="n"/>
      <c r="BJ135" s="453" t="n"/>
      <c r="BK135" s="453" t="n"/>
      <c r="BL135" s="453" t="n"/>
      <c r="BM135" s="453" t="n"/>
      <c r="BN135" s="453" t="n"/>
      <c r="BO135" s="454" t="n"/>
      <c r="BP135" s="510" t="n">
        <v>0</v>
      </c>
      <c r="BQ135" s="453" t="n"/>
      <c r="BR135" s="453" t="n"/>
      <c r="BS135" s="453" t="n"/>
      <c r="BT135" s="453" t="n"/>
      <c r="BU135" s="453" t="n"/>
      <c r="BV135" s="453" t="n"/>
      <c r="BW135" s="453" t="n"/>
      <c r="BX135" s="453" t="n"/>
      <c r="BY135" s="453" t="n"/>
      <c r="BZ135" s="453" t="n"/>
      <c r="CA135" s="453" t="n"/>
      <c r="CB135" s="453" t="n"/>
      <c r="CC135" s="454" t="n"/>
      <c r="CI135" s="481" t="n"/>
    </row>
    <row r="136" ht="15.75" customHeight="1">
      <c r="C136" s="117" t="n">
        <v>5</v>
      </c>
      <c r="D136" s="509">
        <f>IF(C136&lt;=$I$15, EDATE($D$5, C136-1), "")</f>
        <v/>
      </c>
      <c r="E136" s="448" t="n"/>
      <c r="F136" s="448" t="n"/>
      <c r="G136" s="448" t="n"/>
      <c r="H136" s="448" t="n"/>
      <c r="I136" s="448" t="n"/>
      <c r="J136" s="448" t="n"/>
      <c r="K136" s="448" t="n"/>
      <c r="L136" s="448" t="n"/>
      <c r="M136" s="449" t="n"/>
      <c r="N136" s="510">
        <f>IF(C136&lt;=$I$15, $I$16, "")</f>
        <v/>
      </c>
      <c r="O136" s="453" t="n"/>
      <c r="P136" s="453" t="n"/>
      <c r="Q136" s="453" t="n"/>
      <c r="R136" s="453" t="n"/>
      <c r="S136" s="453" t="n"/>
      <c r="T136" s="453" t="n"/>
      <c r="U136" s="453" t="n"/>
      <c r="V136" s="453" t="n"/>
      <c r="W136" s="453" t="n"/>
      <c r="X136" s="453" t="n"/>
      <c r="Y136" s="454" t="n"/>
      <c r="Z136" s="70" t="n"/>
      <c r="AA136" s="70" t="n"/>
      <c r="AB136" s="70" t="n"/>
      <c r="AC136" s="70" t="n"/>
      <c r="AD136" s="117" t="n">
        <v>5</v>
      </c>
      <c r="AE136" s="511">
        <f>D136</f>
        <v/>
      </c>
      <c r="AF136" s="453" t="n"/>
      <c r="AG136" s="453" t="n"/>
      <c r="AH136" s="453" t="n"/>
      <c r="AI136" s="453" t="n"/>
      <c r="AJ136" s="453" t="n"/>
      <c r="AK136" s="453" t="n"/>
      <c r="AL136" s="453" t="n"/>
      <c r="AM136" s="453" t="n"/>
      <c r="AN136" s="454" t="n"/>
      <c r="AO136" s="510">
        <f>AO135</f>
        <v/>
      </c>
      <c r="AP136" s="453" t="n"/>
      <c r="AQ136" s="453" t="n"/>
      <c r="AR136" s="453" t="n"/>
      <c r="AS136" s="453" t="n"/>
      <c r="AT136" s="453" t="n"/>
      <c r="AU136" s="453" t="n"/>
      <c r="AV136" s="453" t="n"/>
      <c r="AW136" s="453" t="n"/>
      <c r="AX136" s="453" t="n"/>
      <c r="AY136" s="453" t="n"/>
      <c r="AZ136" s="454" t="n"/>
      <c r="BA136" s="70" t="n"/>
      <c r="BB136" s="70" t="n"/>
      <c r="BC136" s="70" t="n"/>
      <c r="BD136" s="70" t="n"/>
      <c r="BE136" s="117" t="n">
        <v>5</v>
      </c>
      <c r="BF136" s="511">
        <f>AE136</f>
        <v/>
      </c>
      <c r="BG136" s="453" t="n"/>
      <c r="BH136" s="453" t="n"/>
      <c r="BI136" s="453" t="n"/>
      <c r="BJ136" s="453" t="n"/>
      <c r="BK136" s="453" t="n"/>
      <c r="BL136" s="453" t="n"/>
      <c r="BM136" s="453" t="n"/>
      <c r="BN136" s="453" t="n"/>
      <c r="BO136" s="454" t="n"/>
      <c r="BP136" s="510">
        <f>BP135</f>
        <v/>
      </c>
      <c r="BQ136" s="453" t="n"/>
      <c r="BR136" s="453" t="n"/>
      <c r="BS136" s="453" t="n"/>
      <c r="BT136" s="453" t="n"/>
      <c r="BU136" s="453" t="n"/>
      <c r="BV136" s="453" t="n"/>
      <c r="BW136" s="453" t="n"/>
      <c r="BX136" s="453" t="n"/>
      <c r="BY136" s="453" t="n"/>
      <c r="BZ136" s="453" t="n"/>
      <c r="CA136" s="453" t="n"/>
      <c r="CB136" s="453" t="n"/>
      <c r="CC136" s="454" t="n"/>
      <c r="CI136" s="481" t="n"/>
    </row>
    <row r="137" ht="15.75" customHeight="1">
      <c r="C137" s="117" t="n">
        <v>6</v>
      </c>
      <c r="D137" s="509">
        <f>IF(C137&lt;=$I$15, EDATE($D$5, C137-1), "")</f>
        <v/>
      </c>
      <c r="E137" s="448" t="n"/>
      <c r="F137" s="448" t="n"/>
      <c r="G137" s="448" t="n"/>
      <c r="H137" s="448" t="n"/>
      <c r="I137" s="448" t="n"/>
      <c r="J137" s="448" t="n"/>
      <c r="K137" s="448" t="n"/>
      <c r="L137" s="448" t="n"/>
      <c r="M137" s="449" t="n"/>
      <c r="N137" s="510">
        <f>IF(C137&lt;=$I$15, $I$16, "")</f>
        <v/>
      </c>
      <c r="O137" s="453" t="n"/>
      <c r="P137" s="453" t="n"/>
      <c r="Q137" s="453" t="n"/>
      <c r="R137" s="453" t="n"/>
      <c r="S137" s="453" t="n"/>
      <c r="T137" s="453" t="n"/>
      <c r="U137" s="453" t="n"/>
      <c r="V137" s="453" t="n"/>
      <c r="W137" s="453" t="n"/>
      <c r="X137" s="453" t="n"/>
      <c r="Y137" s="454" t="n"/>
      <c r="Z137" s="70" t="n"/>
      <c r="AA137" s="70" t="n"/>
      <c r="AB137" s="70" t="n"/>
      <c r="AC137" s="70" t="n"/>
      <c r="AD137" s="117" t="n">
        <v>6</v>
      </c>
      <c r="AE137" s="511">
        <f>D137</f>
        <v/>
      </c>
      <c r="AF137" s="453" t="n"/>
      <c r="AG137" s="453" t="n"/>
      <c r="AH137" s="453" t="n"/>
      <c r="AI137" s="453" t="n"/>
      <c r="AJ137" s="453" t="n"/>
      <c r="AK137" s="453" t="n"/>
      <c r="AL137" s="453" t="n"/>
      <c r="AM137" s="453" t="n"/>
      <c r="AN137" s="454" t="n"/>
      <c r="AO137" s="510">
        <f>AO136</f>
        <v/>
      </c>
      <c r="AP137" s="453" t="n"/>
      <c r="AQ137" s="453" t="n"/>
      <c r="AR137" s="453" t="n"/>
      <c r="AS137" s="453" t="n"/>
      <c r="AT137" s="453" t="n"/>
      <c r="AU137" s="453" t="n"/>
      <c r="AV137" s="453" t="n"/>
      <c r="AW137" s="453" t="n"/>
      <c r="AX137" s="453" t="n"/>
      <c r="AY137" s="453" t="n"/>
      <c r="AZ137" s="454" t="n"/>
      <c r="BA137" s="70" t="n"/>
      <c r="BB137" s="70" t="n"/>
      <c r="BC137" s="70" t="n"/>
      <c r="BD137" s="70" t="n"/>
      <c r="BE137" s="117" t="n">
        <v>6</v>
      </c>
      <c r="BF137" s="511">
        <f>AE137</f>
        <v/>
      </c>
      <c r="BG137" s="453" t="n"/>
      <c r="BH137" s="453" t="n"/>
      <c r="BI137" s="453" t="n"/>
      <c r="BJ137" s="453" t="n"/>
      <c r="BK137" s="453" t="n"/>
      <c r="BL137" s="453" t="n"/>
      <c r="BM137" s="453" t="n"/>
      <c r="BN137" s="453" t="n"/>
      <c r="BO137" s="454" t="n"/>
      <c r="BP137" s="510">
        <f>BP136</f>
        <v/>
      </c>
      <c r="BQ137" s="453" t="n"/>
      <c r="BR137" s="453" t="n"/>
      <c r="BS137" s="453" t="n"/>
      <c r="BT137" s="453" t="n"/>
      <c r="BU137" s="453" t="n"/>
      <c r="BV137" s="453" t="n"/>
      <c r="BW137" s="453" t="n"/>
      <c r="BX137" s="453" t="n"/>
      <c r="BY137" s="453" t="n"/>
      <c r="BZ137" s="453" t="n"/>
      <c r="CA137" s="453" t="n"/>
      <c r="CB137" s="453" t="n"/>
      <c r="CC137" s="454" t="n"/>
      <c r="CI137" s="481" t="n"/>
    </row>
    <row r="138" ht="15.75" customHeight="1">
      <c r="C138" s="117" t="n">
        <v>7</v>
      </c>
      <c r="D138" s="509">
        <f>IF(C138&lt;=$I$15, EDATE($D$5, C138-1), "")</f>
        <v/>
      </c>
      <c r="E138" s="448" t="n"/>
      <c r="F138" s="448" t="n"/>
      <c r="G138" s="448" t="n"/>
      <c r="H138" s="448" t="n"/>
      <c r="I138" s="448" t="n"/>
      <c r="J138" s="448" t="n"/>
      <c r="K138" s="448" t="n"/>
      <c r="L138" s="448" t="n"/>
      <c r="M138" s="449" t="n"/>
      <c r="N138" s="510">
        <f>IF(C138&lt;=$I$15, $I$16, "")</f>
        <v/>
      </c>
      <c r="O138" s="453" t="n"/>
      <c r="P138" s="453" t="n"/>
      <c r="Q138" s="453" t="n"/>
      <c r="R138" s="453" t="n"/>
      <c r="S138" s="453" t="n"/>
      <c r="T138" s="453" t="n"/>
      <c r="U138" s="453" t="n"/>
      <c r="V138" s="453" t="n"/>
      <c r="W138" s="453" t="n"/>
      <c r="X138" s="453" t="n"/>
      <c r="Y138" s="454" t="n"/>
      <c r="Z138" s="70" t="n"/>
      <c r="AA138" s="70" t="n"/>
      <c r="AB138" s="70" t="n"/>
      <c r="AC138" s="70" t="n"/>
      <c r="AD138" s="117" t="n">
        <v>7</v>
      </c>
      <c r="AE138" s="511">
        <f>D138</f>
        <v/>
      </c>
      <c r="AF138" s="453" t="n"/>
      <c r="AG138" s="453" t="n"/>
      <c r="AH138" s="453" t="n"/>
      <c r="AI138" s="453" t="n"/>
      <c r="AJ138" s="453" t="n"/>
      <c r="AK138" s="453" t="n"/>
      <c r="AL138" s="453" t="n"/>
      <c r="AM138" s="453" t="n"/>
      <c r="AN138" s="454" t="n"/>
      <c r="AO138" s="510">
        <f>AO137</f>
        <v/>
      </c>
      <c r="AP138" s="453" t="n"/>
      <c r="AQ138" s="453" t="n"/>
      <c r="AR138" s="453" t="n"/>
      <c r="AS138" s="453" t="n"/>
      <c r="AT138" s="453" t="n"/>
      <c r="AU138" s="453" t="n"/>
      <c r="AV138" s="453" t="n"/>
      <c r="AW138" s="453" t="n"/>
      <c r="AX138" s="453" t="n"/>
      <c r="AY138" s="453" t="n"/>
      <c r="AZ138" s="454" t="n"/>
      <c r="BA138" s="70" t="n"/>
      <c r="BB138" s="70" t="n"/>
      <c r="BC138" s="70" t="n"/>
      <c r="BD138" s="70" t="n"/>
      <c r="BE138" s="117" t="n">
        <v>7</v>
      </c>
      <c r="BF138" s="511">
        <f>AE138</f>
        <v/>
      </c>
      <c r="BG138" s="453" t="n"/>
      <c r="BH138" s="453" t="n"/>
      <c r="BI138" s="453" t="n"/>
      <c r="BJ138" s="453" t="n"/>
      <c r="BK138" s="453" t="n"/>
      <c r="BL138" s="453" t="n"/>
      <c r="BM138" s="453" t="n"/>
      <c r="BN138" s="453" t="n"/>
      <c r="BO138" s="454" t="n"/>
      <c r="BP138" s="510">
        <f>BP137</f>
        <v/>
      </c>
      <c r="BQ138" s="453" t="n"/>
      <c r="BR138" s="453" t="n"/>
      <c r="BS138" s="453" t="n"/>
      <c r="BT138" s="453" t="n"/>
      <c r="BU138" s="453" t="n"/>
      <c r="BV138" s="453" t="n"/>
      <c r="BW138" s="453" t="n"/>
      <c r="BX138" s="453" t="n"/>
      <c r="BY138" s="453" t="n"/>
      <c r="BZ138" s="453" t="n"/>
      <c r="CA138" s="453" t="n"/>
      <c r="CB138" s="453" t="n"/>
      <c r="CC138" s="454" t="n"/>
      <c r="CI138" s="481" t="n"/>
    </row>
    <row r="139" ht="15.75" customHeight="1">
      <c r="C139" s="117" t="n">
        <v>8</v>
      </c>
      <c r="D139" s="509">
        <f>IF(C139&lt;=$I$15, EDATE($D$5, C139-1), "")</f>
        <v/>
      </c>
      <c r="E139" s="448" t="n"/>
      <c r="F139" s="448" t="n"/>
      <c r="G139" s="448" t="n"/>
      <c r="H139" s="448" t="n"/>
      <c r="I139" s="448" t="n"/>
      <c r="J139" s="448" t="n"/>
      <c r="K139" s="448" t="n"/>
      <c r="L139" s="448" t="n"/>
      <c r="M139" s="449" t="n"/>
      <c r="N139" s="510">
        <f>IF(C139&lt;=$I$15, $I$16, "")</f>
        <v/>
      </c>
      <c r="O139" s="453" t="n"/>
      <c r="P139" s="453" t="n"/>
      <c r="Q139" s="453" t="n"/>
      <c r="R139" s="453" t="n"/>
      <c r="S139" s="453" t="n"/>
      <c r="T139" s="453" t="n"/>
      <c r="U139" s="453" t="n"/>
      <c r="V139" s="453" t="n"/>
      <c r="W139" s="453" t="n"/>
      <c r="X139" s="453" t="n"/>
      <c r="Y139" s="454" t="n"/>
      <c r="Z139" s="70" t="n"/>
      <c r="AA139" s="70" t="n"/>
      <c r="AB139" s="70" t="n"/>
      <c r="AC139" s="70" t="n"/>
      <c r="AD139" s="117" t="n">
        <v>8</v>
      </c>
      <c r="AE139" s="511">
        <f>D139</f>
        <v/>
      </c>
      <c r="AF139" s="453" t="n"/>
      <c r="AG139" s="453" t="n"/>
      <c r="AH139" s="453" t="n"/>
      <c r="AI139" s="453" t="n"/>
      <c r="AJ139" s="453" t="n"/>
      <c r="AK139" s="453" t="n"/>
      <c r="AL139" s="453" t="n"/>
      <c r="AM139" s="453" t="n"/>
      <c r="AN139" s="454" t="n"/>
      <c r="AO139" s="510">
        <f>AO138</f>
        <v/>
      </c>
      <c r="AP139" s="453" t="n"/>
      <c r="AQ139" s="453" t="n"/>
      <c r="AR139" s="453" t="n"/>
      <c r="AS139" s="453" t="n"/>
      <c r="AT139" s="453" t="n"/>
      <c r="AU139" s="453" t="n"/>
      <c r="AV139" s="453" t="n"/>
      <c r="AW139" s="453" t="n"/>
      <c r="AX139" s="453" t="n"/>
      <c r="AY139" s="453" t="n"/>
      <c r="AZ139" s="454" t="n"/>
      <c r="BA139" s="70" t="n"/>
      <c r="BB139" s="70" t="n"/>
      <c r="BC139" s="70" t="n"/>
      <c r="BD139" s="70" t="n"/>
      <c r="BE139" s="117" t="n">
        <v>8</v>
      </c>
      <c r="BF139" s="511">
        <f>AE139</f>
        <v/>
      </c>
      <c r="BG139" s="453" t="n"/>
      <c r="BH139" s="453" t="n"/>
      <c r="BI139" s="453" t="n"/>
      <c r="BJ139" s="453" t="n"/>
      <c r="BK139" s="453" t="n"/>
      <c r="BL139" s="453" t="n"/>
      <c r="BM139" s="453" t="n"/>
      <c r="BN139" s="453" t="n"/>
      <c r="BO139" s="454" t="n"/>
      <c r="BP139" s="510">
        <f>BP138</f>
        <v/>
      </c>
      <c r="BQ139" s="453" t="n"/>
      <c r="BR139" s="453" t="n"/>
      <c r="BS139" s="453" t="n"/>
      <c r="BT139" s="453" t="n"/>
      <c r="BU139" s="453" t="n"/>
      <c r="BV139" s="453" t="n"/>
      <c r="BW139" s="453" t="n"/>
      <c r="BX139" s="453" t="n"/>
      <c r="BY139" s="453" t="n"/>
      <c r="BZ139" s="453" t="n"/>
      <c r="CA139" s="453" t="n"/>
      <c r="CB139" s="453" t="n"/>
      <c r="CC139" s="454" t="n"/>
      <c r="CI139" s="481" t="n"/>
    </row>
    <row r="140" ht="15.75" customHeight="1">
      <c r="C140" s="117" t="n">
        <v>9</v>
      </c>
      <c r="D140" s="509">
        <f>IF(C140&lt;=$I$15, EDATE($D$5, C140-1), "")</f>
        <v/>
      </c>
      <c r="E140" s="448" t="n"/>
      <c r="F140" s="448" t="n"/>
      <c r="G140" s="448" t="n"/>
      <c r="H140" s="448" t="n"/>
      <c r="I140" s="448" t="n"/>
      <c r="J140" s="448" t="n"/>
      <c r="K140" s="448" t="n"/>
      <c r="L140" s="448" t="n"/>
      <c r="M140" s="449" t="n"/>
      <c r="N140" s="510">
        <f>IF(C140&lt;=$I$15, $I$16, "")</f>
        <v/>
      </c>
      <c r="O140" s="453" t="n"/>
      <c r="P140" s="453" t="n"/>
      <c r="Q140" s="453" t="n"/>
      <c r="R140" s="453" t="n"/>
      <c r="S140" s="453" t="n"/>
      <c r="T140" s="453" t="n"/>
      <c r="U140" s="453" t="n"/>
      <c r="V140" s="453" t="n"/>
      <c r="W140" s="453" t="n"/>
      <c r="X140" s="453" t="n"/>
      <c r="Y140" s="454" t="n"/>
      <c r="Z140" s="70" t="n"/>
      <c r="AA140" s="70" t="n"/>
      <c r="AB140" s="70" t="n"/>
      <c r="AC140" s="70" t="n"/>
      <c r="AD140" s="117" t="n">
        <v>9</v>
      </c>
      <c r="AE140" s="511">
        <f>D140</f>
        <v/>
      </c>
      <c r="AF140" s="453" t="n"/>
      <c r="AG140" s="453" t="n"/>
      <c r="AH140" s="453" t="n"/>
      <c r="AI140" s="453" t="n"/>
      <c r="AJ140" s="453" t="n"/>
      <c r="AK140" s="453" t="n"/>
      <c r="AL140" s="453" t="n"/>
      <c r="AM140" s="453" t="n"/>
      <c r="AN140" s="454" t="n"/>
      <c r="AO140" s="510">
        <f>AO139</f>
        <v/>
      </c>
      <c r="AP140" s="453" t="n"/>
      <c r="AQ140" s="453" t="n"/>
      <c r="AR140" s="453" t="n"/>
      <c r="AS140" s="453" t="n"/>
      <c r="AT140" s="453" t="n"/>
      <c r="AU140" s="453" t="n"/>
      <c r="AV140" s="453" t="n"/>
      <c r="AW140" s="453" t="n"/>
      <c r="AX140" s="453" t="n"/>
      <c r="AY140" s="453" t="n"/>
      <c r="AZ140" s="454" t="n"/>
      <c r="BA140" s="70" t="n"/>
      <c r="BB140" s="70" t="n"/>
      <c r="BC140" s="70" t="n"/>
      <c r="BD140" s="70" t="n"/>
      <c r="BE140" s="117" t="n">
        <v>9</v>
      </c>
      <c r="BF140" s="511">
        <f>AE140</f>
        <v/>
      </c>
      <c r="BG140" s="453" t="n"/>
      <c r="BH140" s="453" t="n"/>
      <c r="BI140" s="453" t="n"/>
      <c r="BJ140" s="453" t="n"/>
      <c r="BK140" s="453" t="n"/>
      <c r="BL140" s="453" t="n"/>
      <c r="BM140" s="453" t="n"/>
      <c r="BN140" s="453" t="n"/>
      <c r="BO140" s="454" t="n"/>
      <c r="BP140" s="510">
        <f>BP139</f>
        <v/>
      </c>
      <c r="BQ140" s="453" t="n"/>
      <c r="BR140" s="453" t="n"/>
      <c r="BS140" s="453" t="n"/>
      <c r="BT140" s="453" t="n"/>
      <c r="BU140" s="453" t="n"/>
      <c r="BV140" s="453" t="n"/>
      <c r="BW140" s="453" t="n"/>
      <c r="BX140" s="453" t="n"/>
      <c r="BY140" s="453" t="n"/>
      <c r="BZ140" s="453" t="n"/>
      <c r="CA140" s="453" t="n"/>
      <c r="CB140" s="453" t="n"/>
      <c r="CC140" s="454" t="n"/>
      <c r="CI140" s="481" t="n"/>
    </row>
    <row r="141" ht="15.75" customHeight="1">
      <c r="C141" s="117" t="n">
        <v>10</v>
      </c>
      <c r="D141" s="509">
        <f>IF(C141&lt;=$I$15, EDATE($D$5, C141-1), "")</f>
        <v/>
      </c>
      <c r="E141" s="448" t="n"/>
      <c r="F141" s="448" t="n"/>
      <c r="G141" s="448" t="n"/>
      <c r="H141" s="448" t="n"/>
      <c r="I141" s="448" t="n"/>
      <c r="J141" s="448" t="n"/>
      <c r="K141" s="448" t="n"/>
      <c r="L141" s="448" t="n"/>
      <c r="M141" s="449" t="n"/>
      <c r="N141" s="510">
        <f>IF(C141&lt;=$I$15, $I$16, "")</f>
        <v/>
      </c>
      <c r="O141" s="453" t="n"/>
      <c r="P141" s="453" t="n"/>
      <c r="Q141" s="453" t="n"/>
      <c r="R141" s="453" t="n"/>
      <c r="S141" s="453" t="n"/>
      <c r="T141" s="453" t="n"/>
      <c r="U141" s="453" t="n"/>
      <c r="V141" s="453" t="n"/>
      <c r="W141" s="453" t="n"/>
      <c r="X141" s="453" t="n"/>
      <c r="Y141" s="454" t="n"/>
      <c r="Z141" s="70" t="n"/>
      <c r="AA141" s="70" t="n"/>
      <c r="AB141" s="70" t="n"/>
      <c r="AC141" s="70" t="n"/>
      <c r="AD141" s="117" t="n">
        <v>10</v>
      </c>
      <c r="AE141" s="511">
        <f>D141</f>
        <v/>
      </c>
      <c r="AF141" s="453" t="n"/>
      <c r="AG141" s="453" t="n"/>
      <c r="AH141" s="453" t="n"/>
      <c r="AI141" s="453" t="n"/>
      <c r="AJ141" s="453" t="n"/>
      <c r="AK141" s="453" t="n"/>
      <c r="AL141" s="453" t="n"/>
      <c r="AM141" s="453" t="n"/>
      <c r="AN141" s="454" t="n"/>
      <c r="AO141" s="510">
        <f>AO140</f>
        <v/>
      </c>
      <c r="AP141" s="453" t="n"/>
      <c r="AQ141" s="453" t="n"/>
      <c r="AR141" s="453" t="n"/>
      <c r="AS141" s="453" t="n"/>
      <c r="AT141" s="453" t="n"/>
      <c r="AU141" s="453" t="n"/>
      <c r="AV141" s="453" t="n"/>
      <c r="AW141" s="453" t="n"/>
      <c r="AX141" s="453" t="n"/>
      <c r="AY141" s="453" t="n"/>
      <c r="AZ141" s="454" t="n"/>
      <c r="BA141" s="70" t="n"/>
      <c r="BB141" s="70" t="n"/>
      <c r="BC141" s="70" t="n"/>
      <c r="BD141" s="70" t="n"/>
      <c r="BE141" s="117" t="n">
        <v>10</v>
      </c>
      <c r="BF141" s="511">
        <f>AE141</f>
        <v/>
      </c>
      <c r="BG141" s="453" t="n"/>
      <c r="BH141" s="453" t="n"/>
      <c r="BI141" s="453" t="n"/>
      <c r="BJ141" s="453" t="n"/>
      <c r="BK141" s="453" t="n"/>
      <c r="BL141" s="453" t="n"/>
      <c r="BM141" s="453" t="n"/>
      <c r="BN141" s="453" t="n"/>
      <c r="BO141" s="454" t="n"/>
      <c r="BP141" s="510">
        <f>BP140</f>
        <v/>
      </c>
      <c r="BQ141" s="453" t="n"/>
      <c r="BR141" s="453" t="n"/>
      <c r="BS141" s="453" t="n"/>
      <c r="BT141" s="453" t="n"/>
      <c r="BU141" s="453" t="n"/>
      <c r="BV141" s="453" t="n"/>
      <c r="BW141" s="453" t="n"/>
      <c r="BX141" s="453" t="n"/>
      <c r="BY141" s="453" t="n"/>
      <c r="BZ141" s="453" t="n"/>
      <c r="CA141" s="453" t="n"/>
      <c r="CB141" s="453" t="n"/>
      <c r="CC141" s="454" t="n"/>
      <c r="CI141" s="481" t="n"/>
    </row>
    <row r="142" ht="15.75" customHeight="1">
      <c r="C142" s="117" t="n">
        <v>11</v>
      </c>
      <c r="D142" s="509">
        <f>IF(C142&lt;=$I$15, EDATE($D$5, C142-1), "")</f>
        <v/>
      </c>
      <c r="E142" s="448" t="n"/>
      <c r="F142" s="448" t="n"/>
      <c r="G142" s="448" t="n"/>
      <c r="H142" s="448" t="n"/>
      <c r="I142" s="448" t="n"/>
      <c r="J142" s="448" t="n"/>
      <c r="K142" s="448" t="n"/>
      <c r="L142" s="448" t="n"/>
      <c r="M142" s="449" t="n"/>
      <c r="N142" s="510">
        <f>IF(C142&lt;=$I$15, $I$16, "")</f>
        <v/>
      </c>
      <c r="O142" s="453" t="n"/>
      <c r="P142" s="453" t="n"/>
      <c r="Q142" s="453" t="n"/>
      <c r="R142" s="453" t="n"/>
      <c r="S142" s="453" t="n"/>
      <c r="T142" s="453" t="n"/>
      <c r="U142" s="453" t="n"/>
      <c r="V142" s="453" t="n"/>
      <c r="W142" s="453" t="n"/>
      <c r="X142" s="453" t="n"/>
      <c r="Y142" s="454" t="n"/>
      <c r="Z142" s="70" t="n"/>
      <c r="AA142" s="70" t="n"/>
      <c r="AB142" s="70" t="n"/>
      <c r="AC142" s="70" t="n"/>
      <c r="AD142" s="117" t="n">
        <v>11</v>
      </c>
      <c r="AE142" s="511">
        <f>D142</f>
        <v/>
      </c>
      <c r="AF142" s="453" t="n"/>
      <c r="AG142" s="453" t="n"/>
      <c r="AH142" s="453" t="n"/>
      <c r="AI142" s="453" t="n"/>
      <c r="AJ142" s="453" t="n"/>
      <c r="AK142" s="453" t="n"/>
      <c r="AL142" s="453" t="n"/>
      <c r="AM142" s="453" t="n"/>
      <c r="AN142" s="454" t="n"/>
      <c r="AO142" s="510">
        <f>AO141</f>
        <v/>
      </c>
      <c r="AP142" s="453" t="n"/>
      <c r="AQ142" s="453" t="n"/>
      <c r="AR142" s="453" t="n"/>
      <c r="AS142" s="453" t="n"/>
      <c r="AT142" s="453" t="n"/>
      <c r="AU142" s="453" t="n"/>
      <c r="AV142" s="453" t="n"/>
      <c r="AW142" s="453" t="n"/>
      <c r="AX142" s="453" t="n"/>
      <c r="AY142" s="453" t="n"/>
      <c r="AZ142" s="454" t="n"/>
      <c r="BA142" s="70" t="n"/>
      <c r="BB142" s="70" t="n"/>
      <c r="BC142" s="70" t="n"/>
      <c r="BD142" s="70" t="n"/>
      <c r="BE142" s="117" t="n">
        <v>11</v>
      </c>
      <c r="BF142" s="511">
        <f>AE142</f>
        <v/>
      </c>
      <c r="BG142" s="453" t="n"/>
      <c r="BH142" s="453" t="n"/>
      <c r="BI142" s="453" t="n"/>
      <c r="BJ142" s="453" t="n"/>
      <c r="BK142" s="453" t="n"/>
      <c r="BL142" s="453" t="n"/>
      <c r="BM142" s="453" t="n"/>
      <c r="BN142" s="453" t="n"/>
      <c r="BO142" s="454" t="n"/>
      <c r="BP142" s="510" t="n">
        <v>0</v>
      </c>
      <c r="BQ142" s="453" t="n"/>
      <c r="BR142" s="453" t="n"/>
      <c r="BS142" s="453" t="n"/>
      <c r="BT142" s="453" t="n"/>
      <c r="BU142" s="453" t="n"/>
      <c r="BV142" s="453" t="n"/>
      <c r="BW142" s="453" t="n"/>
      <c r="BX142" s="453" t="n"/>
      <c r="BY142" s="453" t="n"/>
      <c r="BZ142" s="453" t="n"/>
      <c r="CA142" s="453" t="n"/>
      <c r="CB142" s="453" t="n"/>
      <c r="CC142" s="454" t="n"/>
      <c r="CI142" s="481" t="n"/>
    </row>
    <row r="143" ht="15.75" customHeight="1">
      <c r="C143" s="117" t="n">
        <v>12</v>
      </c>
      <c r="D143" s="509">
        <f>IF(C143&lt;=$I$15, EDATE($D$5, C143-1), "")</f>
        <v/>
      </c>
      <c r="E143" s="448" t="n"/>
      <c r="F143" s="448" t="n"/>
      <c r="G143" s="448" t="n"/>
      <c r="H143" s="448" t="n"/>
      <c r="I143" s="448" t="n"/>
      <c r="J143" s="448" t="n"/>
      <c r="K143" s="448" t="n"/>
      <c r="L143" s="448" t="n"/>
      <c r="M143" s="449" t="n"/>
      <c r="N143" s="510">
        <f>IF(C143&lt;=$I$15, $I$16, "")</f>
        <v/>
      </c>
      <c r="O143" s="453" t="n"/>
      <c r="P143" s="453" t="n"/>
      <c r="Q143" s="453" t="n"/>
      <c r="R143" s="453" t="n"/>
      <c r="S143" s="453" t="n"/>
      <c r="T143" s="453" t="n"/>
      <c r="U143" s="453" t="n"/>
      <c r="V143" s="453" t="n"/>
      <c r="W143" s="453" t="n"/>
      <c r="X143" s="453" t="n"/>
      <c r="Y143" s="454" t="n"/>
      <c r="Z143" s="70" t="n"/>
      <c r="AA143" s="70" t="n"/>
      <c r="AB143" s="70" t="n"/>
      <c r="AC143" s="70" t="n"/>
      <c r="AD143" s="117" t="n">
        <v>12</v>
      </c>
      <c r="AE143" s="511">
        <f>D143</f>
        <v/>
      </c>
      <c r="AF143" s="453" t="n"/>
      <c r="AG143" s="453" t="n"/>
      <c r="AH143" s="453" t="n"/>
      <c r="AI143" s="453" t="n"/>
      <c r="AJ143" s="453" t="n"/>
      <c r="AK143" s="453" t="n"/>
      <c r="AL143" s="453" t="n"/>
      <c r="AM143" s="453" t="n"/>
      <c r="AN143" s="454" t="n"/>
      <c r="AO143" s="510">
        <f>AO142</f>
        <v/>
      </c>
      <c r="AP143" s="453" t="n"/>
      <c r="AQ143" s="453" t="n"/>
      <c r="AR143" s="453" t="n"/>
      <c r="AS143" s="453" t="n"/>
      <c r="AT143" s="453" t="n"/>
      <c r="AU143" s="453" t="n"/>
      <c r="AV143" s="453" t="n"/>
      <c r="AW143" s="453" t="n"/>
      <c r="AX143" s="453" t="n"/>
      <c r="AY143" s="453" t="n"/>
      <c r="AZ143" s="454" t="n"/>
      <c r="BA143" s="70" t="n"/>
      <c r="BB143" s="70" t="n"/>
      <c r="BC143" s="70" t="n"/>
      <c r="BD143" s="70" t="n"/>
      <c r="BE143" s="117" t="n">
        <v>12</v>
      </c>
      <c r="BF143" s="511">
        <f>AE143</f>
        <v/>
      </c>
      <c r="BG143" s="453" t="n"/>
      <c r="BH143" s="453" t="n"/>
      <c r="BI143" s="453" t="n"/>
      <c r="BJ143" s="453" t="n"/>
      <c r="BK143" s="453" t="n"/>
      <c r="BL143" s="453" t="n"/>
      <c r="BM143" s="453" t="n"/>
      <c r="BN143" s="453" t="n"/>
      <c r="BO143" s="454" t="n"/>
      <c r="BP143" s="510" t="n">
        <v>0</v>
      </c>
      <c r="BQ143" s="453" t="n"/>
      <c r="BR143" s="453" t="n"/>
      <c r="BS143" s="453" t="n"/>
      <c r="BT143" s="453" t="n"/>
      <c r="BU143" s="453" t="n"/>
      <c r="BV143" s="453" t="n"/>
      <c r="BW143" s="453" t="n"/>
      <c r="BX143" s="453" t="n"/>
      <c r="BY143" s="453" t="n"/>
      <c r="BZ143" s="453" t="n"/>
      <c r="CA143" s="453" t="n"/>
      <c r="CB143" s="453" t="n"/>
      <c r="CC143" s="454" t="n"/>
      <c r="CI143" s="481" t="n"/>
    </row>
    <row r="144" ht="15.75" customHeight="1">
      <c r="C144" s="117" t="n">
        <v>13</v>
      </c>
      <c r="D144" s="509">
        <f>IF(C144&lt;=$I$15, EDATE($D$5, C144-1), "")</f>
        <v/>
      </c>
      <c r="E144" s="448" t="n"/>
      <c r="F144" s="448" t="n"/>
      <c r="G144" s="448" t="n"/>
      <c r="H144" s="448" t="n"/>
      <c r="I144" s="448" t="n"/>
      <c r="J144" s="448" t="n"/>
      <c r="K144" s="448" t="n"/>
      <c r="L144" s="448" t="n"/>
      <c r="M144" s="449" t="n"/>
      <c r="N144" s="510">
        <f>IF(C144&lt;=$I$15, $I$16, "")</f>
        <v/>
      </c>
      <c r="O144" s="453" t="n"/>
      <c r="P144" s="453" t="n"/>
      <c r="Q144" s="453" t="n"/>
      <c r="R144" s="453" t="n"/>
      <c r="S144" s="453" t="n"/>
      <c r="T144" s="453" t="n"/>
      <c r="U144" s="453" t="n"/>
      <c r="V144" s="453" t="n"/>
      <c r="W144" s="453" t="n"/>
      <c r="X144" s="453" t="n"/>
      <c r="Y144" s="454" t="n"/>
      <c r="Z144" s="70" t="n"/>
      <c r="AA144" s="70" t="n"/>
      <c r="AB144" s="70" t="n"/>
      <c r="AC144" s="70" t="n"/>
      <c r="AD144" s="117" t="n">
        <v>13</v>
      </c>
      <c r="AE144" s="511">
        <f>D144</f>
        <v/>
      </c>
      <c r="AF144" s="453" t="n"/>
      <c r="AG144" s="453" t="n"/>
      <c r="AH144" s="453" t="n"/>
      <c r="AI144" s="453" t="n"/>
      <c r="AJ144" s="453" t="n"/>
      <c r="AK144" s="453" t="n"/>
      <c r="AL144" s="453" t="n"/>
      <c r="AM144" s="453" t="n"/>
      <c r="AN144" s="454" t="n"/>
      <c r="AO144" s="510">
        <f>AO143</f>
        <v/>
      </c>
      <c r="AP144" s="453" t="n"/>
      <c r="AQ144" s="453" t="n"/>
      <c r="AR144" s="453" t="n"/>
      <c r="AS144" s="453" t="n"/>
      <c r="AT144" s="453" t="n"/>
      <c r="AU144" s="453" t="n"/>
      <c r="AV144" s="453" t="n"/>
      <c r="AW144" s="453" t="n"/>
      <c r="AX144" s="453" t="n"/>
      <c r="AY144" s="453" t="n"/>
      <c r="AZ144" s="454" t="n"/>
      <c r="BA144" s="70" t="n"/>
      <c r="BB144" s="70" t="n"/>
      <c r="BC144" s="70" t="n"/>
      <c r="BD144" s="70" t="n"/>
      <c r="BE144" s="117" t="n">
        <v>13</v>
      </c>
      <c r="BF144" s="511">
        <f>AE144</f>
        <v/>
      </c>
      <c r="BG144" s="453" t="n"/>
      <c r="BH144" s="453" t="n"/>
      <c r="BI144" s="453" t="n"/>
      <c r="BJ144" s="453" t="n"/>
      <c r="BK144" s="453" t="n"/>
      <c r="BL144" s="453" t="n"/>
      <c r="BM144" s="453" t="n"/>
      <c r="BN144" s="453" t="n"/>
      <c r="BO144" s="454" t="n"/>
      <c r="BP144" s="510" t="n">
        <v>0</v>
      </c>
      <c r="BQ144" s="453" t="n"/>
      <c r="BR144" s="453" t="n"/>
      <c r="BS144" s="453" t="n"/>
      <c r="BT144" s="453" t="n"/>
      <c r="BU144" s="453" t="n"/>
      <c r="BV144" s="453" t="n"/>
      <c r="BW144" s="453" t="n"/>
      <c r="BX144" s="453" t="n"/>
      <c r="BY144" s="453" t="n"/>
      <c r="BZ144" s="453" t="n"/>
      <c r="CA144" s="453" t="n"/>
      <c r="CB144" s="453" t="n"/>
      <c r="CC144" s="454" t="n"/>
      <c r="CI144" s="481" t="n"/>
    </row>
    <row r="145" ht="15.75" customHeight="1">
      <c r="C145" s="117" t="n">
        <v>14</v>
      </c>
      <c r="D145" s="509">
        <f>IF(C145&lt;=$I$15, EDATE($D$5, C145-1), "")</f>
        <v/>
      </c>
      <c r="E145" s="448" t="n"/>
      <c r="F145" s="448" t="n"/>
      <c r="G145" s="448" t="n"/>
      <c r="H145" s="448" t="n"/>
      <c r="I145" s="448" t="n"/>
      <c r="J145" s="448" t="n"/>
      <c r="K145" s="448" t="n"/>
      <c r="L145" s="448" t="n"/>
      <c r="M145" s="449" t="n"/>
      <c r="N145" s="510">
        <f>IF(C145&lt;=$I$15, $I$16, "")</f>
        <v/>
      </c>
      <c r="O145" s="453" t="n"/>
      <c r="P145" s="453" t="n"/>
      <c r="Q145" s="453" t="n"/>
      <c r="R145" s="453" t="n"/>
      <c r="S145" s="453" t="n"/>
      <c r="T145" s="453" t="n"/>
      <c r="U145" s="453" t="n"/>
      <c r="V145" s="453" t="n"/>
      <c r="W145" s="453" t="n"/>
      <c r="X145" s="453" t="n"/>
      <c r="Y145" s="454" t="n"/>
      <c r="Z145" s="70" t="n"/>
      <c r="AA145" s="70" t="n"/>
      <c r="AB145" s="70" t="n"/>
      <c r="AC145" s="70" t="n"/>
      <c r="AD145" s="117" t="n">
        <v>14</v>
      </c>
      <c r="AE145" s="511">
        <f>D145</f>
        <v/>
      </c>
      <c r="AF145" s="453" t="n"/>
      <c r="AG145" s="453" t="n"/>
      <c r="AH145" s="453" t="n"/>
      <c r="AI145" s="453" t="n"/>
      <c r="AJ145" s="453" t="n"/>
      <c r="AK145" s="453" t="n"/>
      <c r="AL145" s="453" t="n"/>
      <c r="AM145" s="453" t="n"/>
      <c r="AN145" s="454" t="n"/>
      <c r="AO145" s="510">
        <f>AO144</f>
        <v/>
      </c>
      <c r="AP145" s="453" t="n"/>
      <c r="AQ145" s="453" t="n"/>
      <c r="AR145" s="453" t="n"/>
      <c r="AS145" s="453" t="n"/>
      <c r="AT145" s="453" t="n"/>
      <c r="AU145" s="453" t="n"/>
      <c r="AV145" s="453" t="n"/>
      <c r="AW145" s="453" t="n"/>
      <c r="AX145" s="453" t="n"/>
      <c r="AY145" s="453" t="n"/>
      <c r="AZ145" s="454" t="n"/>
      <c r="BA145" s="70" t="n"/>
      <c r="BB145" s="70" t="n"/>
      <c r="BC145" s="70" t="n"/>
      <c r="BD145" s="70" t="n"/>
      <c r="BE145" s="117" t="n">
        <v>14</v>
      </c>
      <c r="BF145" s="511">
        <f>AE145</f>
        <v/>
      </c>
      <c r="BG145" s="453" t="n"/>
      <c r="BH145" s="453" t="n"/>
      <c r="BI145" s="453" t="n"/>
      <c r="BJ145" s="453" t="n"/>
      <c r="BK145" s="453" t="n"/>
      <c r="BL145" s="453" t="n"/>
      <c r="BM145" s="453" t="n"/>
      <c r="BN145" s="453" t="n"/>
      <c r="BO145" s="454" t="n"/>
      <c r="BP145" s="510">
        <f>BP144</f>
        <v/>
      </c>
      <c r="BQ145" s="453" t="n"/>
      <c r="BR145" s="453" t="n"/>
      <c r="BS145" s="453" t="n"/>
      <c r="BT145" s="453" t="n"/>
      <c r="BU145" s="453" t="n"/>
      <c r="BV145" s="453" t="n"/>
      <c r="BW145" s="453" t="n"/>
      <c r="BX145" s="453" t="n"/>
      <c r="BY145" s="453" t="n"/>
      <c r="BZ145" s="453" t="n"/>
      <c r="CA145" s="453" t="n"/>
      <c r="CB145" s="453" t="n"/>
      <c r="CC145" s="454" t="n"/>
      <c r="CI145" s="481" t="n"/>
    </row>
    <row r="146" ht="15.75" customHeight="1">
      <c r="C146" s="117" t="n">
        <v>15</v>
      </c>
      <c r="D146" s="509">
        <f>IF(C146&lt;=$I$15, EDATE($D$5, C146-1), "")</f>
        <v/>
      </c>
      <c r="E146" s="448" t="n"/>
      <c r="F146" s="448" t="n"/>
      <c r="G146" s="448" t="n"/>
      <c r="H146" s="448" t="n"/>
      <c r="I146" s="448" t="n"/>
      <c r="J146" s="448" t="n"/>
      <c r="K146" s="448" t="n"/>
      <c r="L146" s="448" t="n"/>
      <c r="M146" s="449" t="n"/>
      <c r="N146" s="510">
        <f>IF(C146&lt;=$I$15, $I$16, "")</f>
        <v/>
      </c>
      <c r="O146" s="453" t="n"/>
      <c r="P146" s="453" t="n"/>
      <c r="Q146" s="453" t="n"/>
      <c r="R146" s="453" t="n"/>
      <c r="S146" s="453" t="n"/>
      <c r="T146" s="453" t="n"/>
      <c r="U146" s="453" t="n"/>
      <c r="V146" s="453" t="n"/>
      <c r="W146" s="453" t="n"/>
      <c r="X146" s="453" t="n"/>
      <c r="Y146" s="454" t="n"/>
      <c r="Z146" s="70" t="n"/>
      <c r="AA146" s="70" t="n"/>
      <c r="AB146" s="70" t="n"/>
      <c r="AC146" s="70" t="n"/>
      <c r="AD146" s="117" t="n">
        <v>15</v>
      </c>
      <c r="AE146" s="511">
        <f>D146</f>
        <v/>
      </c>
      <c r="AF146" s="453" t="n"/>
      <c r="AG146" s="453" t="n"/>
      <c r="AH146" s="453" t="n"/>
      <c r="AI146" s="453" t="n"/>
      <c r="AJ146" s="453" t="n"/>
      <c r="AK146" s="453" t="n"/>
      <c r="AL146" s="453" t="n"/>
      <c r="AM146" s="453" t="n"/>
      <c r="AN146" s="454" t="n"/>
      <c r="AO146" s="510">
        <f>AO145</f>
        <v/>
      </c>
      <c r="AP146" s="453" t="n"/>
      <c r="AQ146" s="453" t="n"/>
      <c r="AR146" s="453" t="n"/>
      <c r="AS146" s="453" t="n"/>
      <c r="AT146" s="453" t="n"/>
      <c r="AU146" s="453" t="n"/>
      <c r="AV146" s="453" t="n"/>
      <c r="AW146" s="453" t="n"/>
      <c r="AX146" s="453" t="n"/>
      <c r="AY146" s="453" t="n"/>
      <c r="AZ146" s="454" t="n"/>
      <c r="BA146" s="70" t="n"/>
      <c r="BB146" s="70" t="n"/>
      <c r="BC146" s="70" t="n"/>
      <c r="BD146" s="70" t="n"/>
      <c r="BE146" s="117" t="n">
        <v>15</v>
      </c>
      <c r="BF146" s="511">
        <f>AE146</f>
        <v/>
      </c>
      <c r="BG146" s="453" t="n"/>
      <c r="BH146" s="453" t="n"/>
      <c r="BI146" s="453" t="n"/>
      <c r="BJ146" s="453" t="n"/>
      <c r="BK146" s="453" t="n"/>
      <c r="BL146" s="453" t="n"/>
      <c r="BM146" s="453" t="n"/>
      <c r="BN146" s="453" t="n"/>
      <c r="BO146" s="454" t="n"/>
      <c r="BP146" s="510">
        <f>BP145</f>
        <v/>
      </c>
      <c r="BQ146" s="453" t="n"/>
      <c r="BR146" s="453" t="n"/>
      <c r="BS146" s="453" t="n"/>
      <c r="BT146" s="453" t="n"/>
      <c r="BU146" s="453" t="n"/>
      <c r="BV146" s="453" t="n"/>
      <c r="BW146" s="453" t="n"/>
      <c r="BX146" s="453" t="n"/>
      <c r="BY146" s="453" t="n"/>
      <c r="BZ146" s="453" t="n"/>
      <c r="CA146" s="453" t="n"/>
      <c r="CB146" s="453" t="n"/>
      <c r="CC146" s="454" t="n"/>
      <c r="CI146" s="481" t="n"/>
    </row>
    <row r="147">
      <c r="A147" s="512" t="n"/>
      <c r="B147" s="512" t="n"/>
      <c r="C147" s="513" t="n">
        <v>16</v>
      </c>
      <c r="D147" s="514">
        <f>IF(C147&lt;=$I$15, EDATE($D$5, C147-1), "")</f>
        <v/>
      </c>
      <c r="E147" s="515" t="n"/>
      <c r="F147" s="515" t="n"/>
      <c r="G147" s="515" t="n"/>
      <c r="H147" s="515" t="n"/>
      <c r="I147" s="515" t="n"/>
      <c r="J147" s="515" t="n"/>
      <c r="K147" s="515" t="n"/>
      <c r="L147" s="515" t="n"/>
      <c r="M147" s="516" t="n"/>
      <c r="N147" s="517">
        <f>IF(C147&lt;=$I$15, $I$16, "")</f>
        <v/>
      </c>
      <c r="O147" s="515" t="n"/>
      <c r="P147" s="515" t="n"/>
      <c r="Q147" s="515" t="n"/>
      <c r="R147" s="515" t="n"/>
      <c r="S147" s="515" t="n"/>
      <c r="T147" s="515" t="n"/>
      <c r="U147" s="515" t="n"/>
      <c r="V147" s="515" t="n"/>
      <c r="W147" s="515" t="n"/>
      <c r="X147" s="515" t="n"/>
      <c r="Y147" s="516" t="n"/>
      <c r="Z147" s="518" t="n"/>
      <c r="AA147" s="518" t="n"/>
      <c r="AB147" s="518" t="n"/>
      <c r="AC147" s="518" t="n"/>
      <c r="AD147" s="513" t="n"/>
      <c r="AE147" s="514">
        <f>D147</f>
        <v/>
      </c>
      <c r="AF147" s="515" t="n"/>
      <c r="AG147" s="515" t="n"/>
      <c r="AH147" s="515" t="n"/>
      <c r="AI147" s="515" t="n"/>
      <c r="AJ147" s="515" t="n"/>
      <c r="AK147" s="515" t="n"/>
      <c r="AL147" s="515" t="n"/>
      <c r="AM147" s="515" t="n"/>
      <c r="AN147" s="516" t="n"/>
      <c r="AO147" s="517" t="n"/>
      <c r="AP147" s="515" t="n"/>
      <c r="AQ147" s="515" t="n"/>
      <c r="AR147" s="515" t="n"/>
      <c r="AS147" s="515" t="n"/>
      <c r="AT147" s="515" t="n"/>
      <c r="AU147" s="515" t="n"/>
      <c r="AV147" s="515" t="n"/>
      <c r="AW147" s="515" t="n"/>
      <c r="AX147" s="515" t="n"/>
      <c r="AY147" s="515" t="n"/>
      <c r="AZ147" s="516" t="n"/>
      <c r="BA147" s="518" t="n"/>
      <c r="BB147" s="518" t="n"/>
      <c r="BC147" s="518" t="n"/>
      <c r="BD147" s="518" t="n"/>
      <c r="BE147" s="513" t="n"/>
      <c r="BF147" s="514">
        <f>AE147</f>
        <v/>
      </c>
      <c r="BG147" s="515" t="n"/>
      <c r="BH147" s="515" t="n"/>
      <c r="BI147" s="515" t="n"/>
      <c r="BJ147" s="515" t="n"/>
      <c r="BK147" s="515" t="n"/>
      <c r="BL147" s="515" t="n"/>
      <c r="BM147" s="515" t="n"/>
      <c r="BN147" s="515" t="n"/>
      <c r="BO147" s="516" t="n"/>
      <c r="BP147" s="517" t="n"/>
      <c r="BQ147" s="515" t="n"/>
      <c r="BR147" s="515" t="n"/>
      <c r="BS147" s="515" t="n"/>
      <c r="BT147" s="515" t="n"/>
      <c r="BU147" s="515" t="n"/>
      <c r="BV147" s="515" t="n"/>
      <c r="BW147" s="515" t="n"/>
      <c r="BX147" s="515" t="n"/>
      <c r="BY147" s="515" t="n"/>
      <c r="BZ147" s="515" t="n"/>
      <c r="CA147" s="515" t="n"/>
      <c r="CB147" s="515" t="n"/>
      <c r="CC147" s="516" t="n"/>
      <c r="CD147" s="512" t="n"/>
      <c r="CE147" s="512" t="n"/>
      <c r="CF147" s="512" t="n"/>
      <c r="CG147" s="512" t="n"/>
      <c r="CH147" s="512" t="n"/>
      <c r="CI147" s="481" t="n"/>
      <c r="CJ147" s="512" t="n"/>
      <c r="CK147" s="512" t="n"/>
      <c r="CL147" s="512" t="n"/>
    </row>
    <row r="148">
      <c r="A148" s="512" t="n"/>
      <c r="B148" s="512" t="n"/>
      <c r="C148" s="513" t="n">
        <v>17</v>
      </c>
      <c r="D148" s="514">
        <f>IF(C148&lt;=$I$15, EDATE($D$5, C148-1), "")</f>
        <v/>
      </c>
      <c r="E148" s="515" t="n"/>
      <c r="F148" s="515" t="n"/>
      <c r="G148" s="515" t="n"/>
      <c r="H148" s="515" t="n"/>
      <c r="I148" s="515" t="n"/>
      <c r="J148" s="515" t="n"/>
      <c r="K148" s="515" t="n"/>
      <c r="L148" s="515" t="n"/>
      <c r="M148" s="516" t="n"/>
      <c r="N148" s="517">
        <f>IF(C148&lt;=$I$15, $I$16, "")</f>
        <v/>
      </c>
      <c r="O148" s="515" t="n"/>
      <c r="P148" s="515" t="n"/>
      <c r="Q148" s="515" t="n"/>
      <c r="R148" s="515" t="n"/>
      <c r="S148" s="515" t="n"/>
      <c r="T148" s="515" t="n"/>
      <c r="U148" s="515" t="n"/>
      <c r="V148" s="515" t="n"/>
      <c r="W148" s="515" t="n"/>
      <c r="X148" s="515" t="n"/>
      <c r="Y148" s="516" t="n"/>
      <c r="Z148" s="518" t="n"/>
      <c r="AA148" s="518" t="n"/>
      <c r="AB148" s="518" t="n"/>
      <c r="AC148" s="518" t="n"/>
      <c r="AD148" s="513" t="n"/>
      <c r="AE148" s="514">
        <f>D148</f>
        <v/>
      </c>
      <c r="AF148" s="515" t="n"/>
      <c r="AG148" s="515" t="n"/>
      <c r="AH148" s="515" t="n"/>
      <c r="AI148" s="515" t="n"/>
      <c r="AJ148" s="515" t="n"/>
      <c r="AK148" s="515" t="n"/>
      <c r="AL148" s="515" t="n"/>
      <c r="AM148" s="515" t="n"/>
      <c r="AN148" s="516" t="n"/>
      <c r="AO148" s="517" t="n"/>
      <c r="AP148" s="515" t="n"/>
      <c r="AQ148" s="515" t="n"/>
      <c r="AR148" s="515" t="n"/>
      <c r="AS148" s="515" t="n"/>
      <c r="AT148" s="515" t="n"/>
      <c r="AU148" s="515" t="n"/>
      <c r="AV148" s="515" t="n"/>
      <c r="AW148" s="515" t="n"/>
      <c r="AX148" s="515" t="n"/>
      <c r="AY148" s="515" t="n"/>
      <c r="AZ148" s="516" t="n"/>
      <c r="BA148" s="518" t="n"/>
      <c r="BB148" s="518" t="n"/>
      <c r="BC148" s="518" t="n"/>
      <c r="BD148" s="518" t="n"/>
      <c r="BE148" s="513" t="n"/>
      <c r="BF148" s="514">
        <f>AE148</f>
        <v/>
      </c>
      <c r="BG148" s="515" t="n"/>
      <c r="BH148" s="515" t="n"/>
      <c r="BI148" s="515" t="n"/>
      <c r="BJ148" s="515" t="n"/>
      <c r="BK148" s="515" t="n"/>
      <c r="BL148" s="515" t="n"/>
      <c r="BM148" s="515" t="n"/>
      <c r="BN148" s="515" t="n"/>
      <c r="BO148" s="516" t="n"/>
      <c r="BP148" s="517" t="n"/>
      <c r="BQ148" s="515" t="n"/>
      <c r="BR148" s="515" t="n"/>
      <c r="BS148" s="515" t="n"/>
      <c r="BT148" s="515" t="n"/>
      <c r="BU148" s="515" t="n"/>
      <c r="BV148" s="515" t="n"/>
      <c r="BW148" s="515" t="n"/>
      <c r="BX148" s="515" t="n"/>
      <c r="BY148" s="515" t="n"/>
      <c r="BZ148" s="515" t="n"/>
      <c r="CA148" s="515" t="n"/>
      <c r="CB148" s="515" t="n"/>
      <c r="CC148" s="516" t="n"/>
      <c r="CD148" s="512" t="n"/>
      <c r="CE148" s="512" t="n"/>
      <c r="CF148" s="512" t="n"/>
      <c r="CG148" s="512" t="n"/>
      <c r="CH148" s="512" t="n"/>
      <c r="CI148" s="481" t="n"/>
      <c r="CJ148" s="512" t="n"/>
      <c r="CK148" s="512" t="n"/>
      <c r="CL148" s="512" t="n"/>
    </row>
    <row r="149">
      <c r="A149" s="512" t="n"/>
      <c r="B149" s="512" t="n"/>
      <c r="C149" s="513" t="n">
        <v>18</v>
      </c>
      <c r="D149" s="514">
        <f>IF(C149&lt;=$I$15, EDATE($D$5, C149-1), "")</f>
        <v/>
      </c>
      <c r="E149" s="515" t="n"/>
      <c r="F149" s="515" t="n"/>
      <c r="G149" s="515" t="n"/>
      <c r="H149" s="515" t="n"/>
      <c r="I149" s="515" t="n"/>
      <c r="J149" s="515" t="n"/>
      <c r="K149" s="515" t="n"/>
      <c r="L149" s="515" t="n"/>
      <c r="M149" s="516" t="n"/>
      <c r="N149" s="517">
        <f>IF(C149&lt;=$I$15, $I$16, "")</f>
        <v/>
      </c>
      <c r="O149" s="515" t="n"/>
      <c r="P149" s="515" t="n"/>
      <c r="Q149" s="515" t="n"/>
      <c r="R149" s="515" t="n"/>
      <c r="S149" s="515" t="n"/>
      <c r="T149" s="515" t="n"/>
      <c r="U149" s="515" t="n"/>
      <c r="V149" s="515" t="n"/>
      <c r="W149" s="515" t="n"/>
      <c r="X149" s="515" t="n"/>
      <c r="Y149" s="516" t="n"/>
      <c r="Z149" s="518" t="n"/>
      <c r="AA149" s="518" t="n"/>
      <c r="AB149" s="518" t="n"/>
      <c r="AC149" s="518" t="n"/>
      <c r="AD149" s="513" t="n"/>
      <c r="AE149" s="514">
        <f>D149</f>
        <v/>
      </c>
      <c r="AF149" s="515" t="n"/>
      <c r="AG149" s="515" t="n"/>
      <c r="AH149" s="515" t="n"/>
      <c r="AI149" s="515" t="n"/>
      <c r="AJ149" s="515" t="n"/>
      <c r="AK149" s="515" t="n"/>
      <c r="AL149" s="515" t="n"/>
      <c r="AM149" s="515" t="n"/>
      <c r="AN149" s="516" t="n"/>
      <c r="AO149" s="517" t="n"/>
      <c r="AP149" s="515" t="n"/>
      <c r="AQ149" s="515" t="n"/>
      <c r="AR149" s="515" t="n"/>
      <c r="AS149" s="515" t="n"/>
      <c r="AT149" s="515" t="n"/>
      <c r="AU149" s="515" t="n"/>
      <c r="AV149" s="515" t="n"/>
      <c r="AW149" s="515" t="n"/>
      <c r="AX149" s="515" t="n"/>
      <c r="AY149" s="515" t="n"/>
      <c r="AZ149" s="516" t="n"/>
      <c r="BA149" s="518" t="n"/>
      <c r="BB149" s="518" t="n"/>
      <c r="BC149" s="518" t="n"/>
      <c r="BD149" s="518" t="n"/>
      <c r="BE149" s="513" t="n"/>
      <c r="BF149" s="514">
        <f>AE149</f>
        <v/>
      </c>
      <c r="BG149" s="515" t="n"/>
      <c r="BH149" s="515" t="n"/>
      <c r="BI149" s="515" t="n"/>
      <c r="BJ149" s="515" t="n"/>
      <c r="BK149" s="515" t="n"/>
      <c r="BL149" s="515" t="n"/>
      <c r="BM149" s="515" t="n"/>
      <c r="BN149" s="515" t="n"/>
      <c r="BO149" s="516" t="n"/>
      <c r="BP149" s="517" t="n"/>
      <c r="BQ149" s="515" t="n"/>
      <c r="BR149" s="515" t="n"/>
      <c r="BS149" s="515" t="n"/>
      <c r="BT149" s="515" t="n"/>
      <c r="BU149" s="515" t="n"/>
      <c r="BV149" s="515" t="n"/>
      <c r="BW149" s="515" t="n"/>
      <c r="BX149" s="515" t="n"/>
      <c r="BY149" s="515" t="n"/>
      <c r="BZ149" s="515" t="n"/>
      <c r="CA149" s="515" t="n"/>
      <c r="CB149" s="515" t="n"/>
      <c r="CC149" s="516" t="n"/>
      <c r="CD149" s="512" t="n"/>
      <c r="CE149" s="512" t="n"/>
      <c r="CF149" s="512" t="n"/>
      <c r="CG149" s="512" t="n"/>
      <c r="CH149" s="512" t="n"/>
      <c r="CI149" s="481" t="n"/>
      <c r="CJ149" s="512" t="n"/>
      <c r="CK149" s="512" t="n"/>
      <c r="CL149" s="512" t="n"/>
    </row>
    <row r="150">
      <c r="A150" s="512" t="n"/>
      <c r="B150" s="512" t="n"/>
      <c r="C150" s="513" t="n">
        <v>19</v>
      </c>
      <c r="D150" s="514">
        <f>IF(C150&lt;=$I$15, EDATE($D$5, C150-1), "")</f>
        <v/>
      </c>
      <c r="E150" s="515" t="n"/>
      <c r="F150" s="515" t="n"/>
      <c r="G150" s="515" t="n"/>
      <c r="H150" s="515" t="n"/>
      <c r="I150" s="515" t="n"/>
      <c r="J150" s="515" t="n"/>
      <c r="K150" s="515" t="n"/>
      <c r="L150" s="515" t="n"/>
      <c r="M150" s="516" t="n"/>
      <c r="N150" s="517">
        <f>IF(C150&lt;=$I$15, $I$16, "")</f>
        <v/>
      </c>
      <c r="O150" s="515" t="n"/>
      <c r="P150" s="515" t="n"/>
      <c r="Q150" s="515" t="n"/>
      <c r="R150" s="515" t="n"/>
      <c r="S150" s="515" t="n"/>
      <c r="T150" s="515" t="n"/>
      <c r="U150" s="515" t="n"/>
      <c r="V150" s="515" t="n"/>
      <c r="W150" s="515" t="n"/>
      <c r="X150" s="515" t="n"/>
      <c r="Y150" s="516" t="n"/>
      <c r="Z150" s="518" t="n"/>
      <c r="AA150" s="518" t="n"/>
      <c r="AB150" s="518" t="n"/>
      <c r="AC150" s="518" t="n"/>
      <c r="AD150" s="513" t="n"/>
      <c r="AE150" s="514">
        <f>D150</f>
        <v/>
      </c>
      <c r="AF150" s="515" t="n"/>
      <c r="AG150" s="515" t="n"/>
      <c r="AH150" s="515" t="n"/>
      <c r="AI150" s="515" t="n"/>
      <c r="AJ150" s="515" t="n"/>
      <c r="AK150" s="515" t="n"/>
      <c r="AL150" s="515" t="n"/>
      <c r="AM150" s="515" t="n"/>
      <c r="AN150" s="516" t="n"/>
      <c r="AO150" s="517" t="n"/>
      <c r="AP150" s="515" t="n"/>
      <c r="AQ150" s="515" t="n"/>
      <c r="AR150" s="515" t="n"/>
      <c r="AS150" s="515" t="n"/>
      <c r="AT150" s="515" t="n"/>
      <c r="AU150" s="515" t="n"/>
      <c r="AV150" s="515" t="n"/>
      <c r="AW150" s="515" t="n"/>
      <c r="AX150" s="515" t="n"/>
      <c r="AY150" s="515" t="n"/>
      <c r="AZ150" s="516" t="n"/>
      <c r="BA150" s="518" t="n"/>
      <c r="BB150" s="518" t="n"/>
      <c r="BC150" s="518" t="n"/>
      <c r="BD150" s="518" t="n"/>
      <c r="BE150" s="513" t="n"/>
      <c r="BF150" s="514">
        <f>AE150</f>
        <v/>
      </c>
      <c r="BG150" s="515" t="n"/>
      <c r="BH150" s="515" t="n"/>
      <c r="BI150" s="515" t="n"/>
      <c r="BJ150" s="515" t="n"/>
      <c r="BK150" s="515" t="n"/>
      <c r="BL150" s="515" t="n"/>
      <c r="BM150" s="515" t="n"/>
      <c r="BN150" s="515" t="n"/>
      <c r="BO150" s="516" t="n"/>
      <c r="BP150" s="517" t="n"/>
      <c r="BQ150" s="515" t="n"/>
      <c r="BR150" s="515" t="n"/>
      <c r="BS150" s="515" t="n"/>
      <c r="BT150" s="515" t="n"/>
      <c r="BU150" s="515" t="n"/>
      <c r="BV150" s="515" t="n"/>
      <c r="BW150" s="515" t="n"/>
      <c r="BX150" s="515" t="n"/>
      <c r="BY150" s="515" t="n"/>
      <c r="BZ150" s="515" t="n"/>
      <c r="CA150" s="515" t="n"/>
      <c r="CB150" s="515" t="n"/>
      <c r="CC150" s="516" t="n"/>
      <c r="CD150" s="512" t="n"/>
      <c r="CE150" s="512" t="n"/>
      <c r="CF150" s="512" t="n"/>
      <c r="CG150" s="512" t="n"/>
      <c r="CH150" s="512" t="n"/>
      <c r="CI150" s="481" t="n"/>
      <c r="CJ150" s="512" t="n"/>
      <c r="CK150" s="512" t="n"/>
      <c r="CL150" s="512" t="n"/>
    </row>
    <row r="151">
      <c r="A151" s="512" t="n"/>
      <c r="B151" s="512" t="n"/>
      <c r="C151" s="513" t="n">
        <v>20</v>
      </c>
      <c r="D151" s="514">
        <f>IF(C151&lt;=$I$15, EDATE($D$5, C151-1), "")</f>
        <v/>
      </c>
      <c r="E151" s="515" t="n"/>
      <c r="F151" s="515" t="n"/>
      <c r="G151" s="515" t="n"/>
      <c r="H151" s="515" t="n"/>
      <c r="I151" s="515" t="n"/>
      <c r="J151" s="515" t="n"/>
      <c r="K151" s="515" t="n"/>
      <c r="L151" s="515" t="n"/>
      <c r="M151" s="516" t="n"/>
      <c r="N151" s="517">
        <f>IF(C151&lt;=$I$15, $I$16, "")</f>
        <v/>
      </c>
      <c r="O151" s="515" t="n"/>
      <c r="P151" s="515" t="n"/>
      <c r="Q151" s="515" t="n"/>
      <c r="R151" s="515" t="n"/>
      <c r="S151" s="515" t="n"/>
      <c r="T151" s="515" t="n"/>
      <c r="U151" s="515" t="n"/>
      <c r="V151" s="515" t="n"/>
      <c r="W151" s="515" t="n"/>
      <c r="X151" s="515" t="n"/>
      <c r="Y151" s="516" t="n"/>
      <c r="Z151" s="518" t="n"/>
      <c r="AA151" s="518" t="n"/>
      <c r="AB151" s="518" t="n"/>
      <c r="AC151" s="518" t="n"/>
      <c r="AD151" s="513" t="n"/>
      <c r="AE151" s="514">
        <f>D151</f>
        <v/>
      </c>
      <c r="AF151" s="515" t="n"/>
      <c r="AG151" s="515" t="n"/>
      <c r="AH151" s="515" t="n"/>
      <c r="AI151" s="515" t="n"/>
      <c r="AJ151" s="515" t="n"/>
      <c r="AK151" s="515" t="n"/>
      <c r="AL151" s="515" t="n"/>
      <c r="AM151" s="515" t="n"/>
      <c r="AN151" s="516" t="n"/>
      <c r="AO151" s="517" t="n"/>
      <c r="AP151" s="515" t="n"/>
      <c r="AQ151" s="515" t="n"/>
      <c r="AR151" s="515" t="n"/>
      <c r="AS151" s="515" t="n"/>
      <c r="AT151" s="515" t="n"/>
      <c r="AU151" s="515" t="n"/>
      <c r="AV151" s="515" t="n"/>
      <c r="AW151" s="515" t="n"/>
      <c r="AX151" s="515" t="n"/>
      <c r="AY151" s="515" t="n"/>
      <c r="AZ151" s="516" t="n"/>
      <c r="BA151" s="518" t="n"/>
      <c r="BB151" s="518" t="n"/>
      <c r="BC151" s="518" t="n"/>
      <c r="BD151" s="518" t="n"/>
      <c r="BE151" s="513" t="n"/>
      <c r="BF151" s="514">
        <f>AE151</f>
        <v/>
      </c>
      <c r="BG151" s="515" t="n"/>
      <c r="BH151" s="515" t="n"/>
      <c r="BI151" s="515" t="n"/>
      <c r="BJ151" s="515" t="n"/>
      <c r="BK151" s="515" t="n"/>
      <c r="BL151" s="515" t="n"/>
      <c r="BM151" s="515" t="n"/>
      <c r="BN151" s="515" t="n"/>
      <c r="BO151" s="516" t="n"/>
      <c r="BP151" s="517" t="n"/>
      <c r="BQ151" s="515" t="n"/>
      <c r="BR151" s="515" t="n"/>
      <c r="BS151" s="515" t="n"/>
      <c r="BT151" s="515" t="n"/>
      <c r="BU151" s="515" t="n"/>
      <c r="BV151" s="515" t="n"/>
      <c r="BW151" s="515" t="n"/>
      <c r="BX151" s="515" t="n"/>
      <c r="BY151" s="515" t="n"/>
      <c r="BZ151" s="515" t="n"/>
      <c r="CA151" s="515" t="n"/>
      <c r="CB151" s="515" t="n"/>
      <c r="CC151" s="516" t="n"/>
      <c r="CD151" s="512" t="n"/>
      <c r="CE151" s="512" t="n"/>
      <c r="CF151" s="512" t="n"/>
      <c r="CG151" s="512" t="n"/>
      <c r="CH151" s="512" t="n"/>
      <c r="CI151" s="481" t="n"/>
      <c r="CJ151" s="512" t="n"/>
      <c r="CK151" s="512" t="n"/>
      <c r="CL151" s="512" t="n"/>
    </row>
    <row r="152">
      <c r="A152" s="512" t="n"/>
      <c r="B152" s="512" t="n"/>
      <c r="C152" s="513" t="n">
        <v>21</v>
      </c>
      <c r="D152" s="514">
        <f>IF(C152&lt;=$I$15, EDATE($D$5, C152-1), "")</f>
        <v/>
      </c>
      <c r="E152" s="515" t="n"/>
      <c r="F152" s="515" t="n"/>
      <c r="G152" s="515" t="n"/>
      <c r="H152" s="515" t="n"/>
      <c r="I152" s="515" t="n"/>
      <c r="J152" s="515" t="n"/>
      <c r="K152" s="515" t="n"/>
      <c r="L152" s="515" t="n"/>
      <c r="M152" s="516" t="n"/>
      <c r="N152" s="517">
        <f>IF(C152&lt;=$I$15, $I$16, "")</f>
        <v/>
      </c>
      <c r="O152" s="515" t="n"/>
      <c r="P152" s="515" t="n"/>
      <c r="Q152" s="515" t="n"/>
      <c r="R152" s="515" t="n"/>
      <c r="S152" s="515" t="n"/>
      <c r="T152" s="515" t="n"/>
      <c r="U152" s="515" t="n"/>
      <c r="V152" s="515" t="n"/>
      <c r="W152" s="515" t="n"/>
      <c r="X152" s="515" t="n"/>
      <c r="Y152" s="516" t="n"/>
      <c r="Z152" s="518" t="n"/>
      <c r="AA152" s="518" t="n"/>
      <c r="AB152" s="518" t="n"/>
      <c r="AC152" s="518" t="n"/>
      <c r="AD152" s="513" t="n"/>
      <c r="AE152" s="514">
        <f>D152</f>
        <v/>
      </c>
      <c r="AF152" s="515" t="n"/>
      <c r="AG152" s="515" t="n"/>
      <c r="AH152" s="515" t="n"/>
      <c r="AI152" s="515" t="n"/>
      <c r="AJ152" s="515" t="n"/>
      <c r="AK152" s="515" t="n"/>
      <c r="AL152" s="515" t="n"/>
      <c r="AM152" s="515" t="n"/>
      <c r="AN152" s="516" t="n"/>
      <c r="AO152" s="517" t="n"/>
      <c r="AP152" s="515" t="n"/>
      <c r="AQ152" s="515" t="n"/>
      <c r="AR152" s="515" t="n"/>
      <c r="AS152" s="515" t="n"/>
      <c r="AT152" s="515" t="n"/>
      <c r="AU152" s="515" t="n"/>
      <c r="AV152" s="515" t="n"/>
      <c r="AW152" s="515" t="n"/>
      <c r="AX152" s="515" t="n"/>
      <c r="AY152" s="515" t="n"/>
      <c r="AZ152" s="516" t="n"/>
      <c r="BA152" s="518" t="n"/>
      <c r="BB152" s="518" t="n"/>
      <c r="BC152" s="518" t="n"/>
      <c r="BD152" s="518" t="n"/>
      <c r="BE152" s="513" t="n"/>
      <c r="BF152" s="514">
        <f>AE152</f>
        <v/>
      </c>
      <c r="BG152" s="515" t="n"/>
      <c r="BH152" s="515" t="n"/>
      <c r="BI152" s="515" t="n"/>
      <c r="BJ152" s="515" t="n"/>
      <c r="BK152" s="515" t="n"/>
      <c r="BL152" s="515" t="n"/>
      <c r="BM152" s="515" t="n"/>
      <c r="BN152" s="515" t="n"/>
      <c r="BO152" s="516" t="n"/>
      <c r="BP152" s="517" t="n"/>
      <c r="BQ152" s="515" t="n"/>
      <c r="BR152" s="515" t="n"/>
      <c r="BS152" s="515" t="n"/>
      <c r="BT152" s="515" t="n"/>
      <c r="BU152" s="515" t="n"/>
      <c r="BV152" s="515" t="n"/>
      <c r="BW152" s="515" t="n"/>
      <c r="BX152" s="515" t="n"/>
      <c r="BY152" s="515" t="n"/>
      <c r="BZ152" s="515" t="n"/>
      <c r="CA152" s="515" t="n"/>
      <c r="CB152" s="515" t="n"/>
      <c r="CC152" s="516" t="n"/>
      <c r="CD152" s="512" t="n"/>
      <c r="CE152" s="512" t="n"/>
      <c r="CF152" s="512" t="n"/>
      <c r="CG152" s="512" t="n"/>
      <c r="CH152" s="512" t="n"/>
      <c r="CI152" s="481" t="n"/>
      <c r="CJ152" s="512" t="n"/>
      <c r="CK152" s="512" t="n"/>
      <c r="CL152" s="512" t="n"/>
    </row>
    <row r="153">
      <c r="A153" s="512" t="n"/>
      <c r="B153" s="512" t="n"/>
      <c r="C153" s="513" t="n">
        <v>22</v>
      </c>
      <c r="D153" s="514">
        <f>IF(C153&lt;=$I$15, EDATE($D$5, C153-1), "")</f>
        <v/>
      </c>
      <c r="E153" s="515" t="n"/>
      <c r="F153" s="515" t="n"/>
      <c r="G153" s="515" t="n"/>
      <c r="H153" s="515" t="n"/>
      <c r="I153" s="515" t="n"/>
      <c r="J153" s="515" t="n"/>
      <c r="K153" s="515" t="n"/>
      <c r="L153" s="515" t="n"/>
      <c r="M153" s="516" t="n"/>
      <c r="N153" s="517">
        <f>IF(C153&lt;=$I$15, $I$16, "")</f>
        <v/>
      </c>
      <c r="O153" s="515" t="n"/>
      <c r="P153" s="515" t="n"/>
      <c r="Q153" s="515" t="n"/>
      <c r="R153" s="515" t="n"/>
      <c r="S153" s="515" t="n"/>
      <c r="T153" s="515" t="n"/>
      <c r="U153" s="515" t="n"/>
      <c r="V153" s="515" t="n"/>
      <c r="W153" s="515" t="n"/>
      <c r="X153" s="515" t="n"/>
      <c r="Y153" s="516" t="n"/>
      <c r="Z153" s="518" t="n"/>
      <c r="AA153" s="518" t="n"/>
      <c r="AB153" s="518" t="n"/>
      <c r="AC153" s="518" t="n"/>
      <c r="AD153" s="513" t="n"/>
      <c r="AE153" s="514">
        <f>D153</f>
        <v/>
      </c>
      <c r="AF153" s="515" t="n"/>
      <c r="AG153" s="515" t="n"/>
      <c r="AH153" s="515" t="n"/>
      <c r="AI153" s="515" t="n"/>
      <c r="AJ153" s="515" t="n"/>
      <c r="AK153" s="515" t="n"/>
      <c r="AL153" s="515" t="n"/>
      <c r="AM153" s="515" t="n"/>
      <c r="AN153" s="516" t="n"/>
      <c r="AO153" s="517" t="n"/>
      <c r="AP153" s="515" t="n"/>
      <c r="AQ153" s="515" t="n"/>
      <c r="AR153" s="515" t="n"/>
      <c r="AS153" s="515" t="n"/>
      <c r="AT153" s="515" t="n"/>
      <c r="AU153" s="515" t="n"/>
      <c r="AV153" s="515" t="n"/>
      <c r="AW153" s="515" t="n"/>
      <c r="AX153" s="515" t="n"/>
      <c r="AY153" s="515" t="n"/>
      <c r="AZ153" s="516" t="n"/>
      <c r="BA153" s="518" t="n"/>
      <c r="BB153" s="518" t="n"/>
      <c r="BC153" s="518" t="n"/>
      <c r="BD153" s="518" t="n"/>
      <c r="BE153" s="513" t="n"/>
      <c r="BF153" s="514">
        <f>AE153</f>
        <v/>
      </c>
      <c r="BG153" s="515" t="n"/>
      <c r="BH153" s="515" t="n"/>
      <c r="BI153" s="515" t="n"/>
      <c r="BJ153" s="515" t="n"/>
      <c r="BK153" s="515" t="n"/>
      <c r="BL153" s="515" t="n"/>
      <c r="BM153" s="515" t="n"/>
      <c r="BN153" s="515" t="n"/>
      <c r="BO153" s="516" t="n"/>
      <c r="BP153" s="517" t="n"/>
      <c r="BQ153" s="515" t="n"/>
      <c r="BR153" s="515" t="n"/>
      <c r="BS153" s="515" t="n"/>
      <c r="BT153" s="515" t="n"/>
      <c r="BU153" s="515" t="n"/>
      <c r="BV153" s="515" t="n"/>
      <c r="BW153" s="515" t="n"/>
      <c r="BX153" s="515" t="n"/>
      <c r="BY153" s="515" t="n"/>
      <c r="BZ153" s="515" t="n"/>
      <c r="CA153" s="515" t="n"/>
      <c r="CB153" s="515" t="n"/>
      <c r="CC153" s="516" t="n"/>
      <c r="CD153" s="512" t="n"/>
      <c r="CE153" s="512" t="n"/>
      <c r="CF153" s="512" t="n"/>
      <c r="CG153" s="512" t="n"/>
      <c r="CH153" s="512" t="n"/>
      <c r="CI153" s="481" t="n"/>
      <c r="CJ153" s="512" t="n"/>
      <c r="CK153" s="512" t="n"/>
      <c r="CL153" s="512" t="n"/>
    </row>
    <row r="154" ht="12.95" customHeight="1">
      <c r="A154" s="512" t="n"/>
      <c r="B154" s="512" t="n"/>
      <c r="C154" s="513" t="n">
        <v>23</v>
      </c>
      <c r="D154" s="514">
        <f>IF(C154&lt;=$I$15, EDATE($D$5, C154-1), "")</f>
        <v/>
      </c>
      <c r="E154" s="515" t="n"/>
      <c r="F154" s="515" t="n"/>
      <c r="G154" s="515" t="n"/>
      <c r="H154" s="515" t="n"/>
      <c r="I154" s="515" t="n"/>
      <c r="J154" s="515" t="n"/>
      <c r="K154" s="515" t="n"/>
      <c r="L154" s="515" t="n"/>
      <c r="M154" s="516" t="n"/>
      <c r="N154" s="517">
        <f>IF(C154&lt;=$I$15, $I$16, "")</f>
        <v/>
      </c>
      <c r="O154" s="515" t="n"/>
      <c r="P154" s="515" t="n"/>
      <c r="Q154" s="515" t="n"/>
      <c r="R154" s="515" t="n"/>
      <c r="S154" s="515" t="n"/>
      <c r="T154" s="515" t="n"/>
      <c r="U154" s="515" t="n"/>
      <c r="V154" s="515" t="n"/>
      <c r="W154" s="515" t="n"/>
      <c r="X154" s="515" t="n"/>
      <c r="Y154" s="516" t="n"/>
      <c r="Z154" s="518" t="n"/>
      <c r="AA154" s="518" t="n"/>
      <c r="AB154" s="518" t="n"/>
      <c r="AC154" s="518" t="n"/>
      <c r="AD154" s="513" t="n"/>
      <c r="AE154" s="514">
        <f>D154</f>
        <v/>
      </c>
      <c r="AF154" s="515" t="n"/>
      <c r="AG154" s="515" t="n"/>
      <c r="AH154" s="515" t="n"/>
      <c r="AI154" s="515" t="n"/>
      <c r="AJ154" s="515" t="n"/>
      <c r="AK154" s="515" t="n"/>
      <c r="AL154" s="515" t="n"/>
      <c r="AM154" s="515" t="n"/>
      <c r="AN154" s="516" t="n"/>
      <c r="AO154" s="517" t="n"/>
      <c r="AP154" s="515" t="n"/>
      <c r="AQ154" s="515" t="n"/>
      <c r="AR154" s="515" t="n"/>
      <c r="AS154" s="515" t="n"/>
      <c r="AT154" s="515" t="n"/>
      <c r="AU154" s="515" t="n"/>
      <c r="AV154" s="515" t="n"/>
      <c r="AW154" s="515" t="n"/>
      <c r="AX154" s="515" t="n"/>
      <c r="AY154" s="515" t="n"/>
      <c r="AZ154" s="516" t="n"/>
      <c r="BA154" s="518" t="n"/>
      <c r="BB154" s="518" t="n"/>
      <c r="BC154" s="518" t="n"/>
      <c r="BD154" s="518" t="n"/>
      <c r="BE154" s="513" t="n"/>
      <c r="BF154" s="514">
        <f>AE154</f>
        <v/>
      </c>
      <c r="BG154" s="515" t="n"/>
      <c r="BH154" s="515" t="n"/>
      <c r="BI154" s="515" t="n"/>
      <c r="BJ154" s="515" t="n"/>
      <c r="BK154" s="515" t="n"/>
      <c r="BL154" s="515" t="n"/>
      <c r="BM154" s="515" t="n"/>
      <c r="BN154" s="515" t="n"/>
      <c r="BO154" s="516" t="n"/>
      <c r="BP154" s="517" t="n"/>
      <c r="BQ154" s="515" t="n"/>
      <c r="BR154" s="515" t="n"/>
      <c r="BS154" s="515" t="n"/>
      <c r="BT154" s="515" t="n"/>
      <c r="BU154" s="515" t="n"/>
      <c r="BV154" s="515" t="n"/>
      <c r="BW154" s="515" t="n"/>
      <c r="BX154" s="515" t="n"/>
      <c r="BY154" s="515" t="n"/>
      <c r="BZ154" s="515" t="n"/>
      <c r="CA154" s="515" t="n"/>
      <c r="CB154" s="515" t="n"/>
      <c r="CC154" s="516" t="n"/>
      <c r="CD154" s="512" t="n"/>
      <c r="CE154" s="512" t="n"/>
      <c r="CF154" s="512" t="n"/>
      <c r="CG154" s="512" t="n"/>
      <c r="CH154" s="512" t="n"/>
      <c r="CI154" s="481" t="n"/>
      <c r="CJ154" s="512" t="n"/>
      <c r="CK154" s="512" t="n"/>
      <c r="CL154" s="512" t="n"/>
    </row>
    <row r="155" ht="12.95" customHeight="1">
      <c r="A155" s="512" t="n"/>
      <c r="B155" s="512" t="n"/>
      <c r="C155" s="513" t="n">
        <v>24</v>
      </c>
      <c r="D155" s="514">
        <f>IF(C155&lt;=$I$15, EDATE($D$5, C155-1), "")</f>
        <v/>
      </c>
      <c r="E155" s="515" t="n"/>
      <c r="F155" s="515" t="n"/>
      <c r="G155" s="515" t="n"/>
      <c r="H155" s="515" t="n"/>
      <c r="I155" s="515" t="n"/>
      <c r="J155" s="515" t="n"/>
      <c r="K155" s="515" t="n"/>
      <c r="L155" s="515" t="n"/>
      <c r="M155" s="516" t="n"/>
      <c r="N155" s="517">
        <f>IF(C155&lt;=$I$15, $I$16, "")</f>
        <v/>
      </c>
      <c r="O155" s="515" t="n"/>
      <c r="P155" s="515" t="n"/>
      <c r="Q155" s="515" t="n"/>
      <c r="R155" s="515" t="n"/>
      <c r="S155" s="515" t="n"/>
      <c r="T155" s="515" t="n"/>
      <c r="U155" s="515" t="n"/>
      <c r="V155" s="515" t="n"/>
      <c r="W155" s="515" t="n"/>
      <c r="X155" s="515" t="n"/>
      <c r="Y155" s="516" t="n"/>
      <c r="Z155" s="518" t="n"/>
      <c r="AA155" s="518" t="n"/>
      <c r="AB155" s="518" t="n"/>
      <c r="AC155" s="518" t="n"/>
      <c r="AD155" s="513" t="n"/>
      <c r="AE155" s="514">
        <f>D155</f>
        <v/>
      </c>
      <c r="AF155" s="515" t="n"/>
      <c r="AG155" s="515" t="n"/>
      <c r="AH155" s="515" t="n"/>
      <c r="AI155" s="515" t="n"/>
      <c r="AJ155" s="515" t="n"/>
      <c r="AK155" s="515" t="n"/>
      <c r="AL155" s="515" t="n"/>
      <c r="AM155" s="515" t="n"/>
      <c r="AN155" s="516" t="n"/>
      <c r="AO155" s="517" t="n"/>
      <c r="AP155" s="515" t="n"/>
      <c r="AQ155" s="515" t="n"/>
      <c r="AR155" s="515" t="n"/>
      <c r="AS155" s="515" t="n"/>
      <c r="AT155" s="515" t="n"/>
      <c r="AU155" s="515" t="n"/>
      <c r="AV155" s="515" t="n"/>
      <c r="AW155" s="515" t="n"/>
      <c r="AX155" s="515" t="n"/>
      <c r="AY155" s="515" t="n"/>
      <c r="AZ155" s="516" t="n"/>
      <c r="BA155" s="518" t="n"/>
      <c r="BB155" s="518" t="n"/>
      <c r="BC155" s="518" t="n"/>
      <c r="BD155" s="518" t="n"/>
      <c r="BE155" s="513" t="n"/>
      <c r="BF155" s="514">
        <f>AE155</f>
        <v/>
      </c>
      <c r="BG155" s="515" t="n"/>
      <c r="BH155" s="515" t="n"/>
      <c r="BI155" s="515" t="n"/>
      <c r="BJ155" s="515" t="n"/>
      <c r="BK155" s="515" t="n"/>
      <c r="BL155" s="515" t="n"/>
      <c r="BM155" s="515" t="n"/>
      <c r="BN155" s="515" t="n"/>
      <c r="BO155" s="516" t="n"/>
      <c r="BP155" s="517" t="n"/>
      <c r="BQ155" s="515" t="n"/>
      <c r="BR155" s="515" t="n"/>
      <c r="BS155" s="515" t="n"/>
      <c r="BT155" s="515" t="n"/>
      <c r="BU155" s="515" t="n"/>
      <c r="BV155" s="515" t="n"/>
      <c r="BW155" s="515" t="n"/>
      <c r="BX155" s="515" t="n"/>
      <c r="BY155" s="515" t="n"/>
      <c r="BZ155" s="515" t="n"/>
      <c r="CA155" s="515" t="n"/>
      <c r="CB155" s="515" t="n"/>
      <c r="CC155" s="516" t="n"/>
      <c r="CD155" s="512" t="n"/>
      <c r="CE155" s="512" t="n"/>
      <c r="CF155" s="512" t="n"/>
      <c r="CG155" s="512" t="n"/>
      <c r="CH155" s="512" t="n"/>
      <c r="CI155" s="481" t="n"/>
      <c r="CJ155" s="512" t="n"/>
      <c r="CK155" s="512" t="n"/>
      <c r="CL155" s="512" t="n"/>
    </row>
    <row r="156">
      <c r="CI156" s="481" t="n"/>
    </row>
    <row r="157">
      <c r="CI157" s="481" t="n"/>
    </row>
    <row r="158">
      <c r="CI158" s="481" t="n"/>
    </row>
    <row r="159">
      <c r="CI159" s="481" t="n"/>
    </row>
    <row r="160">
      <c r="CI160" s="481" t="n"/>
    </row>
    <row r="161">
      <c r="CI161" s="481" t="n"/>
    </row>
    <row r="162">
      <c r="CI162" s="481" t="n"/>
    </row>
    <row r="163">
      <c r="CI163" s="481" t="n"/>
    </row>
  </sheetData>
  <mergeCells count="328">
    <mergeCell ref="I9:Y9"/>
    <mergeCell ref="BE17:BK17"/>
    <mergeCell ref="D133:M133"/>
    <mergeCell ref="I11:Y11"/>
    <mergeCell ref="BE19:BK19"/>
    <mergeCell ref="BF142:BO142"/>
    <mergeCell ref="Y73:Y78"/>
    <mergeCell ref="BF144:BO144"/>
    <mergeCell ref="C13:H13"/>
    <mergeCell ref="AI30:AR30"/>
    <mergeCell ref="S33:S38"/>
    <mergeCell ref="BL16:CB16"/>
    <mergeCell ref="C15:H15"/>
    <mergeCell ref="AE141:AN141"/>
    <mergeCell ref="AE132:AN132"/>
    <mergeCell ref="N134:Y134"/>
    <mergeCell ref="BL18:CB18"/>
    <mergeCell ref="AP7:AZ7"/>
    <mergeCell ref="AP89:AV94"/>
    <mergeCell ref="AJ81:AJ95"/>
    <mergeCell ref="C10:H10"/>
    <mergeCell ref="D146:M146"/>
    <mergeCell ref="AE136:AN136"/>
    <mergeCell ref="AF33:AF47"/>
    <mergeCell ref="AH33:AH47"/>
    <mergeCell ref="AV33:AV35"/>
    <mergeCell ref="AP33:AP38"/>
    <mergeCell ref="BP134:CC134"/>
    <mergeCell ref="G97:G111"/>
    <mergeCell ref="I97:I111"/>
    <mergeCell ref="BF138:BO138"/>
    <mergeCell ref="BF132:BO132"/>
    <mergeCell ref="AX65:AX70"/>
    <mergeCell ref="AZ65:AZ70"/>
    <mergeCell ref="E49:E63"/>
    <mergeCell ref="G49:G63"/>
    <mergeCell ref="BE29:BH29"/>
    <mergeCell ref="U49:U51"/>
    <mergeCell ref="O73:S78"/>
    <mergeCell ref="W81:W86"/>
    <mergeCell ref="Y81:Y86"/>
    <mergeCell ref="AJ97:AJ111"/>
    <mergeCell ref="D136:M136"/>
    <mergeCell ref="AD97:AD111"/>
    <mergeCell ref="AP97:AV102"/>
    <mergeCell ref="AO131:AZ131"/>
    <mergeCell ref="Q41:Q46"/>
    <mergeCell ref="S41:S46"/>
    <mergeCell ref="AP13:AZ13"/>
    <mergeCell ref="AH65:AH79"/>
    <mergeCell ref="BL17:CB17"/>
    <mergeCell ref="AE133:AN133"/>
    <mergeCell ref="W49:W54"/>
    <mergeCell ref="BL19:CB19"/>
    <mergeCell ref="AP8:AZ8"/>
    <mergeCell ref="E113:E119"/>
    <mergeCell ref="G113:G119"/>
    <mergeCell ref="I7:Y7"/>
    <mergeCell ref="AP10:AZ10"/>
    <mergeCell ref="AV41:AV43"/>
    <mergeCell ref="BF140:BO140"/>
    <mergeCell ref="G121:G128"/>
    <mergeCell ref="AO142:AZ142"/>
    <mergeCell ref="C130:Y130"/>
    <mergeCell ref="AH49:AH63"/>
    <mergeCell ref="AP49:AP54"/>
    <mergeCell ref="AR49:AR54"/>
    <mergeCell ref="AO144:AZ144"/>
    <mergeCell ref="BP137:CC137"/>
    <mergeCell ref="U57:U59"/>
    <mergeCell ref="BF141:BO141"/>
    <mergeCell ref="AX73:AX78"/>
    <mergeCell ref="AZ73:AZ78"/>
    <mergeCell ref="BP139:CC139"/>
    <mergeCell ref="BF143:BO143"/>
    <mergeCell ref="BE130:CC130"/>
    <mergeCell ref="AE146:AN146"/>
    <mergeCell ref="AD130:AZ130"/>
    <mergeCell ref="AD121:AD128"/>
    <mergeCell ref="AT41:AT46"/>
    <mergeCell ref="K113:S119"/>
    <mergeCell ref="C1:CB1"/>
    <mergeCell ref="AV65:AV67"/>
    <mergeCell ref="S57:S62"/>
    <mergeCell ref="AD6:AZ6"/>
    <mergeCell ref="AD7:AO7"/>
    <mergeCell ref="BP132:CC132"/>
    <mergeCell ref="AJ49:AJ63"/>
    <mergeCell ref="D139:M139"/>
    <mergeCell ref="BE45:CB48"/>
    <mergeCell ref="N145:Y145"/>
    <mergeCell ref="N139:Y139"/>
    <mergeCell ref="I8:Y8"/>
    <mergeCell ref="AD8:AO8"/>
    <mergeCell ref="I10:Y10"/>
    <mergeCell ref="AV57:AV59"/>
    <mergeCell ref="AP57:AP62"/>
    <mergeCell ref="BP145:CC145"/>
    <mergeCell ref="AX81:AX86"/>
    <mergeCell ref="AO145:AZ145"/>
    <mergeCell ref="U73:U75"/>
    <mergeCell ref="N132:Y132"/>
    <mergeCell ref="D4:L4"/>
    <mergeCell ref="AH113:AH119"/>
    <mergeCell ref="AJ113:AJ119"/>
    <mergeCell ref="AZ89:AZ94"/>
    <mergeCell ref="N133:Y133"/>
    <mergeCell ref="N135:Y135"/>
    <mergeCell ref="H29:S29"/>
    <mergeCell ref="BP133:CC133"/>
    <mergeCell ref="AD10:AO10"/>
    <mergeCell ref="BP135:CC135"/>
    <mergeCell ref="AE142:AN142"/>
    <mergeCell ref="AE144:AN144"/>
    <mergeCell ref="N146:Y146"/>
    <mergeCell ref="AX57:AX62"/>
    <mergeCell ref="AL113:AT119"/>
    <mergeCell ref="BP146:CC146"/>
    <mergeCell ref="N141:Y141"/>
    <mergeCell ref="AE135:AN135"/>
    <mergeCell ref="BE6:CB6"/>
    <mergeCell ref="W73:W78"/>
    <mergeCell ref="BE12:BK12"/>
    <mergeCell ref="N143:Y143"/>
    <mergeCell ref="BF137:BO137"/>
    <mergeCell ref="N136:Y136"/>
    <mergeCell ref="O33:O38"/>
    <mergeCell ref="BE7:BK7"/>
    <mergeCell ref="Q33:Q38"/>
    <mergeCell ref="BP141:CC141"/>
    <mergeCell ref="AD49:AD63"/>
    <mergeCell ref="C65:C79"/>
    <mergeCell ref="BL9:CB9"/>
    <mergeCell ref="C8:H8"/>
    <mergeCell ref="BP143:CC143"/>
    <mergeCell ref="C25:Y25"/>
    <mergeCell ref="BP136:CC136"/>
    <mergeCell ref="BL11:CB11"/>
    <mergeCell ref="AD17:AO17"/>
    <mergeCell ref="E97:E111"/>
    <mergeCell ref="AP41:AP46"/>
    <mergeCell ref="AE131:AN131"/>
    <mergeCell ref="D134:M134"/>
    <mergeCell ref="Y41:Y46"/>
    <mergeCell ref="C49:C63"/>
    <mergeCell ref="I65:I79"/>
    <mergeCell ref="AP73:AT78"/>
    <mergeCell ref="BE30:BH31"/>
    <mergeCell ref="AF97:AF111"/>
    <mergeCell ref="AH97:AH111"/>
    <mergeCell ref="I31:O31"/>
    <mergeCell ref="O41:O46"/>
    <mergeCell ref="AD65:AD79"/>
    <mergeCell ref="D131:M131"/>
    <mergeCell ref="C18:H18"/>
    <mergeCell ref="Q49:Q54"/>
    <mergeCell ref="S49:S54"/>
    <mergeCell ref="C113:C119"/>
    <mergeCell ref="C81:C95"/>
    <mergeCell ref="BL12:CB12"/>
    <mergeCell ref="O81:U86"/>
    <mergeCell ref="AD19:AO19"/>
    <mergeCell ref="C9:H9"/>
    <mergeCell ref="E121:E128"/>
    <mergeCell ref="AF49:AF63"/>
    <mergeCell ref="D142:M142"/>
    <mergeCell ref="BF133:BO133"/>
    <mergeCell ref="AV49:AV51"/>
    <mergeCell ref="C11:H11"/>
    <mergeCell ref="W89:W94"/>
    <mergeCell ref="AT33:AT38"/>
    <mergeCell ref="Y89:Y94"/>
    <mergeCell ref="AR57:AR62"/>
    <mergeCell ref="D144:M144"/>
    <mergeCell ref="BF135:BO135"/>
    <mergeCell ref="AF65:AF79"/>
    <mergeCell ref="AO137:AZ137"/>
    <mergeCell ref="G33:G47"/>
    <mergeCell ref="AD25:AZ25"/>
    <mergeCell ref="AO139:AZ139"/>
    <mergeCell ref="BF136:BO136"/>
    <mergeCell ref="AD9:AO9"/>
    <mergeCell ref="BL7:CB7"/>
    <mergeCell ref="AO132:AZ132"/>
    <mergeCell ref="Y33:Y38"/>
    <mergeCell ref="AP16:AZ16"/>
    <mergeCell ref="O57:O62"/>
    <mergeCell ref="AD33:AD47"/>
    <mergeCell ref="D137:M137"/>
    <mergeCell ref="Q57:Q62"/>
    <mergeCell ref="BF146:BO146"/>
    <mergeCell ref="AP18:AZ18"/>
    <mergeCell ref="O105:U110"/>
    <mergeCell ref="D132:M132"/>
    <mergeCell ref="AJ31:AP31"/>
    <mergeCell ref="BE18:BK18"/>
    <mergeCell ref="AE134:AN134"/>
    <mergeCell ref="AZ41:AZ46"/>
    <mergeCell ref="I33:I47"/>
    <mergeCell ref="BL13:CB14"/>
    <mergeCell ref="AP11:AZ11"/>
    <mergeCell ref="BP138:CC138"/>
    <mergeCell ref="Y65:Y70"/>
    <mergeCell ref="U41:U43"/>
    <mergeCell ref="AT49:AT54"/>
    <mergeCell ref="D145:M145"/>
    <mergeCell ref="C14:H14"/>
    <mergeCell ref="AO138:AZ138"/>
    <mergeCell ref="AD81:AD95"/>
    <mergeCell ref="AF81:AF95"/>
    <mergeCell ref="AH81:AH95"/>
    <mergeCell ref="AO140:AZ140"/>
    <mergeCell ref="BL8:CB8"/>
    <mergeCell ref="C97:C111"/>
    <mergeCell ref="BL10:CB10"/>
    <mergeCell ref="O97:U102"/>
    <mergeCell ref="D138:M138"/>
    <mergeCell ref="D3:L3"/>
    <mergeCell ref="I16:Y16"/>
    <mergeCell ref="AP19:AZ19"/>
    <mergeCell ref="D140:M140"/>
    <mergeCell ref="I18:Y18"/>
    <mergeCell ref="D141:M141"/>
    <mergeCell ref="AX89:AX94"/>
    <mergeCell ref="D135:M135"/>
    <mergeCell ref="BE38:CB44"/>
    <mergeCell ref="AZ57:AZ62"/>
    <mergeCell ref="AE137:AN137"/>
    <mergeCell ref="AP12:AZ12"/>
    <mergeCell ref="AE139:AN139"/>
    <mergeCell ref="W33:W38"/>
    <mergeCell ref="AP14:AZ14"/>
    <mergeCell ref="AO141:AZ141"/>
    <mergeCell ref="AO146:AZ146"/>
    <mergeCell ref="AE143:AN143"/>
    <mergeCell ref="BK29:CB29"/>
    <mergeCell ref="BK30:CB31"/>
    <mergeCell ref="AO143:AZ143"/>
    <mergeCell ref="AD16:AO16"/>
    <mergeCell ref="BF145:BO145"/>
    <mergeCell ref="BF139:BO139"/>
    <mergeCell ref="AP105:AV110"/>
    <mergeCell ref="AJ33:AJ47"/>
    <mergeCell ref="AD18:AO18"/>
    <mergeCell ref="AR33:AR38"/>
    <mergeCell ref="I17:Y17"/>
    <mergeCell ref="AV73:AV75"/>
    <mergeCell ref="N131:Y131"/>
    <mergeCell ref="I49:I63"/>
    <mergeCell ref="D143:M143"/>
    <mergeCell ref="AO136:AZ136"/>
    <mergeCell ref="AD113:AD119"/>
    <mergeCell ref="AP9:AZ9"/>
    <mergeCell ref="H30:Q30"/>
    <mergeCell ref="AD11:AO11"/>
    <mergeCell ref="BP131:CC131"/>
    <mergeCell ref="C121:C128"/>
    <mergeCell ref="AZ33:AZ38"/>
    <mergeCell ref="AE138:AN138"/>
    <mergeCell ref="E65:E79"/>
    <mergeCell ref="W41:W46"/>
    <mergeCell ref="U65:U67"/>
    <mergeCell ref="I12:Y12"/>
    <mergeCell ref="N142:Y142"/>
    <mergeCell ref="AP15:AZ15"/>
    <mergeCell ref="BE13:BK14"/>
    <mergeCell ref="I14:Y14"/>
    <mergeCell ref="Y49:Y54"/>
    <mergeCell ref="N144:Y144"/>
    <mergeCell ref="I113:I119"/>
    <mergeCell ref="BP142:CC142"/>
    <mergeCell ref="AR41:AR46"/>
    <mergeCell ref="C16:H16"/>
    <mergeCell ref="BE8:BK8"/>
    <mergeCell ref="BP144:CC144"/>
    <mergeCell ref="O49:O54"/>
    <mergeCell ref="O65:S70"/>
    <mergeCell ref="BE10:BK10"/>
    <mergeCell ref="AF113:AF119"/>
    <mergeCell ref="N137:Y137"/>
    <mergeCell ref="G65:G79"/>
    <mergeCell ref="AF121:AF128"/>
    <mergeCell ref="AX41:AX46"/>
    <mergeCell ref="AD12:AO12"/>
    <mergeCell ref="AX33:AX38"/>
    <mergeCell ref="AD14:AO14"/>
    <mergeCell ref="I13:Y13"/>
    <mergeCell ref="AD13:AO13"/>
    <mergeCell ref="W57:W62"/>
    <mergeCell ref="Y57:Y62"/>
    <mergeCell ref="I15:Y15"/>
    <mergeCell ref="AD15:AO15"/>
    <mergeCell ref="AD29:AH29"/>
    <mergeCell ref="C17:H17"/>
    <mergeCell ref="AH121:AH128"/>
    <mergeCell ref="AT57:AT62"/>
    <mergeCell ref="AJ65:AJ79"/>
    <mergeCell ref="O89:U94"/>
    <mergeCell ref="AE145:AN145"/>
    <mergeCell ref="AZ81:AZ86"/>
    <mergeCell ref="BE16:BK16"/>
    <mergeCell ref="N138:Y138"/>
    <mergeCell ref="BE9:BK9"/>
    <mergeCell ref="E81:E95"/>
    <mergeCell ref="G81:G95"/>
    <mergeCell ref="I81:I95"/>
    <mergeCell ref="AE140:AN140"/>
    <mergeCell ref="N140:Y140"/>
    <mergeCell ref="BE11:BK11"/>
    <mergeCell ref="AO134:AZ134"/>
    <mergeCell ref="BF134:BO134"/>
    <mergeCell ref="C33:C47"/>
    <mergeCell ref="E33:E47"/>
    <mergeCell ref="C6:Y6"/>
    <mergeCell ref="U33:U35"/>
    <mergeCell ref="C12:H12"/>
    <mergeCell ref="AX49:AX54"/>
    <mergeCell ref="W65:W70"/>
    <mergeCell ref="AZ49:AZ54"/>
    <mergeCell ref="AP65:AT70"/>
    <mergeCell ref="BP140:CC140"/>
    <mergeCell ref="C7:H7"/>
    <mergeCell ref="AP81:AV86"/>
    <mergeCell ref="BF131:BO131"/>
    <mergeCell ref="AO133:AZ133"/>
    <mergeCell ref="AO135:AZ135"/>
    <mergeCell ref="AI29:AT29"/>
    <mergeCell ref="AP17:AZ17"/>
  </mergeCells>
  <pageMargins left="0.2755905511811023" right="0.2755905511811023" top="0.2755905511811023" bottom="0.2755905511811023" header="0.1181102362204724" footer="0.1181102362204724"/>
  <pageSetup orientation="landscape" paperSize="9" scale="83" fitToHeight="0" fitToWidth="1" horizontalDpi="300" verticalDpi="300"/>
  <headerFooter alignWithMargins="0">
    <oddHeader>&amp;C&amp;"Calibri,Bold"&amp;14 Cálculo de Ação Crefaz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L171"/>
  <sheetViews>
    <sheetView showGridLines="0" topLeftCell="C1" zoomScaleNormal="100" workbookViewId="0">
      <selection activeCell="C3" sqref="C3"/>
    </sheetView>
  </sheetViews>
  <sheetFormatPr baseColWidth="8" defaultColWidth="0.7109375" defaultRowHeight="13.5"/>
  <cols>
    <col width="3.42578125" customWidth="1" style="1" min="1" max="1"/>
    <col width="1" customWidth="1" style="1" min="2" max="2"/>
    <col width="17.42578125" customWidth="1" style="1" min="3" max="3"/>
    <col width="1" customWidth="1" style="1" min="4" max="6"/>
    <col width="10.42578125" customWidth="1" style="1" min="7" max="7"/>
    <col width="0.7109375" customWidth="1" style="1" min="8" max="8"/>
    <col width="1.5703125" customWidth="1" style="1" min="9" max="9"/>
    <col width="0.7109375" customWidth="1" style="1" min="10" max="11"/>
    <col width="3.28515625" customWidth="1" style="1" min="12" max="12"/>
    <col width="0.7109375" customWidth="1" style="1" min="13" max="14"/>
    <col width="2.140625" customWidth="1" style="1" min="15" max="15"/>
    <col width="0.7109375" customWidth="1" style="1" min="16" max="16"/>
    <col width="1.5703125" customWidth="1" style="1" min="17" max="17"/>
    <col width="0.7109375" customWidth="1" style="1" min="18" max="18"/>
    <col width="6" customWidth="1" style="1" min="19" max="19"/>
    <col width="0.7109375" customWidth="1" style="1" min="20" max="20"/>
    <col width="2.42578125" customWidth="1" style="1" min="21" max="21"/>
    <col width="0.7109375" customWidth="1" style="1" min="22" max="22"/>
    <col width="1.5703125" customWidth="1" style="1" min="23" max="23"/>
    <col width="0.7109375" customWidth="1" style="1" min="24" max="24"/>
    <col width="6.140625" customWidth="1" style="1" min="25" max="25"/>
    <col width="0.7109375" customWidth="1" style="1" min="26" max="28"/>
    <col width="1.5703125" customWidth="1" style="1" min="29" max="29"/>
    <col width="12.7109375" customWidth="1" style="1" min="30" max="30"/>
    <col width="0.7109375" customWidth="1" style="1" min="31" max="31"/>
    <col width="2.28515625" customWidth="1" style="1" min="32" max="32"/>
    <col width="0.7109375" customWidth="1" style="1" min="33" max="33"/>
    <col width="13.5703125" customWidth="1" style="1" min="34" max="34"/>
    <col width="0.7109375" customWidth="1" style="1" min="35" max="35"/>
    <col width="1.5703125" customWidth="1" style="1" min="36" max="36"/>
    <col width="0.7109375" customWidth="1" style="1" min="37" max="41"/>
    <col width="2.140625" customWidth="1" style="1" min="42" max="42"/>
    <col width="0.7109375" customWidth="1" style="1" min="43" max="43"/>
    <col width="1.5703125" customWidth="1" style="1" min="44" max="44"/>
    <col width="0.7109375" customWidth="1" style="1" min="45" max="45"/>
    <col width="5.85546875" customWidth="1" style="1" min="46" max="46"/>
    <col width="0.7109375" customWidth="1" style="1" min="47" max="47"/>
    <col width="2.28515625" customWidth="1" style="1" min="48" max="48"/>
    <col width="0.7109375" customWidth="1" style="1" min="49" max="49"/>
    <col width="1.5703125" customWidth="1" style="1" min="50" max="50"/>
    <col width="0.7109375" customWidth="1" style="1" min="51" max="51"/>
    <col width="5.85546875" customWidth="1" style="1" min="52" max="52"/>
    <col width="0.7109375" customWidth="1" style="1" min="53" max="56"/>
    <col width="21" customWidth="1" style="1" min="57" max="57"/>
    <col hidden="1" width="0.7109375" customWidth="1" style="1" min="58" max="58"/>
    <col width="2.28515625" customWidth="1" style="1" min="59" max="59"/>
    <col width="4.42578125" customWidth="1" style="1" min="60" max="60"/>
    <col width="1.7109375" customWidth="1" style="1" min="61" max="61"/>
    <col hidden="1" width="7.42578125" customWidth="1" style="1" min="62" max="62"/>
    <col width="2.140625" customWidth="1" style="1" min="63" max="63"/>
    <col width="4.5703125" customWidth="1" style="1" min="64" max="64"/>
    <col width="0.7109375" customWidth="1" style="1" min="65" max="65"/>
    <col width="1.5703125" customWidth="1" style="1" min="66" max="66"/>
    <col width="0.7109375" customWidth="1" style="1" min="67" max="71"/>
    <col width="2.140625" customWidth="1" style="1" min="72" max="72"/>
    <col width="0.7109375" customWidth="1" style="1" min="73" max="73"/>
    <col width="1.5703125" customWidth="1" style="1" min="74" max="74"/>
    <col width="0.7109375" customWidth="1" style="1" min="75" max="75"/>
    <col width="4.42578125" customWidth="1" style="1" min="76" max="76"/>
    <col width="0.7109375" customWidth="1" style="1" min="77" max="77"/>
    <col width="4" customWidth="1" style="1" min="78" max="78"/>
    <col width="0.7109375" customWidth="1" style="1" min="79" max="79"/>
    <col width="1.5703125" customWidth="1" style="1" min="80" max="80"/>
    <col width="0.7109375" customWidth="1" style="1" min="81" max="81"/>
    <col width="10" bestFit="1" customWidth="1" style="1" min="82" max="82"/>
    <col width="12.5703125" customWidth="1" style="3" min="83" max="83"/>
    <col width="0.7109375" customWidth="1" style="1" min="84" max="86"/>
    <col width="12.42578125" customWidth="1" style="5" min="87" max="87"/>
    <col width="6.28515625" customWidth="1" style="1" min="88" max="88"/>
    <col width="12.5703125" customWidth="1" style="3" min="89" max="89"/>
    <col width="13.28515625" customWidth="1" style="5" min="90" max="90"/>
    <col width="0.7109375" customWidth="1" style="1" min="91" max="303"/>
    <col width="3.42578125" customWidth="1" style="1" min="304" max="304"/>
    <col width="2.42578125" customWidth="1" style="1" min="305" max="305"/>
    <col width="7" customWidth="1" style="1" min="306" max="306"/>
    <col width="0.7109375" customWidth="1" style="1" min="307" max="307"/>
    <col width="1.5703125" customWidth="1" style="1" min="308" max="308"/>
    <col width="0.7109375" customWidth="1" style="1" min="309" max="309"/>
    <col width="11.28515625" customWidth="1" style="1" min="310" max="310"/>
    <col width="0.7109375" customWidth="1" style="1" min="311" max="311"/>
    <col width="1.5703125" customWidth="1" style="1" min="312" max="312"/>
    <col width="0.7109375" customWidth="1" style="1" min="313" max="317"/>
    <col width="2.140625" customWidth="1" style="1" min="318" max="318"/>
    <col width="0.7109375" customWidth="1" style="1" min="319" max="319"/>
    <col width="1.5703125" customWidth="1" style="1" min="320" max="320"/>
    <col width="0.7109375" customWidth="1" style="1" min="321" max="321"/>
    <col width="7" bestFit="1" customWidth="1" style="1" min="322" max="322"/>
    <col width="0.7109375" customWidth="1" style="1" min="323" max="323"/>
    <col width="4" customWidth="1" style="1" min="324" max="324"/>
    <col width="0.7109375" customWidth="1" style="1" min="325" max="325"/>
    <col width="1.5703125" customWidth="1" style="1" min="326" max="326"/>
    <col width="0.7109375" customWidth="1" style="1" min="327" max="327"/>
    <col width="7" bestFit="1" customWidth="1" style="1" min="328" max="328"/>
    <col width="0.7109375" customWidth="1" style="1" min="329" max="331"/>
    <col width="2.42578125" customWidth="1" style="1" min="332" max="332"/>
    <col width="0.7109375" customWidth="1" style="1" min="333" max="338"/>
    <col width="16.5703125" customWidth="1" style="1" min="339" max="339"/>
    <col width="0.7109375" customWidth="1" style="1" min="340" max="342"/>
    <col width="9.85546875" bestFit="1" customWidth="1" style="1" min="343" max="343"/>
    <col width="9.28515625" customWidth="1" style="1" min="344" max="346"/>
    <col width="0.7109375" customWidth="1" style="1" min="347" max="559"/>
    <col width="3.42578125" customWidth="1" style="1" min="560" max="560"/>
    <col width="2.42578125" customWidth="1" style="1" min="561" max="561"/>
    <col width="7" customWidth="1" style="1" min="562" max="562"/>
    <col width="0.7109375" customWidth="1" style="1" min="563" max="563"/>
    <col width="1.5703125" customWidth="1" style="1" min="564" max="564"/>
    <col width="0.7109375" customWidth="1" style="1" min="565" max="565"/>
    <col width="11.28515625" customWidth="1" style="1" min="566" max="566"/>
    <col width="0.7109375" customWidth="1" style="1" min="567" max="567"/>
    <col width="1.5703125" customWidth="1" style="1" min="568" max="568"/>
    <col width="0.7109375" customWidth="1" style="1" min="569" max="573"/>
    <col width="2.140625" customWidth="1" style="1" min="574" max="574"/>
    <col width="0.7109375" customWidth="1" style="1" min="575" max="575"/>
    <col width="1.5703125" customWidth="1" style="1" min="576" max="576"/>
    <col width="0.7109375" customWidth="1" style="1" min="577" max="577"/>
    <col width="7" bestFit="1" customWidth="1" style="1" min="578" max="578"/>
    <col width="0.7109375" customWidth="1" style="1" min="579" max="579"/>
    <col width="4" customWidth="1" style="1" min="580" max="580"/>
    <col width="0.7109375" customWidth="1" style="1" min="581" max="581"/>
    <col width="1.5703125" customWidth="1" style="1" min="582" max="582"/>
    <col width="0.7109375" customWidth="1" style="1" min="583" max="583"/>
    <col width="7" bestFit="1" customWidth="1" style="1" min="584" max="584"/>
    <col width="0.7109375" customWidth="1" style="1" min="585" max="587"/>
    <col width="2.42578125" customWidth="1" style="1" min="588" max="588"/>
    <col width="0.7109375" customWidth="1" style="1" min="589" max="594"/>
    <col width="16.5703125" customWidth="1" style="1" min="595" max="595"/>
    <col width="0.7109375" customWidth="1" style="1" min="596" max="598"/>
    <col width="9.85546875" bestFit="1" customWidth="1" style="1" min="599" max="599"/>
    <col width="9.28515625" customWidth="1" style="1" min="600" max="602"/>
    <col width="0.7109375" customWidth="1" style="1" min="603" max="815"/>
    <col width="3.42578125" customWidth="1" style="1" min="816" max="816"/>
    <col width="2.42578125" customWidth="1" style="1" min="817" max="817"/>
    <col width="7" customWidth="1" style="1" min="818" max="818"/>
    <col width="0.7109375" customWidth="1" style="1" min="819" max="819"/>
    <col width="1.5703125" customWidth="1" style="1" min="820" max="820"/>
    <col width="0.7109375" customWidth="1" style="1" min="821" max="821"/>
    <col width="11.28515625" customWidth="1" style="1" min="822" max="822"/>
    <col width="0.7109375" customWidth="1" style="1" min="823" max="823"/>
    <col width="1.5703125" customWidth="1" style="1" min="824" max="824"/>
    <col width="0.7109375" customWidth="1" style="1" min="825" max="829"/>
    <col width="2.140625" customWidth="1" style="1" min="830" max="830"/>
    <col width="0.7109375" customWidth="1" style="1" min="831" max="831"/>
    <col width="1.5703125" customWidth="1" style="1" min="832" max="832"/>
    <col width="0.7109375" customWidth="1" style="1" min="833" max="833"/>
    <col width="7" bestFit="1" customWidth="1" style="1" min="834" max="834"/>
    <col width="0.7109375" customWidth="1" style="1" min="835" max="835"/>
    <col width="4" customWidth="1" style="1" min="836" max="836"/>
    <col width="0.7109375" customWidth="1" style="1" min="837" max="837"/>
    <col width="1.5703125" customWidth="1" style="1" min="838" max="838"/>
    <col width="0.7109375" customWidth="1" style="1" min="839" max="839"/>
    <col width="7" bestFit="1" customWidth="1" style="1" min="840" max="840"/>
    <col width="0.7109375" customWidth="1" style="1" min="841" max="843"/>
    <col width="2.42578125" customWidth="1" style="1" min="844" max="844"/>
    <col width="0.7109375" customWidth="1" style="1" min="845" max="850"/>
    <col width="16.5703125" customWidth="1" style="1" min="851" max="851"/>
    <col width="0.7109375" customWidth="1" style="1" min="852" max="854"/>
    <col width="9.85546875" bestFit="1" customWidth="1" style="1" min="855" max="855"/>
    <col width="9.28515625" customWidth="1" style="1" min="856" max="858"/>
    <col width="0.7109375" customWidth="1" style="1" min="859" max="1071"/>
    <col width="3.42578125" customWidth="1" style="1" min="1072" max="1072"/>
    <col width="2.42578125" customWidth="1" style="1" min="1073" max="1073"/>
    <col width="7" customWidth="1" style="1" min="1074" max="1074"/>
    <col width="0.7109375" customWidth="1" style="1" min="1075" max="1075"/>
    <col width="1.5703125" customWidth="1" style="1" min="1076" max="1076"/>
    <col width="0.7109375" customWidth="1" style="1" min="1077" max="1077"/>
    <col width="11.28515625" customWidth="1" style="1" min="1078" max="1078"/>
    <col width="0.7109375" customWidth="1" style="1" min="1079" max="1079"/>
    <col width="1.5703125" customWidth="1" style="1" min="1080" max="1080"/>
    <col width="0.7109375" customWidth="1" style="1" min="1081" max="1085"/>
    <col width="2.140625" customWidth="1" style="1" min="1086" max="1086"/>
    <col width="0.7109375" customWidth="1" style="1" min="1087" max="1087"/>
    <col width="1.5703125" customWidth="1" style="1" min="1088" max="1088"/>
    <col width="0.7109375" customWidth="1" style="1" min="1089" max="1089"/>
    <col width="7" bestFit="1" customWidth="1" style="1" min="1090" max="1090"/>
    <col width="0.7109375" customWidth="1" style="1" min="1091" max="1091"/>
    <col width="4" customWidth="1" style="1" min="1092" max="1092"/>
    <col width="0.7109375" customWidth="1" style="1" min="1093" max="1093"/>
    <col width="1.5703125" customWidth="1" style="1" min="1094" max="1094"/>
    <col width="0.7109375" customWidth="1" style="1" min="1095" max="1095"/>
    <col width="7" bestFit="1" customWidth="1" style="1" min="1096" max="1096"/>
    <col width="0.7109375" customWidth="1" style="1" min="1097" max="1099"/>
    <col width="2.42578125" customWidth="1" style="1" min="1100" max="1100"/>
    <col width="0.7109375" customWidth="1" style="1" min="1101" max="1106"/>
    <col width="16.5703125" customWidth="1" style="1" min="1107" max="1107"/>
    <col width="0.7109375" customWidth="1" style="1" min="1108" max="1110"/>
    <col width="9.85546875" bestFit="1" customWidth="1" style="1" min="1111" max="1111"/>
    <col width="9.28515625" customWidth="1" style="1" min="1112" max="1114"/>
    <col width="0.7109375" customWidth="1" style="1" min="1115" max="1327"/>
    <col width="3.42578125" customWidth="1" style="1" min="1328" max="1328"/>
    <col width="2.42578125" customWidth="1" style="1" min="1329" max="1329"/>
    <col width="7" customWidth="1" style="1" min="1330" max="1330"/>
    <col width="0.7109375" customWidth="1" style="1" min="1331" max="1331"/>
    <col width="1.5703125" customWidth="1" style="1" min="1332" max="1332"/>
    <col width="0.7109375" customWidth="1" style="1" min="1333" max="1333"/>
    <col width="11.28515625" customWidth="1" style="1" min="1334" max="1334"/>
    <col width="0.7109375" customWidth="1" style="1" min="1335" max="1335"/>
    <col width="1.5703125" customWidth="1" style="1" min="1336" max="1336"/>
    <col width="0.7109375" customWidth="1" style="1" min="1337" max="1341"/>
    <col width="2.140625" customWidth="1" style="1" min="1342" max="1342"/>
    <col width="0.7109375" customWidth="1" style="1" min="1343" max="1343"/>
    <col width="1.5703125" customWidth="1" style="1" min="1344" max="1344"/>
    <col width="0.7109375" customWidth="1" style="1" min="1345" max="1345"/>
    <col width="7" bestFit="1" customWidth="1" style="1" min="1346" max="1346"/>
    <col width="0.7109375" customWidth="1" style="1" min="1347" max="1347"/>
    <col width="4" customWidth="1" style="1" min="1348" max="1348"/>
    <col width="0.7109375" customWidth="1" style="1" min="1349" max="1349"/>
    <col width="1.5703125" customWidth="1" style="1" min="1350" max="1350"/>
    <col width="0.7109375" customWidth="1" style="1" min="1351" max="1351"/>
    <col width="7" bestFit="1" customWidth="1" style="1" min="1352" max="1352"/>
    <col width="0.7109375" customWidth="1" style="1" min="1353" max="1355"/>
    <col width="2.42578125" customWidth="1" style="1" min="1356" max="1356"/>
    <col width="0.7109375" customWidth="1" style="1" min="1357" max="1362"/>
    <col width="16.5703125" customWidth="1" style="1" min="1363" max="1363"/>
    <col width="0.7109375" customWidth="1" style="1" min="1364" max="1366"/>
    <col width="9.85546875" bestFit="1" customWidth="1" style="1" min="1367" max="1367"/>
    <col width="9.28515625" customWidth="1" style="1" min="1368" max="1370"/>
    <col width="0.7109375" customWidth="1" style="1" min="1371" max="1583"/>
    <col width="3.42578125" customWidth="1" style="1" min="1584" max="1584"/>
    <col width="2.42578125" customWidth="1" style="1" min="1585" max="1585"/>
    <col width="7" customWidth="1" style="1" min="1586" max="1586"/>
    <col width="0.7109375" customWidth="1" style="1" min="1587" max="1587"/>
    <col width="1.5703125" customWidth="1" style="1" min="1588" max="1588"/>
    <col width="0.7109375" customWidth="1" style="1" min="1589" max="1589"/>
    <col width="11.28515625" customWidth="1" style="1" min="1590" max="1590"/>
    <col width="0.7109375" customWidth="1" style="1" min="1591" max="1591"/>
    <col width="1.5703125" customWidth="1" style="1" min="1592" max="1592"/>
    <col width="0.7109375" customWidth="1" style="1" min="1593" max="1597"/>
    <col width="2.140625" customWidth="1" style="1" min="1598" max="1598"/>
    <col width="0.7109375" customWidth="1" style="1" min="1599" max="1599"/>
    <col width="1.5703125" customWidth="1" style="1" min="1600" max="1600"/>
    <col width="0.7109375" customWidth="1" style="1" min="1601" max="1601"/>
    <col width="7" bestFit="1" customWidth="1" style="1" min="1602" max="1602"/>
    <col width="0.7109375" customWidth="1" style="1" min="1603" max="1603"/>
    <col width="4" customWidth="1" style="1" min="1604" max="1604"/>
    <col width="0.7109375" customWidth="1" style="1" min="1605" max="1605"/>
    <col width="1.5703125" customWidth="1" style="1" min="1606" max="1606"/>
    <col width="0.7109375" customWidth="1" style="1" min="1607" max="1607"/>
    <col width="7" bestFit="1" customWidth="1" style="1" min="1608" max="1608"/>
    <col width="0.7109375" customWidth="1" style="1" min="1609" max="1611"/>
    <col width="2.42578125" customWidth="1" style="1" min="1612" max="1612"/>
    <col width="0.7109375" customWidth="1" style="1" min="1613" max="1618"/>
    <col width="16.5703125" customWidth="1" style="1" min="1619" max="1619"/>
    <col width="0.7109375" customWidth="1" style="1" min="1620" max="1622"/>
    <col width="9.85546875" bestFit="1" customWidth="1" style="1" min="1623" max="1623"/>
    <col width="9.28515625" customWidth="1" style="1" min="1624" max="1626"/>
    <col width="0.7109375" customWidth="1" style="1" min="1627" max="1839"/>
    <col width="3.42578125" customWidth="1" style="1" min="1840" max="1840"/>
    <col width="2.42578125" customWidth="1" style="1" min="1841" max="1841"/>
    <col width="7" customWidth="1" style="1" min="1842" max="1842"/>
    <col width="0.7109375" customWidth="1" style="1" min="1843" max="1843"/>
    <col width="1.5703125" customWidth="1" style="1" min="1844" max="1844"/>
    <col width="0.7109375" customWidth="1" style="1" min="1845" max="1845"/>
    <col width="11.28515625" customWidth="1" style="1" min="1846" max="1846"/>
    <col width="0.7109375" customWidth="1" style="1" min="1847" max="1847"/>
    <col width="1.5703125" customWidth="1" style="1" min="1848" max="1848"/>
    <col width="0.7109375" customWidth="1" style="1" min="1849" max="1853"/>
    <col width="2.140625" customWidth="1" style="1" min="1854" max="1854"/>
    <col width="0.7109375" customWidth="1" style="1" min="1855" max="1855"/>
    <col width="1.5703125" customWidth="1" style="1" min="1856" max="1856"/>
    <col width="0.7109375" customWidth="1" style="1" min="1857" max="1857"/>
    <col width="7" bestFit="1" customWidth="1" style="1" min="1858" max="1858"/>
    <col width="0.7109375" customWidth="1" style="1" min="1859" max="1859"/>
    <col width="4" customWidth="1" style="1" min="1860" max="1860"/>
    <col width="0.7109375" customWidth="1" style="1" min="1861" max="1861"/>
    <col width="1.5703125" customWidth="1" style="1" min="1862" max="1862"/>
    <col width="0.7109375" customWidth="1" style="1" min="1863" max="1863"/>
    <col width="7" bestFit="1" customWidth="1" style="1" min="1864" max="1864"/>
    <col width="0.7109375" customWidth="1" style="1" min="1865" max="1867"/>
    <col width="2.42578125" customWidth="1" style="1" min="1868" max="1868"/>
    <col width="0.7109375" customWidth="1" style="1" min="1869" max="1874"/>
    <col width="16.5703125" customWidth="1" style="1" min="1875" max="1875"/>
    <col width="0.7109375" customWidth="1" style="1" min="1876" max="1878"/>
    <col width="9.85546875" bestFit="1" customWidth="1" style="1" min="1879" max="1879"/>
    <col width="9.28515625" customWidth="1" style="1" min="1880" max="1882"/>
    <col width="0.7109375" customWidth="1" style="1" min="1883" max="2095"/>
    <col width="3.42578125" customWidth="1" style="1" min="2096" max="2096"/>
    <col width="2.42578125" customWidth="1" style="1" min="2097" max="2097"/>
    <col width="7" customWidth="1" style="1" min="2098" max="2098"/>
    <col width="0.7109375" customWidth="1" style="1" min="2099" max="2099"/>
    <col width="1.5703125" customWidth="1" style="1" min="2100" max="2100"/>
    <col width="0.7109375" customWidth="1" style="1" min="2101" max="2101"/>
    <col width="11.28515625" customWidth="1" style="1" min="2102" max="2102"/>
    <col width="0.7109375" customWidth="1" style="1" min="2103" max="2103"/>
    <col width="1.5703125" customWidth="1" style="1" min="2104" max="2104"/>
    <col width="0.7109375" customWidth="1" style="1" min="2105" max="2109"/>
    <col width="2.140625" customWidth="1" style="1" min="2110" max="2110"/>
    <col width="0.7109375" customWidth="1" style="1" min="2111" max="2111"/>
    <col width="1.5703125" customWidth="1" style="1" min="2112" max="2112"/>
    <col width="0.7109375" customWidth="1" style="1" min="2113" max="2113"/>
    <col width="7" bestFit="1" customWidth="1" style="1" min="2114" max="2114"/>
    <col width="0.7109375" customWidth="1" style="1" min="2115" max="2115"/>
    <col width="4" customWidth="1" style="1" min="2116" max="2116"/>
    <col width="0.7109375" customWidth="1" style="1" min="2117" max="2117"/>
    <col width="1.5703125" customWidth="1" style="1" min="2118" max="2118"/>
    <col width="0.7109375" customWidth="1" style="1" min="2119" max="2119"/>
    <col width="7" bestFit="1" customWidth="1" style="1" min="2120" max="2120"/>
    <col width="0.7109375" customWidth="1" style="1" min="2121" max="2123"/>
    <col width="2.42578125" customWidth="1" style="1" min="2124" max="2124"/>
    <col width="0.7109375" customWidth="1" style="1" min="2125" max="2130"/>
    <col width="16.5703125" customWidth="1" style="1" min="2131" max="2131"/>
    <col width="0.7109375" customWidth="1" style="1" min="2132" max="2134"/>
    <col width="9.85546875" bestFit="1" customWidth="1" style="1" min="2135" max="2135"/>
    <col width="9.28515625" customWidth="1" style="1" min="2136" max="2138"/>
    <col width="0.7109375" customWidth="1" style="1" min="2139" max="2351"/>
    <col width="3.42578125" customWidth="1" style="1" min="2352" max="2352"/>
    <col width="2.42578125" customWidth="1" style="1" min="2353" max="2353"/>
    <col width="7" customWidth="1" style="1" min="2354" max="2354"/>
    <col width="0.7109375" customWidth="1" style="1" min="2355" max="2355"/>
    <col width="1.5703125" customWidth="1" style="1" min="2356" max="2356"/>
    <col width="0.7109375" customWidth="1" style="1" min="2357" max="2357"/>
    <col width="11.28515625" customWidth="1" style="1" min="2358" max="2358"/>
    <col width="0.7109375" customWidth="1" style="1" min="2359" max="2359"/>
    <col width="1.5703125" customWidth="1" style="1" min="2360" max="2360"/>
    <col width="0.7109375" customWidth="1" style="1" min="2361" max="2365"/>
    <col width="2.140625" customWidth="1" style="1" min="2366" max="2366"/>
    <col width="0.7109375" customWidth="1" style="1" min="2367" max="2367"/>
    <col width="1.5703125" customWidth="1" style="1" min="2368" max="2368"/>
    <col width="0.7109375" customWidth="1" style="1" min="2369" max="2369"/>
    <col width="7" bestFit="1" customWidth="1" style="1" min="2370" max="2370"/>
    <col width="0.7109375" customWidth="1" style="1" min="2371" max="2371"/>
    <col width="4" customWidth="1" style="1" min="2372" max="2372"/>
    <col width="0.7109375" customWidth="1" style="1" min="2373" max="2373"/>
    <col width="1.5703125" customWidth="1" style="1" min="2374" max="2374"/>
    <col width="0.7109375" customWidth="1" style="1" min="2375" max="2375"/>
    <col width="7" bestFit="1" customWidth="1" style="1" min="2376" max="2376"/>
    <col width="0.7109375" customWidth="1" style="1" min="2377" max="2379"/>
    <col width="2.42578125" customWidth="1" style="1" min="2380" max="2380"/>
    <col width="0.7109375" customWidth="1" style="1" min="2381" max="2386"/>
    <col width="16.5703125" customWidth="1" style="1" min="2387" max="2387"/>
    <col width="0.7109375" customWidth="1" style="1" min="2388" max="2390"/>
    <col width="9.85546875" bestFit="1" customWidth="1" style="1" min="2391" max="2391"/>
    <col width="9.28515625" customWidth="1" style="1" min="2392" max="2394"/>
    <col width="0.7109375" customWidth="1" style="1" min="2395" max="2607"/>
    <col width="3.42578125" customWidth="1" style="1" min="2608" max="2608"/>
    <col width="2.42578125" customWidth="1" style="1" min="2609" max="2609"/>
    <col width="7" customWidth="1" style="1" min="2610" max="2610"/>
    <col width="0.7109375" customWidth="1" style="1" min="2611" max="2611"/>
    <col width="1.5703125" customWidth="1" style="1" min="2612" max="2612"/>
    <col width="0.7109375" customWidth="1" style="1" min="2613" max="2613"/>
    <col width="11.28515625" customWidth="1" style="1" min="2614" max="2614"/>
    <col width="0.7109375" customWidth="1" style="1" min="2615" max="2615"/>
    <col width="1.5703125" customWidth="1" style="1" min="2616" max="2616"/>
    <col width="0.7109375" customWidth="1" style="1" min="2617" max="2621"/>
    <col width="2.140625" customWidth="1" style="1" min="2622" max="2622"/>
    <col width="0.7109375" customWidth="1" style="1" min="2623" max="2623"/>
    <col width="1.5703125" customWidth="1" style="1" min="2624" max="2624"/>
    <col width="0.7109375" customWidth="1" style="1" min="2625" max="2625"/>
    <col width="7" bestFit="1" customWidth="1" style="1" min="2626" max="2626"/>
    <col width="0.7109375" customWidth="1" style="1" min="2627" max="2627"/>
    <col width="4" customWidth="1" style="1" min="2628" max="2628"/>
    <col width="0.7109375" customWidth="1" style="1" min="2629" max="2629"/>
    <col width="1.5703125" customWidth="1" style="1" min="2630" max="2630"/>
    <col width="0.7109375" customWidth="1" style="1" min="2631" max="2631"/>
    <col width="7" bestFit="1" customWidth="1" style="1" min="2632" max="2632"/>
    <col width="0.7109375" customWidth="1" style="1" min="2633" max="2635"/>
    <col width="2.42578125" customWidth="1" style="1" min="2636" max="2636"/>
    <col width="0.7109375" customWidth="1" style="1" min="2637" max="2642"/>
    <col width="16.5703125" customWidth="1" style="1" min="2643" max="2643"/>
    <col width="0.7109375" customWidth="1" style="1" min="2644" max="2646"/>
    <col width="9.85546875" bestFit="1" customWidth="1" style="1" min="2647" max="2647"/>
    <col width="9.28515625" customWidth="1" style="1" min="2648" max="2650"/>
    <col width="0.7109375" customWidth="1" style="1" min="2651" max="2863"/>
    <col width="3.42578125" customWidth="1" style="1" min="2864" max="2864"/>
    <col width="2.42578125" customWidth="1" style="1" min="2865" max="2865"/>
    <col width="7" customWidth="1" style="1" min="2866" max="2866"/>
    <col width="0.7109375" customWidth="1" style="1" min="2867" max="2867"/>
    <col width="1.5703125" customWidth="1" style="1" min="2868" max="2868"/>
    <col width="0.7109375" customWidth="1" style="1" min="2869" max="2869"/>
    <col width="11.28515625" customWidth="1" style="1" min="2870" max="2870"/>
    <col width="0.7109375" customWidth="1" style="1" min="2871" max="2871"/>
    <col width="1.5703125" customWidth="1" style="1" min="2872" max="2872"/>
    <col width="0.7109375" customWidth="1" style="1" min="2873" max="2877"/>
    <col width="2.140625" customWidth="1" style="1" min="2878" max="2878"/>
    <col width="0.7109375" customWidth="1" style="1" min="2879" max="2879"/>
    <col width="1.5703125" customWidth="1" style="1" min="2880" max="2880"/>
    <col width="0.7109375" customWidth="1" style="1" min="2881" max="2881"/>
    <col width="7" bestFit="1" customWidth="1" style="1" min="2882" max="2882"/>
    <col width="0.7109375" customWidth="1" style="1" min="2883" max="2883"/>
    <col width="4" customWidth="1" style="1" min="2884" max="2884"/>
    <col width="0.7109375" customWidth="1" style="1" min="2885" max="2885"/>
    <col width="1.5703125" customWidth="1" style="1" min="2886" max="2886"/>
    <col width="0.7109375" customWidth="1" style="1" min="2887" max="2887"/>
    <col width="7" bestFit="1" customWidth="1" style="1" min="2888" max="2888"/>
    <col width="0.7109375" customWidth="1" style="1" min="2889" max="2891"/>
    <col width="2.42578125" customWidth="1" style="1" min="2892" max="2892"/>
    <col width="0.7109375" customWidth="1" style="1" min="2893" max="2898"/>
    <col width="16.5703125" customWidth="1" style="1" min="2899" max="2899"/>
    <col width="0.7109375" customWidth="1" style="1" min="2900" max="2902"/>
    <col width="9.85546875" bestFit="1" customWidth="1" style="1" min="2903" max="2903"/>
    <col width="9.28515625" customWidth="1" style="1" min="2904" max="2906"/>
    <col width="0.7109375" customWidth="1" style="1" min="2907" max="3119"/>
    <col width="3.42578125" customWidth="1" style="1" min="3120" max="3120"/>
    <col width="2.42578125" customWidth="1" style="1" min="3121" max="3121"/>
    <col width="7" customWidth="1" style="1" min="3122" max="3122"/>
    <col width="0.7109375" customWidth="1" style="1" min="3123" max="3123"/>
    <col width="1.5703125" customWidth="1" style="1" min="3124" max="3124"/>
    <col width="0.7109375" customWidth="1" style="1" min="3125" max="3125"/>
    <col width="11.28515625" customWidth="1" style="1" min="3126" max="3126"/>
    <col width="0.7109375" customWidth="1" style="1" min="3127" max="3127"/>
    <col width="1.5703125" customWidth="1" style="1" min="3128" max="3128"/>
    <col width="0.7109375" customWidth="1" style="1" min="3129" max="3133"/>
    <col width="2.140625" customWidth="1" style="1" min="3134" max="3134"/>
    <col width="0.7109375" customWidth="1" style="1" min="3135" max="3135"/>
    <col width="1.5703125" customWidth="1" style="1" min="3136" max="3136"/>
    <col width="0.7109375" customWidth="1" style="1" min="3137" max="3137"/>
    <col width="7" bestFit="1" customWidth="1" style="1" min="3138" max="3138"/>
    <col width="0.7109375" customWidth="1" style="1" min="3139" max="3139"/>
    <col width="4" customWidth="1" style="1" min="3140" max="3140"/>
    <col width="0.7109375" customWidth="1" style="1" min="3141" max="3141"/>
    <col width="1.5703125" customWidth="1" style="1" min="3142" max="3142"/>
    <col width="0.7109375" customWidth="1" style="1" min="3143" max="3143"/>
    <col width="7" bestFit="1" customWidth="1" style="1" min="3144" max="3144"/>
    <col width="0.7109375" customWidth="1" style="1" min="3145" max="3147"/>
    <col width="2.42578125" customWidth="1" style="1" min="3148" max="3148"/>
    <col width="0.7109375" customWidth="1" style="1" min="3149" max="3154"/>
    <col width="16.5703125" customWidth="1" style="1" min="3155" max="3155"/>
    <col width="0.7109375" customWidth="1" style="1" min="3156" max="3158"/>
    <col width="9.85546875" bestFit="1" customWidth="1" style="1" min="3159" max="3159"/>
    <col width="9.28515625" customWidth="1" style="1" min="3160" max="3162"/>
    <col width="0.7109375" customWidth="1" style="1" min="3163" max="3375"/>
    <col width="3.42578125" customWidth="1" style="1" min="3376" max="3376"/>
    <col width="2.42578125" customWidth="1" style="1" min="3377" max="3377"/>
    <col width="7" customWidth="1" style="1" min="3378" max="3378"/>
    <col width="0.7109375" customWidth="1" style="1" min="3379" max="3379"/>
    <col width="1.5703125" customWidth="1" style="1" min="3380" max="3380"/>
    <col width="0.7109375" customWidth="1" style="1" min="3381" max="3381"/>
    <col width="11.28515625" customWidth="1" style="1" min="3382" max="3382"/>
    <col width="0.7109375" customWidth="1" style="1" min="3383" max="3383"/>
    <col width="1.5703125" customWidth="1" style="1" min="3384" max="3384"/>
    <col width="0.7109375" customWidth="1" style="1" min="3385" max="3389"/>
    <col width="2.140625" customWidth="1" style="1" min="3390" max="3390"/>
    <col width="0.7109375" customWidth="1" style="1" min="3391" max="3391"/>
    <col width="1.5703125" customWidth="1" style="1" min="3392" max="3392"/>
    <col width="0.7109375" customWidth="1" style="1" min="3393" max="3393"/>
    <col width="7" bestFit="1" customWidth="1" style="1" min="3394" max="3394"/>
    <col width="0.7109375" customWidth="1" style="1" min="3395" max="3395"/>
    <col width="4" customWidth="1" style="1" min="3396" max="3396"/>
    <col width="0.7109375" customWidth="1" style="1" min="3397" max="3397"/>
    <col width="1.5703125" customWidth="1" style="1" min="3398" max="3398"/>
    <col width="0.7109375" customWidth="1" style="1" min="3399" max="3399"/>
    <col width="7" bestFit="1" customWidth="1" style="1" min="3400" max="3400"/>
    <col width="0.7109375" customWidth="1" style="1" min="3401" max="3403"/>
    <col width="2.42578125" customWidth="1" style="1" min="3404" max="3404"/>
    <col width="0.7109375" customWidth="1" style="1" min="3405" max="3410"/>
    <col width="16.5703125" customWidth="1" style="1" min="3411" max="3411"/>
    <col width="0.7109375" customWidth="1" style="1" min="3412" max="3414"/>
    <col width="9.85546875" bestFit="1" customWidth="1" style="1" min="3415" max="3415"/>
    <col width="9.28515625" customWidth="1" style="1" min="3416" max="3418"/>
    <col width="0.7109375" customWidth="1" style="1" min="3419" max="3631"/>
    <col width="3.42578125" customWidth="1" style="1" min="3632" max="3632"/>
    <col width="2.42578125" customWidth="1" style="1" min="3633" max="3633"/>
    <col width="7" customWidth="1" style="1" min="3634" max="3634"/>
    <col width="0.7109375" customWidth="1" style="1" min="3635" max="3635"/>
    <col width="1.5703125" customWidth="1" style="1" min="3636" max="3636"/>
    <col width="0.7109375" customWidth="1" style="1" min="3637" max="3637"/>
    <col width="11.28515625" customWidth="1" style="1" min="3638" max="3638"/>
    <col width="0.7109375" customWidth="1" style="1" min="3639" max="3639"/>
    <col width="1.5703125" customWidth="1" style="1" min="3640" max="3640"/>
    <col width="0.7109375" customWidth="1" style="1" min="3641" max="3645"/>
    <col width="2.140625" customWidth="1" style="1" min="3646" max="3646"/>
    <col width="0.7109375" customWidth="1" style="1" min="3647" max="3647"/>
    <col width="1.5703125" customWidth="1" style="1" min="3648" max="3648"/>
    <col width="0.7109375" customWidth="1" style="1" min="3649" max="3649"/>
    <col width="7" bestFit="1" customWidth="1" style="1" min="3650" max="3650"/>
    <col width="0.7109375" customWidth="1" style="1" min="3651" max="3651"/>
    <col width="4" customWidth="1" style="1" min="3652" max="3652"/>
    <col width="0.7109375" customWidth="1" style="1" min="3653" max="3653"/>
    <col width="1.5703125" customWidth="1" style="1" min="3654" max="3654"/>
    <col width="0.7109375" customWidth="1" style="1" min="3655" max="3655"/>
    <col width="7" bestFit="1" customWidth="1" style="1" min="3656" max="3656"/>
    <col width="0.7109375" customWidth="1" style="1" min="3657" max="3659"/>
    <col width="2.42578125" customWidth="1" style="1" min="3660" max="3660"/>
    <col width="0.7109375" customWidth="1" style="1" min="3661" max="3666"/>
    <col width="16.5703125" customWidth="1" style="1" min="3667" max="3667"/>
    <col width="0.7109375" customWidth="1" style="1" min="3668" max="3670"/>
    <col width="9.85546875" bestFit="1" customWidth="1" style="1" min="3671" max="3671"/>
    <col width="9.28515625" customWidth="1" style="1" min="3672" max="3674"/>
    <col width="0.7109375" customWidth="1" style="1" min="3675" max="3887"/>
    <col width="3.42578125" customWidth="1" style="1" min="3888" max="3888"/>
    <col width="2.42578125" customWidth="1" style="1" min="3889" max="3889"/>
    <col width="7" customWidth="1" style="1" min="3890" max="3890"/>
    <col width="0.7109375" customWidth="1" style="1" min="3891" max="3891"/>
    <col width="1.5703125" customWidth="1" style="1" min="3892" max="3892"/>
    <col width="0.7109375" customWidth="1" style="1" min="3893" max="3893"/>
    <col width="11.28515625" customWidth="1" style="1" min="3894" max="3894"/>
    <col width="0.7109375" customWidth="1" style="1" min="3895" max="3895"/>
    <col width="1.5703125" customWidth="1" style="1" min="3896" max="3896"/>
    <col width="0.7109375" customWidth="1" style="1" min="3897" max="3901"/>
    <col width="2.140625" customWidth="1" style="1" min="3902" max="3902"/>
    <col width="0.7109375" customWidth="1" style="1" min="3903" max="3903"/>
    <col width="1.5703125" customWidth="1" style="1" min="3904" max="3904"/>
    <col width="0.7109375" customWidth="1" style="1" min="3905" max="3905"/>
    <col width="7" bestFit="1" customWidth="1" style="1" min="3906" max="3906"/>
    <col width="0.7109375" customWidth="1" style="1" min="3907" max="3907"/>
    <col width="4" customWidth="1" style="1" min="3908" max="3908"/>
    <col width="0.7109375" customWidth="1" style="1" min="3909" max="3909"/>
    <col width="1.5703125" customWidth="1" style="1" min="3910" max="3910"/>
    <col width="0.7109375" customWidth="1" style="1" min="3911" max="3911"/>
    <col width="7" bestFit="1" customWidth="1" style="1" min="3912" max="3912"/>
    <col width="0.7109375" customWidth="1" style="1" min="3913" max="3915"/>
    <col width="2.42578125" customWidth="1" style="1" min="3916" max="3916"/>
    <col width="0.7109375" customWidth="1" style="1" min="3917" max="3922"/>
    <col width="16.5703125" customWidth="1" style="1" min="3923" max="3923"/>
    <col width="0.7109375" customWidth="1" style="1" min="3924" max="3926"/>
    <col width="9.85546875" bestFit="1" customWidth="1" style="1" min="3927" max="3927"/>
    <col width="9.28515625" customWidth="1" style="1" min="3928" max="3930"/>
    <col width="0.7109375" customWidth="1" style="1" min="3931" max="4143"/>
    <col width="3.42578125" customWidth="1" style="1" min="4144" max="4144"/>
    <col width="2.42578125" customWidth="1" style="1" min="4145" max="4145"/>
    <col width="7" customWidth="1" style="1" min="4146" max="4146"/>
    <col width="0.7109375" customWidth="1" style="1" min="4147" max="4147"/>
    <col width="1.5703125" customWidth="1" style="1" min="4148" max="4148"/>
    <col width="0.7109375" customWidth="1" style="1" min="4149" max="4149"/>
    <col width="11.28515625" customWidth="1" style="1" min="4150" max="4150"/>
    <col width="0.7109375" customWidth="1" style="1" min="4151" max="4151"/>
    <col width="1.5703125" customWidth="1" style="1" min="4152" max="4152"/>
    <col width="0.7109375" customWidth="1" style="1" min="4153" max="4157"/>
    <col width="2.140625" customWidth="1" style="1" min="4158" max="4158"/>
    <col width="0.7109375" customWidth="1" style="1" min="4159" max="4159"/>
    <col width="1.5703125" customWidth="1" style="1" min="4160" max="4160"/>
    <col width="0.7109375" customWidth="1" style="1" min="4161" max="4161"/>
    <col width="7" bestFit="1" customWidth="1" style="1" min="4162" max="4162"/>
    <col width="0.7109375" customWidth="1" style="1" min="4163" max="4163"/>
    <col width="4" customWidth="1" style="1" min="4164" max="4164"/>
    <col width="0.7109375" customWidth="1" style="1" min="4165" max="4165"/>
    <col width="1.5703125" customWidth="1" style="1" min="4166" max="4166"/>
    <col width="0.7109375" customWidth="1" style="1" min="4167" max="4167"/>
    <col width="7" bestFit="1" customWidth="1" style="1" min="4168" max="4168"/>
    <col width="0.7109375" customWidth="1" style="1" min="4169" max="4171"/>
    <col width="2.42578125" customWidth="1" style="1" min="4172" max="4172"/>
    <col width="0.7109375" customWidth="1" style="1" min="4173" max="4178"/>
    <col width="16.5703125" customWidth="1" style="1" min="4179" max="4179"/>
    <col width="0.7109375" customWidth="1" style="1" min="4180" max="4182"/>
    <col width="9.85546875" bestFit="1" customWidth="1" style="1" min="4183" max="4183"/>
    <col width="9.28515625" customWidth="1" style="1" min="4184" max="4186"/>
    <col width="0.7109375" customWidth="1" style="1" min="4187" max="4399"/>
    <col width="3.42578125" customWidth="1" style="1" min="4400" max="4400"/>
    <col width="2.42578125" customWidth="1" style="1" min="4401" max="4401"/>
    <col width="7" customWidth="1" style="1" min="4402" max="4402"/>
    <col width="0.7109375" customWidth="1" style="1" min="4403" max="4403"/>
    <col width="1.5703125" customWidth="1" style="1" min="4404" max="4404"/>
    <col width="0.7109375" customWidth="1" style="1" min="4405" max="4405"/>
    <col width="11.28515625" customWidth="1" style="1" min="4406" max="4406"/>
    <col width="0.7109375" customWidth="1" style="1" min="4407" max="4407"/>
    <col width="1.5703125" customWidth="1" style="1" min="4408" max="4408"/>
    <col width="0.7109375" customWidth="1" style="1" min="4409" max="4413"/>
    <col width="2.140625" customWidth="1" style="1" min="4414" max="4414"/>
    <col width="0.7109375" customWidth="1" style="1" min="4415" max="4415"/>
    <col width="1.5703125" customWidth="1" style="1" min="4416" max="4416"/>
    <col width="0.7109375" customWidth="1" style="1" min="4417" max="4417"/>
    <col width="7" bestFit="1" customWidth="1" style="1" min="4418" max="4418"/>
    <col width="0.7109375" customWidth="1" style="1" min="4419" max="4419"/>
    <col width="4" customWidth="1" style="1" min="4420" max="4420"/>
    <col width="0.7109375" customWidth="1" style="1" min="4421" max="4421"/>
    <col width="1.5703125" customWidth="1" style="1" min="4422" max="4422"/>
    <col width="0.7109375" customWidth="1" style="1" min="4423" max="4423"/>
    <col width="7" bestFit="1" customWidth="1" style="1" min="4424" max="4424"/>
    <col width="0.7109375" customWidth="1" style="1" min="4425" max="4427"/>
    <col width="2.42578125" customWidth="1" style="1" min="4428" max="4428"/>
    <col width="0.7109375" customWidth="1" style="1" min="4429" max="4434"/>
    <col width="16.5703125" customWidth="1" style="1" min="4435" max="4435"/>
    <col width="0.7109375" customWidth="1" style="1" min="4436" max="4438"/>
    <col width="9.85546875" bestFit="1" customWidth="1" style="1" min="4439" max="4439"/>
    <col width="9.28515625" customWidth="1" style="1" min="4440" max="4442"/>
    <col width="0.7109375" customWidth="1" style="1" min="4443" max="4655"/>
    <col width="3.42578125" customWidth="1" style="1" min="4656" max="4656"/>
    <col width="2.42578125" customWidth="1" style="1" min="4657" max="4657"/>
    <col width="7" customWidth="1" style="1" min="4658" max="4658"/>
    <col width="0.7109375" customWidth="1" style="1" min="4659" max="4659"/>
    <col width="1.5703125" customWidth="1" style="1" min="4660" max="4660"/>
    <col width="0.7109375" customWidth="1" style="1" min="4661" max="4661"/>
    <col width="11.28515625" customWidth="1" style="1" min="4662" max="4662"/>
    <col width="0.7109375" customWidth="1" style="1" min="4663" max="4663"/>
    <col width="1.5703125" customWidth="1" style="1" min="4664" max="4664"/>
    <col width="0.7109375" customWidth="1" style="1" min="4665" max="4669"/>
    <col width="2.140625" customWidth="1" style="1" min="4670" max="4670"/>
    <col width="0.7109375" customWidth="1" style="1" min="4671" max="4671"/>
    <col width="1.5703125" customWidth="1" style="1" min="4672" max="4672"/>
    <col width="0.7109375" customWidth="1" style="1" min="4673" max="4673"/>
    <col width="7" bestFit="1" customWidth="1" style="1" min="4674" max="4674"/>
    <col width="0.7109375" customWidth="1" style="1" min="4675" max="4675"/>
    <col width="4" customWidth="1" style="1" min="4676" max="4676"/>
    <col width="0.7109375" customWidth="1" style="1" min="4677" max="4677"/>
    <col width="1.5703125" customWidth="1" style="1" min="4678" max="4678"/>
    <col width="0.7109375" customWidth="1" style="1" min="4679" max="4679"/>
    <col width="7" bestFit="1" customWidth="1" style="1" min="4680" max="4680"/>
    <col width="0.7109375" customWidth="1" style="1" min="4681" max="4683"/>
    <col width="2.42578125" customWidth="1" style="1" min="4684" max="4684"/>
    <col width="0.7109375" customWidth="1" style="1" min="4685" max="4690"/>
    <col width="16.5703125" customWidth="1" style="1" min="4691" max="4691"/>
    <col width="0.7109375" customWidth="1" style="1" min="4692" max="4694"/>
    <col width="9.85546875" bestFit="1" customWidth="1" style="1" min="4695" max="4695"/>
    <col width="9.28515625" customWidth="1" style="1" min="4696" max="4698"/>
    <col width="0.7109375" customWidth="1" style="1" min="4699" max="4911"/>
    <col width="3.42578125" customWidth="1" style="1" min="4912" max="4912"/>
    <col width="2.42578125" customWidth="1" style="1" min="4913" max="4913"/>
    <col width="7" customWidth="1" style="1" min="4914" max="4914"/>
    <col width="0.7109375" customWidth="1" style="1" min="4915" max="4915"/>
    <col width="1.5703125" customWidth="1" style="1" min="4916" max="4916"/>
    <col width="0.7109375" customWidth="1" style="1" min="4917" max="4917"/>
    <col width="11.28515625" customWidth="1" style="1" min="4918" max="4918"/>
    <col width="0.7109375" customWidth="1" style="1" min="4919" max="4919"/>
    <col width="1.5703125" customWidth="1" style="1" min="4920" max="4920"/>
    <col width="0.7109375" customWidth="1" style="1" min="4921" max="4925"/>
    <col width="2.140625" customWidth="1" style="1" min="4926" max="4926"/>
    <col width="0.7109375" customWidth="1" style="1" min="4927" max="4927"/>
    <col width="1.5703125" customWidth="1" style="1" min="4928" max="4928"/>
    <col width="0.7109375" customWidth="1" style="1" min="4929" max="4929"/>
    <col width="7" bestFit="1" customWidth="1" style="1" min="4930" max="4930"/>
    <col width="0.7109375" customWidth="1" style="1" min="4931" max="4931"/>
    <col width="4" customWidth="1" style="1" min="4932" max="4932"/>
    <col width="0.7109375" customWidth="1" style="1" min="4933" max="4933"/>
    <col width="1.5703125" customWidth="1" style="1" min="4934" max="4934"/>
    <col width="0.7109375" customWidth="1" style="1" min="4935" max="4935"/>
    <col width="7" bestFit="1" customWidth="1" style="1" min="4936" max="4936"/>
    <col width="0.7109375" customWidth="1" style="1" min="4937" max="4939"/>
    <col width="2.42578125" customWidth="1" style="1" min="4940" max="4940"/>
    <col width="0.7109375" customWidth="1" style="1" min="4941" max="4946"/>
    <col width="16.5703125" customWidth="1" style="1" min="4947" max="4947"/>
    <col width="0.7109375" customWidth="1" style="1" min="4948" max="4950"/>
    <col width="9.85546875" bestFit="1" customWidth="1" style="1" min="4951" max="4951"/>
    <col width="9.28515625" customWidth="1" style="1" min="4952" max="4954"/>
    <col width="0.7109375" customWidth="1" style="1" min="4955" max="5167"/>
    <col width="3.42578125" customWidth="1" style="1" min="5168" max="5168"/>
    <col width="2.42578125" customWidth="1" style="1" min="5169" max="5169"/>
    <col width="7" customWidth="1" style="1" min="5170" max="5170"/>
    <col width="0.7109375" customWidth="1" style="1" min="5171" max="5171"/>
    <col width="1.5703125" customWidth="1" style="1" min="5172" max="5172"/>
    <col width="0.7109375" customWidth="1" style="1" min="5173" max="5173"/>
    <col width="11.28515625" customWidth="1" style="1" min="5174" max="5174"/>
    <col width="0.7109375" customWidth="1" style="1" min="5175" max="5175"/>
    <col width="1.5703125" customWidth="1" style="1" min="5176" max="5176"/>
    <col width="0.7109375" customWidth="1" style="1" min="5177" max="5181"/>
    <col width="2.140625" customWidth="1" style="1" min="5182" max="5182"/>
    <col width="0.7109375" customWidth="1" style="1" min="5183" max="5183"/>
    <col width="1.5703125" customWidth="1" style="1" min="5184" max="5184"/>
    <col width="0.7109375" customWidth="1" style="1" min="5185" max="5185"/>
    <col width="7" bestFit="1" customWidth="1" style="1" min="5186" max="5186"/>
    <col width="0.7109375" customWidth="1" style="1" min="5187" max="5187"/>
    <col width="4" customWidth="1" style="1" min="5188" max="5188"/>
    <col width="0.7109375" customWidth="1" style="1" min="5189" max="5189"/>
    <col width="1.5703125" customWidth="1" style="1" min="5190" max="5190"/>
    <col width="0.7109375" customWidth="1" style="1" min="5191" max="5191"/>
    <col width="7" bestFit="1" customWidth="1" style="1" min="5192" max="5192"/>
    <col width="0.7109375" customWidth="1" style="1" min="5193" max="5195"/>
    <col width="2.42578125" customWidth="1" style="1" min="5196" max="5196"/>
    <col width="0.7109375" customWidth="1" style="1" min="5197" max="5202"/>
    <col width="16.5703125" customWidth="1" style="1" min="5203" max="5203"/>
    <col width="0.7109375" customWidth="1" style="1" min="5204" max="5206"/>
    <col width="9.85546875" bestFit="1" customWidth="1" style="1" min="5207" max="5207"/>
    <col width="9.28515625" customWidth="1" style="1" min="5208" max="5210"/>
    <col width="0.7109375" customWidth="1" style="1" min="5211" max="5423"/>
    <col width="3.42578125" customWidth="1" style="1" min="5424" max="5424"/>
    <col width="2.42578125" customWidth="1" style="1" min="5425" max="5425"/>
    <col width="7" customWidth="1" style="1" min="5426" max="5426"/>
    <col width="0.7109375" customWidth="1" style="1" min="5427" max="5427"/>
    <col width="1.5703125" customWidth="1" style="1" min="5428" max="5428"/>
    <col width="0.7109375" customWidth="1" style="1" min="5429" max="5429"/>
    <col width="11.28515625" customWidth="1" style="1" min="5430" max="5430"/>
    <col width="0.7109375" customWidth="1" style="1" min="5431" max="5431"/>
    <col width="1.5703125" customWidth="1" style="1" min="5432" max="5432"/>
    <col width="0.7109375" customWidth="1" style="1" min="5433" max="5437"/>
    <col width="2.140625" customWidth="1" style="1" min="5438" max="5438"/>
    <col width="0.7109375" customWidth="1" style="1" min="5439" max="5439"/>
    <col width="1.5703125" customWidth="1" style="1" min="5440" max="5440"/>
    <col width="0.7109375" customWidth="1" style="1" min="5441" max="5441"/>
    <col width="7" bestFit="1" customWidth="1" style="1" min="5442" max="5442"/>
    <col width="0.7109375" customWidth="1" style="1" min="5443" max="5443"/>
    <col width="4" customWidth="1" style="1" min="5444" max="5444"/>
    <col width="0.7109375" customWidth="1" style="1" min="5445" max="5445"/>
    <col width="1.5703125" customWidth="1" style="1" min="5446" max="5446"/>
    <col width="0.7109375" customWidth="1" style="1" min="5447" max="5447"/>
    <col width="7" bestFit="1" customWidth="1" style="1" min="5448" max="5448"/>
    <col width="0.7109375" customWidth="1" style="1" min="5449" max="5451"/>
    <col width="2.42578125" customWidth="1" style="1" min="5452" max="5452"/>
    <col width="0.7109375" customWidth="1" style="1" min="5453" max="5458"/>
    <col width="16.5703125" customWidth="1" style="1" min="5459" max="5459"/>
    <col width="0.7109375" customWidth="1" style="1" min="5460" max="5462"/>
    <col width="9.85546875" bestFit="1" customWidth="1" style="1" min="5463" max="5463"/>
    <col width="9.28515625" customWidth="1" style="1" min="5464" max="5466"/>
    <col width="0.7109375" customWidth="1" style="1" min="5467" max="5679"/>
    <col width="3.42578125" customWidth="1" style="1" min="5680" max="5680"/>
    <col width="2.42578125" customWidth="1" style="1" min="5681" max="5681"/>
    <col width="7" customWidth="1" style="1" min="5682" max="5682"/>
    <col width="0.7109375" customWidth="1" style="1" min="5683" max="5683"/>
    <col width="1.5703125" customWidth="1" style="1" min="5684" max="5684"/>
    <col width="0.7109375" customWidth="1" style="1" min="5685" max="5685"/>
    <col width="11.28515625" customWidth="1" style="1" min="5686" max="5686"/>
    <col width="0.7109375" customWidth="1" style="1" min="5687" max="5687"/>
    <col width="1.5703125" customWidth="1" style="1" min="5688" max="5688"/>
    <col width="0.7109375" customWidth="1" style="1" min="5689" max="5693"/>
    <col width="2.140625" customWidth="1" style="1" min="5694" max="5694"/>
    <col width="0.7109375" customWidth="1" style="1" min="5695" max="5695"/>
    <col width="1.5703125" customWidth="1" style="1" min="5696" max="5696"/>
    <col width="0.7109375" customWidth="1" style="1" min="5697" max="5697"/>
    <col width="7" bestFit="1" customWidth="1" style="1" min="5698" max="5698"/>
    <col width="0.7109375" customWidth="1" style="1" min="5699" max="5699"/>
    <col width="4" customWidth="1" style="1" min="5700" max="5700"/>
    <col width="0.7109375" customWidth="1" style="1" min="5701" max="5701"/>
    <col width="1.5703125" customWidth="1" style="1" min="5702" max="5702"/>
    <col width="0.7109375" customWidth="1" style="1" min="5703" max="5703"/>
    <col width="7" bestFit="1" customWidth="1" style="1" min="5704" max="5704"/>
    <col width="0.7109375" customWidth="1" style="1" min="5705" max="5707"/>
    <col width="2.42578125" customWidth="1" style="1" min="5708" max="5708"/>
    <col width="0.7109375" customWidth="1" style="1" min="5709" max="5714"/>
    <col width="16.5703125" customWidth="1" style="1" min="5715" max="5715"/>
    <col width="0.7109375" customWidth="1" style="1" min="5716" max="5718"/>
    <col width="9.85546875" bestFit="1" customWidth="1" style="1" min="5719" max="5719"/>
    <col width="9.28515625" customWidth="1" style="1" min="5720" max="5722"/>
    <col width="0.7109375" customWidth="1" style="1" min="5723" max="5935"/>
    <col width="3.42578125" customWidth="1" style="1" min="5936" max="5936"/>
    <col width="2.42578125" customWidth="1" style="1" min="5937" max="5937"/>
    <col width="7" customWidth="1" style="1" min="5938" max="5938"/>
    <col width="0.7109375" customWidth="1" style="1" min="5939" max="5939"/>
    <col width="1.5703125" customWidth="1" style="1" min="5940" max="5940"/>
    <col width="0.7109375" customWidth="1" style="1" min="5941" max="5941"/>
    <col width="11.28515625" customWidth="1" style="1" min="5942" max="5942"/>
    <col width="0.7109375" customWidth="1" style="1" min="5943" max="5943"/>
    <col width="1.5703125" customWidth="1" style="1" min="5944" max="5944"/>
    <col width="0.7109375" customWidth="1" style="1" min="5945" max="5949"/>
    <col width="2.140625" customWidth="1" style="1" min="5950" max="5950"/>
    <col width="0.7109375" customWidth="1" style="1" min="5951" max="5951"/>
    <col width="1.5703125" customWidth="1" style="1" min="5952" max="5952"/>
    <col width="0.7109375" customWidth="1" style="1" min="5953" max="5953"/>
    <col width="7" bestFit="1" customWidth="1" style="1" min="5954" max="5954"/>
    <col width="0.7109375" customWidth="1" style="1" min="5955" max="5955"/>
    <col width="4" customWidth="1" style="1" min="5956" max="5956"/>
    <col width="0.7109375" customWidth="1" style="1" min="5957" max="5957"/>
    <col width="1.5703125" customWidth="1" style="1" min="5958" max="5958"/>
    <col width="0.7109375" customWidth="1" style="1" min="5959" max="5959"/>
    <col width="7" bestFit="1" customWidth="1" style="1" min="5960" max="5960"/>
    <col width="0.7109375" customWidth="1" style="1" min="5961" max="5963"/>
    <col width="2.42578125" customWidth="1" style="1" min="5964" max="5964"/>
    <col width="0.7109375" customWidth="1" style="1" min="5965" max="5970"/>
    <col width="16.5703125" customWidth="1" style="1" min="5971" max="5971"/>
    <col width="0.7109375" customWidth="1" style="1" min="5972" max="5974"/>
    <col width="9.85546875" bestFit="1" customWidth="1" style="1" min="5975" max="5975"/>
    <col width="9.28515625" customWidth="1" style="1" min="5976" max="5978"/>
    <col width="0.7109375" customWidth="1" style="1" min="5979" max="6191"/>
    <col width="3.42578125" customWidth="1" style="1" min="6192" max="6192"/>
    <col width="2.42578125" customWidth="1" style="1" min="6193" max="6193"/>
    <col width="7" customWidth="1" style="1" min="6194" max="6194"/>
    <col width="0.7109375" customWidth="1" style="1" min="6195" max="6195"/>
    <col width="1.5703125" customWidth="1" style="1" min="6196" max="6196"/>
    <col width="0.7109375" customWidth="1" style="1" min="6197" max="6197"/>
    <col width="11.28515625" customWidth="1" style="1" min="6198" max="6198"/>
    <col width="0.7109375" customWidth="1" style="1" min="6199" max="6199"/>
    <col width="1.5703125" customWidth="1" style="1" min="6200" max="6200"/>
    <col width="0.7109375" customWidth="1" style="1" min="6201" max="6205"/>
    <col width="2.140625" customWidth="1" style="1" min="6206" max="6206"/>
    <col width="0.7109375" customWidth="1" style="1" min="6207" max="6207"/>
    <col width="1.5703125" customWidth="1" style="1" min="6208" max="6208"/>
    <col width="0.7109375" customWidth="1" style="1" min="6209" max="6209"/>
    <col width="7" bestFit="1" customWidth="1" style="1" min="6210" max="6210"/>
    <col width="0.7109375" customWidth="1" style="1" min="6211" max="6211"/>
    <col width="4" customWidth="1" style="1" min="6212" max="6212"/>
    <col width="0.7109375" customWidth="1" style="1" min="6213" max="6213"/>
    <col width="1.5703125" customWidth="1" style="1" min="6214" max="6214"/>
    <col width="0.7109375" customWidth="1" style="1" min="6215" max="6215"/>
    <col width="7" bestFit="1" customWidth="1" style="1" min="6216" max="6216"/>
    <col width="0.7109375" customWidth="1" style="1" min="6217" max="6219"/>
    <col width="2.42578125" customWidth="1" style="1" min="6220" max="6220"/>
    <col width="0.7109375" customWidth="1" style="1" min="6221" max="6226"/>
    <col width="16.5703125" customWidth="1" style="1" min="6227" max="6227"/>
    <col width="0.7109375" customWidth="1" style="1" min="6228" max="6230"/>
    <col width="9.85546875" bestFit="1" customWidth="1" style="1" min="6231" max="6231"/>
    <col width="9.28515625" customWidth="1" style="1" min="6232" max="6234"/>
    <col width="0.7109375" customWidth="1" style="1" min="6235" max="6447"/>
    <col width="3.42578125" customWidth="1" style="1" min="6448" max="6448"/>
    <col width="2.42578125" customWidth="1" style="1" min="6449" max="6449"/>
    <col width="7" customWidth="1" style="1" min="6450" max="6450"/>
    <col width="0.7109375" customWidth="1" style="1" min="6451" max="6451"/>
    <col width="1.5703125" customWidth="1" style="1" min="6452" max="6452"/>
    <col width="0.7109375" customWidth="1" style="1" min="6453" max="6453"/>
    <col width="11.28515625" customWidth="1" style="1" min="6454" max="6454"/>
    <col width="0.7109375" customWidth="1" style="1" min="6455" max="6455"/>
    <col width="1.5703125" customWidth="1" style="1" min="6456" max="6456"/>
    <col width="0.7109375" customWidth="1" style="1" min="6457" max="6461"/>
    <col width="2.140625" customWidth="1" style="1" min="6462" max="6462"/>
    <col width="0.7109375" customWidth="1" style="1" min="6463" max="6463"/>
    <col width="1.5703125" customWidth="1" style="1" min="6464" max="6464"/>
    <col width="0.7109375" customWidth="1" style="1" min="6465" max="6465"/>
    <col width="7" bestFit="1" customWidth="1" style="1" min="6466" max="6466"/>
    <col width="0.7109375" customWidth="1" style="1" min="6467" max="6467"/>
    <col width="4" customWidth="1" style="1" min="6468" max="6468"/>
    <col width="0.7109375" customWidth="1" style="1" min="6469" max="6469"/>
    <col width="1.5703125" customWidth="1" style="1" min="6470" max="6470"/>
    <col width="0.7109375" customWidth="1" style="1" min="6471" max="6471"/>
    <col width="7" bestFit="1" customWidth="1" style="1" min="6472" max="6472"/>
    <col width="0.7109375" customWidth="1" style="1" min="6473" max="6475"/>
    <col width="2.42578125" customWidth="1" style="1" min="6476" max="6476"/>
    <col width="0.7109375" customWidth="1" style="1" min="6477" max="6482"/>
    <col width="16.5703125" customWidth="1" style="1" min="6483" max="6483"/>
    <col width="0.7109375" customWidth="1" style="1" min="6484" max="6486"/>
    <col width="9.85546875" bestFit="1" customWidth="1" style="1" min="6487" max="6487"/>
    <col width="9.28515625" customWidth="1" style="1" min="6488" max="6490"/>
    <col width="0.7109375" customWidth="1" style="1" min="6491" max="6703"/>
    <col width="3.42578125" customWidth="1" style="1" min="6704" max="6704"/>
    <col width="2.42578125" customWidth="1" style="1" min="6705" max="6705"/>
    <col width="7" customWidth="1" style="1" min="6706" max="6706"/>
    <col width="0.7109375" customWidth="1" style="1" min="6707" max="6707"/>
    <col width="1.5703125" customWidth="1" style="1" min="6708" max="6708"/>
    <col width="0.7109375" customWidth="1" style="1" min="6709" max="6709"/>
    <col width="11.28515625" customWidth="1" style="1" min="6710" max="6710"/>
    <col width="0.7109375" customWidth="1" style="1" min="6711" max="6711"/>
    <col width="1.5703125" customWidth="1" style="1" min="6712" max="6712"/>
    <col width="0.7109375" customWidth="1" style="1" min="6713" max="6717"/>
    <col width="2.140625" customWidth="1" style="1" min="6718" max="6718"/>
    <col width="0.7109375" customWidth="1" style="1" min="6719" max="6719"/>
    <col width="1.5703125" customWidth="1" style="1" min="6720" max="6720"/>
    <col width="0.7109375" customWidth="1" style="1" min="6721" max="6721"/>
    <col width="7" bestFit="1" customWidth="1" style="1" min="6722" max="6722"/>
    <col width="0.7109375" customWidth="1" style="1" min="6723" max="6723"/>
    <col width="4" customWidth="1" style="1" min="6724" max="6724"/>
    <col width="0.7109375" customWidth="1" style="1" min="6725" max="6725"/>
    <col width="1.5703125" customWidth="1" style="1" min="6726" max="6726"/>
    <col width="0.7109375" customWidth="1" style="1" min="6727" max="6727"/>
    <col width="7" bestFit="1" customWidth="1" style="1" min="6728" max="6728"/>
    <col width="0.7109375" customWidth="1" style="1" min="6729" max="6731"/>
    <col width="2.42578125" customWidth="1" style="1" min="6732" max="6732"/>
    <col width="0.7109375" customWidth="1" style="1" min="6733" max="6738"/>
    <col width="16.5703125" customWidth="1" style="1" min="6739" max="6739"/>
    <col width="0.7109375" customWidth="1" style="1" min="6740" max="6742"/>
    <col width="9.85546875" bestFit="1" customWidth="1" style="1" min="6743" max="6743"/>
    <col width="9.28515625" customWidth="1" style="1" min="6744" max="6746"/>
    <col width="0.7109375" customWidth="1" style="1" min="6747" max="6959"/>
    <col width="3.42578125" customWidth="1" style="1" min="6960" max="6960"/>
    <col width="2.42578125" customWidth="1" style="1" min="6961" max="6961"/>
    <col width="7" customWidth="1" style="1" min="6962" max="6962"/>
    <col width="0.7109375" customWidth="1" style="1" min="6963" max="6963"/>
    <col width="1.5703125" customWidth="1" style="1" min="6964" max="6964"/>
    <col width="0.7109375" customWidth="1" style="1" min="6965" max="6965"/>
    <col width="11.28515625" customWidth="1" style="1" min="6966" max="6966"/>
    <col width="0.7109375" customWidth="1" style="1" min="6967" max="6967"/>
    <col width="1.5703125" customWidth="1" style="1" min="6968" max="6968"/>
    <col width="0.7109375" customWidth="1" style="1" min="6969" max="6973"/>
    <col width="2.140625" customWidth="1" style="1" min="6974" max="6974"/>
    <col width="0.7109375" customWidth="1" style="1" min="6975" max="6975"/>
    <col width="1.5703125" customWidth="1" style="1" min="6976" max="6976"/>
    <col width="0.7109375" customWidth="1" style="1" min="6977" max="6977"/>
    <col width="7" bestFit="1" customWidth="1" style="1" min="6978" max="6978"/>
    <col width="0.7109375" customWidth="1" style="1" min="6979" max="6979"/>
    <col width="4" customWidth="1" style="1" min="6980" max="6980"/>
    <col width="0.7109375" customWidth="1" style="1" min="6981" max="6981"/>
    <col width="1.5703125" customWidth="1" style="1" min="6982" max="6982"/>
    <col width="0.7109375" customWidth="1" style="1" min="6983" max="6983"/>
    <col width="7" bestFit="1" customWidth="1" style="1" min="6984" max="6984"/>
    <col width="0.7109375" customWidth="1" style="1" min="6985" max="6987"/>
    <col width="2.42578125" customWidth="1" style="1" min="6988" max="6988"/>
    <col width="0.7109375" customWidth="1" style="1" min="6989" max="6994"/>
    <col width="16.5703125" customWidth="1" style="1" min="6995" max="6995"/>
    <col width="0.7109375" customWidth="1" style="1" min="6996" max="6998"/>
    <col width="9.85546875" bestFit="1" customWidth="1" style="1" min="6999" max="6999"/>
    <col width="9.28515625" customWidth="1" style="1" min="7000" max="7002"/>
    <col width="0.7109375" customWidth="1" style="1" min="7003" max="7215"/>
    <col width="3.42578125" customWidth="1" style="1" min="7216" max="7216"/>
    <col width="2.42578125" customWidth="1" style="1" min="7217" max="7217"/>
    <col width="7" customWidth="1" style="1" min="7218" max="7218"/>
    <col width="0.7109375" customWidth="1" style="1" min="7219" max="7219"/>
    <col width="1.5703125" customWidth="1" style="1" min="7220" max="7220"/>
    <col width="0.7109375" customWidth="1" style="1" min="7221" max="7221"/>
    <col width="11.28515625" customWidth="1" style="1" min="7222" max="7222"/>
    <col width="0.7109375" customWidth="1" style="1" min="7223" max="7223"/>
    <col width="1.5703125" customWidth="1" style="1" min="7224" max="7224"/>
    <col width="0.7109375" customWidth="1" style="1" min="7225" max="7229"/>
    <col width="2.140625" customWidth="1" style="1" min="7230" max="7230"/>
    <col width="0.7109375" customWidth="1" style="1" min="7231" max="7231"/>
    <col width="1.5703125" customWidth="1" style="1" min="7232" max="7232"/>
    <col width="0.7109375" customWidth="1" style="1" min="7233" max="7233"/>
    <col width="7" bestFit="1" customWidth="1" style="1" min="7234" max="7234"/>
    <col width="0.7109375" customWidth="1" style="1" min="7235" max="7235"/>
    <col width="4" customWidth="1" style="1" min="7236" max="7236"/>
    <col width="0.7109375" customWidth="1" style="1" min="7237" max="7237"/>
    <col width="1.5703125" customWidth="1" style="1" min="7238" max="7238"/>
    <col width="0.7109375" customWidth="1" style="1" min="7239" max="7239"/>
    <col width="7" bestFit="1" customWidth="1" style="1" min="7240" max="7240"/>
    <col width="0.7109375" customWidth="1" style="1" min="7241" max="7243"/>
    <col width="2.42578125" customWidth="1" style="1" min="7244" max="7244"/>
    <col width="0.7109375" customWidth="1" style="1" min="7245" max="7250"/>
    <col width="16.5703125" customWidth="1" style="1" min="7251" max="7251"/>
    <col width="0.7109375" customWidth="1" style="1" min="7252" max="7254"/>
    <col width="9.85546875" bestFit="1" customWidth="1" style="1" min="7255" max="7255"/>
    <col width="9.28515625" customWidth="1" style="1" min="7256" max="7258"/>
    <col width="0.7109375" customWidth="1" style="1" min="7259" max="7471"/>
    <col width="3.42578125" customWidth="1" style="1" min="7472" max="7472"/>
    <col width="2.42578125" customWidth="1" style="1" min="7473" max="7473"/>
    <col width="7" customWidth="1" style="1" min="7474" max="7474"/>
    <col width="0.7109375" customWidth="1" style="1" min="7475" max="7475"/>
    <col width="1.5703125" customWidth="1" style="1" min="7476" max="7476"/>
    <col width="0.7109375" customWidth="1" style="1" min="7477" max="7477"/>
    <col width="11.28515625" customWidth="1" style="1" min="7478" max="7478"/>
    <col width="0.7109375" customWidth="1" style="1" min="7479" max="7479"/>
    <col width="1.5703125" customWidth="1" style="1" min="7480" max="7480"/>
    <col width="0.7109375" customWidth="1" style="1" min="7481" max="7485"/>
    <col width="2.140625" customWidth="1" style="1" min="7486" max="7486"/>
    <col width="0.7109375" customWidth="1" style="1" min="7487" max="7487"/>
    <col width="1.5703125" customWidth="1" style="1" min="7488" max="7488"/>
    <col width="0.7109375" customWidth="1" style="1" min="7489" max="7489"/>
    <col width="7" bestFit="1" customWidth="1" style="1" min="7490" max="7490"/>
    <col width="0.7109375" customWidth="1" style="1" min="7491" max="7491"/>
    <col width="4" customWidth="1" style="1" min="7492" max="7492"/>
    <col width="0.7109375" customWidth="1" style="1" min="7493" max="7493"/>
    <col width="1.5703125" customWidth="1" style="1" min="7494" max="7494"/>
    <col width="0.7109375" customWidth="1" style="1" min="7495" max="7495"/>
    <col width="7" bestFit="1" customWidth="1" style="1" min="7496" max="7496"/>
    <col width="0.7109375" customWidth="1" style="1" min="7497" max="7499"/>
    <col width="2.42578125" customWidth="1" style="1" min="7500" max="7500"/>
    <col width="0.7109375" customWidth="1" style="1" min="7501" max="7506"/>
    <col width="16.5703125" customWidth="1" style="1" min="7507" max="7507"/>
    <col width="0.7109375" customWidth="1" style="1" min="7508" max="7510"/>
    <col width="9.85546875" bestFit="1" customWidth="1" style="1" min="7511" max="7511"/>
    <col width="9.28515625" customWidth="1" style="1" min="7512" max="7514"/>
    <col width="0.7109375" customWidth="1" style="1" min="7515" max="7727"/>
    <col width="3.42578125" customWidth="1" style="1" min="7728" max="7728"/>
    <col width="2.42578125" customWidth="1" style="1" min="7729" max="7729"/>
    <col width="7" customWidth="1" style="1" min="7730" max="7730"/>
    <col width="0.7109375" customWidth="1" style="1" min="7731" max="7731"/>
    <col width="1.5703125" customWidth="1" style="1" min="7732" max="7732"/>
    <col width="0.7109375" customWidth="1" style="1" min="7733" max="7733"/>
    <col width="11.28515625" customWidth="1" style="1" min="7734" max="7734"/>
    <col width="0.7109375" customWidth="1" style="1" min="7735" max="7735"/>
    <col width="1.5703125" customWidth="1" style="1" min="7736" max="7736"/>
    <col width="0.7109375" customWidth="1" style="1" min="7737" max="7741"/>
    <col width="2.140625" customWidth="1" style="1" min="7742" max="7742"/>
    <col width="0.7109375" customWidth="1" style="1" min="7743" max="7743"/>
    <col width="1.5703125" customWidth="1" style="1" min="7744" max="7744"/>
    <col width="0.7109375" customWidth="1" style="1" min="7745" max="7745"/>
    <col width="7" bestFit="1" customWidth="1" style="1" min="7746" max="7746"/>
    <col width="0.7109375" customWidth="1" style="1" min="7747" max="7747"/>
    <col width="4" customWidth="1" style="1" min="7748" max="7748"/>
    <col width="0.7109375" customWidth="1" style="1" min="7749" max="7749"/>
    <col width="1.5703125" customWidth="1" style="1" min="7750" max="7750"/>
    <col width="0.7109375" customWidth="1" style="1" min="7751" max="7751"/>
    <col width="7" bestFit="1" customWidth="1" style="1" min="7752" max="7752"/>
    <col width="0.7109375" customWidth="1" style="1" min="7753" max="7755"/>
    <col width="2.42578125" customWidth="1" style="1" min="7756" max="7756"/>
    <col width="0.7109375" customWidth="1" style="1" min="7757" max="7762"/>
    <col width="16.5703125" customWidth="1" style="1" min="7763" max="7763"/>
    <col width="0.7109375" customWidth="1" style="1" min="7764" max="7766"/>
    <col width="9.85546875" bestFit="1" customWidth="1" style="1" min="7767" max="7767"/>
    <col width="9.28515625" customWidth="1" style="1" min="7768" max="7770"/>
    <col width="0.7109375" customWidth="1" style="1" min="7771" max="7983"/>
    <col width="3.42578125" customWidth="1" style="1" min="7984" max="7984"/>
    <col width="2.42578125" customWidth="1" style="1" min="7985" max="7985"/>
    <col width="7" customWidth="1" style="1" min="7986" max="7986"/>
    <col width="0.7109375" customWidth="1" style="1" min="7987" max="7987"/>
    <col width="1.5703125" customWidth="1" style="1" min="7988" max="7988"/>
    <col width="0.7109375" customWidth="1" style="1" min="7989" max="7989"/>
    <col width="11.28515625" customWidth="1" style="1" min="7990" max="7990"/>
    <col width="0.7109375" customWidth="1" style="1" min="7991" max="7991"/>
    <col width="1.5703125" customWidth="1" style="1" min="7992" max="7992"/>
    <col width="0.7109375" customWidth="1" style="1" min="7993" max="7997"/>
    <col width="2.140625" customWidth="1" style="1" min="7998" max="7998"/>
    <col width="0.7109375" customWidth="1" style="1" min="7999" max="7999"/>
    <col width="1.5703125" customWidth="1" style="1" min="8000" max="8000"/>
    <col width="0.7109375" customWidth="1" style="1" min="8001" max="8001"/>
    <col width="7" bestFit="1" customWidth="1" style="1" min="8002" max="8002"/>
    <col width="0.7109375" customWidth="1" style="1" min="8003" max="8003"/>
    <col width="4" customWidth="1" style="1" min="8004" max="8004"/>
    <col width="0.7109375" customWidth="1" style="1" min="8005" max="8005"/>
    <col width="1.5703125" customWidth="1" style="1" min="8006" max="8006"/>
    <col width="0.7109375" customWidth="1" style="1" min="8007" max="8007"/>
    <col width="7" bestFit="1" customWidth="1" style="1" min="8008" max="8008"/>
    <col width="0.7109375" customWidth="1" style="1" min="8009" max="8011"/>
    <col width="2.42578125" customWidth="1" style="1" min="8012" max="8012"/>
    <col width="0.7109375" customWidth="1" style="1" min="8013" max="8018"/>
    <col width="16.5703125" customWidth="1" style="1" min="8019" max="8019"/>
    <col width="0.7109375" customWidth="1" style="1" min="8020" max="8022"/>
    <col width="9.85546875" bestFit="1" customWidth="1" style="1" min="8023" max="8023"/>
    <col width="9.28515625" customWidth="1" style="1" min="8024" max="8026"/>
    <col width="0.7109375" customWidth="1" style="1" min="8027" max="8239"/>
    <col width="3.42578125" customWidth="1" style="1" min="8240" max="8240"/>
    <col width="2.42578125" customWidth="1" style="1" min="8241" max="8241"/>
    <col width="7" customWidth="1" style="1" min="8242" max="8242"/>
    <col width="0.7109375" customWidth="1" style="1" min="8243" max="8243"/>
    <col width="1.5703125" customWidth="1" style="1" min="8244" max="8244"/>
    <col width="0.7109375" customWidth="1" style="1" min="8245" max="8245"/>
    <col width="11.28515625" customWidth="1" style="1" min="8246" max="8246"/>
    <col width="0.7109375" customWidth="1" style="1" min="8247" max="8247"/>
    <col width="1.5703125" customWidth="1" style="1" min="8248" max="8248"/>
    <col width="0.7109375" customWidth="1" style="1" min="8249" max="8253"/>
    <col width="2.140625" customWidth="1" style="1" min="8254" max="8254"/>
    <col width="0.7109375" customWidth="1" style="1" min="8255" max="8255"/>
    <col width="1.5703125" customWidth="1" style="1" min="8256" max="8256"/>
    <col width="0.7109375" customWidth="1" style="1" min="8257" max="8257"/>
    <col width="7" bestFit="1" customWidth="1" style="1" min="8258" max="8258"/>
    <col width="0.7109375" customWidth="1" style="1" min="8259" max="8259"/>
    <col width="4" customWidth="1" style="1" min="8260" max="8260"/>
    <col width="0.7109375" customWidth="1" style="1" min="8261" max="8261"/>
    <col width="1.5703125" customWidth="1" style="1" min="8262" max="8262"/>
    <col width="0.7109375" customWidth="1" style="1" min="8263" max="8263"/>
    <col width="7" bestFit="1" customWidth="1" style="1" min="8264" max="8264"/>
    <col width="0.7109375" customWidth="1" style="1" min="8265" max="8267"/>
    <col width="2.42578125" customWidth="1" style="1" min="8268" max="8268"/>
    <col width="0.7109375" customWidth="1" style="1" min="8269" max="8274"/>
    <col width="16.5703125" customWidth="1" style="1" min="8275" max="8275"/>
    <col width="0.7109375" customWidth="1" style="1" min="8276" max="8278"/>
    <col width="9.85546875" bestFit="1" customWidth="1" style="1" min="8279" max="8279"/>
    <col width="9.28515625" customWidth="1" style="1" min="8280" max="8282"/>
    <col width="0.7109375" customWidth="1" style="1" min="8283" max="8495"/>
    <col width="3.42578125" customWidth="1" style="1" min="8496" max="8496"/>
    <col width="2.42578125" customWidth="1" style="1" min="8497" max="8497"/>
    <col width="7" customWidth="1" style="1" min="8498" max="8498"/>
    <col width="0.7109375" customWidth="1" style="1" min="8499" max="8499"/>
    <col width="1.5703125" customWidth="1" style="1" min="8500" max="8500"/>
    <col width="0.7109375" customWidth="1" style="1" min="8501" max="8501"/>
    <col width="11.28515625" customWidth="1" style="1" min="8502" max="8502"/>
    <col width="0.7109375" customWidth="1" style="1" min="8503" max="8503"/>
    <col width="1.5703125" customWidth="1" style="1" min="8504" max="8504"/>
    <col width="0.7109375" customWidth="1" style="1" min="8505" max="8509"/>
    <col width="2.140625" customWidth="1" style="1" min="8510" max="8510"/>
    <col width="0.7109375" customWidth="1" style="1" min="8511" max="8511"/>
    <col width="1.5703125" customWidth="1" style="1" min="8512" max="8512"/>
    <col width="0.7109375" customWidth="1" style="1" min="8513" max="8513"/>
    <col width="7" bestFit="1" customWidth="1" style="1" min="8514" max="8514"/>
    <col width="0.7109375" customWidth="1" style="1" min="8515" max="8515"/>
    <col width="4" customWidth="1" style="1" min="8516" max="8516"/>
    <col width="0.7109375" customWidth="1" style="1" min="8517" max="8517"/>
    <col width="1.5703125" customWidth="1" style="1" min="8518" max="8518"/>
    <col width="0.7109375" customWidth="1" style="1" min="8519" max="8519"/>
    <col width="7" bestFit="1" customWidth="1" style="1" min="8520" max="8520"/>
    <col width="0.7109375" customWidth="1" style="1" min="8521" max="8523"/>
    <col width="2.42578125" customWidth="1" style="1" min="8524" max="8524"/>
    <col width="0.7109375" customWidth="1" style="1" min="8525" max="8530"/>
    <col width="16.5703125" customWidth="1" style="1" min="8531" max="8531"/>
    <col width="0.7109375" customWidth="1" style="1" min="8532" max="8534"/>
    <col width="9.85546875" bestFit="1" customWidth="1" style="1" min="8535" max="8535"/>
    <col width="9.28515625" customWidth="1" style="1" min="8536" max="8538"/>
    <col width="0.7109375" customWidth="1" style="1" min="8539" max="8751"/>
    <col width="3.42578125" customWidth="1" style="1" min="8752" max="8752"/>
    <col width="2.42578125" customWidth="1" style="1" min="8753" max="8753"/>
    <col width="7" customWidth="1" style="1" min="8754" max="8754"/>
    <col width="0.7109375" customWidth="1" style="1" min="8755" max="8755"/>
    <col width="1.5703125" customWidth="1" style="1" min="8756" max="8756"/>
    <col width="0.7109375" customWidth="1" style="1" min="8757" max="8757"/>
    <col width="11.28515625" customWidth="1" style="1" min="8758" max="8758"/>
    <col width="0.7109375" customWidth="1" style="1" min="8759" max="8759"/>
    <col width="1.5703125" customWidth="1" style="1" min="8760" max="8760"/>
    <col width="0.7109375" customWidth="1" style="1" min="8761" max="8765"/>
    <col width="2.140625" customWidth="1" style="1" min="8766" max="8766"/>
    <col width="0.7109375" customWidth="1" style="1" min="8767" max="8767"/>
    <col width="1.5703125" customWidth="1" style="1" min="8768" max="8768"/>
    <col width="0.7109375" customWidth="1" style="1" min="8769" max="8769"/>
    <col width="7" bestFit="1" customWidth="1" style="1" min="8770" max="8770"/>
    <col width="0.7109375" customWidth="1" style="1" min="8771" max="8771"/>
    <col width="4" customWidth="1" style="1" min="8772" max="8772"/>
    <col width="0.7109375" customWidth="1" style="1" min="8773" max="8773"/>
    <col width="1.5703125" customWidth="1" style="1" min="8774" max="8774"/>
    <col width="0.7109375" customWidth="1" style="1" min="8775" max="8775"/>
    <col width="7" bestFit="1" customWidth="1" style="1" min="8776" max="8776"/>
    <col width="0.7109375" customWidth="1" style="1" min="8777" max="8779"/>
    <col width="2.42578125" customWidth="1" style="1" min="8780" max="8780"/>
    <col width="0.7109375" customWidth="1" style="1" min="8781" max="8786"/>
    <col width="16.5703125" customWidth="1" style="1" min="8787" max="8787"/>
    <col width="0.7109375" customWidth="1" style="1" min="8788" max="8790"/>
    <col width="9.85546875" bestFit="1" customWidth="1" style="1" min="8791" max="8791"/>
    <col width="9.28515625" customWidth="1" style="1" min="8792" max="8794"/>
    <col width="0.7109375" customWidth="1" style="1" min="8795" max="9007"/>
    <col width="3.42578125" customWidth="1" style="1" min="9008" max="9008"/>
    <col width="2.42578125" customWidth="1" style="1" min="9009" max="9009"/>
    <col width="7" customWidth="1" style="1" min="9010" max="9010"/>
    <col width="0.7109375" customWidth="1" style="1" min="9011" max="9011"/>
    <col width="1.5703125" customWidth="1" style="1" min="9012" max="9012"/>
    <col width="0.7109375" customWidth="1" style="1" min="9013" max="9013"/>
    <col width="11.28515625" customWidth="1" style="1" min="9014" max="9014"/>
    <col width="0.7109375" customWidth="1" style="1" min="9015" max="9015"/>
    <col width="1.5703125" customWidth="1" style="1" min="9016" max="9016"/>
    <col width="0.7109375" customWidth="1" style="1" min="9017" max="9021"/>
    <col width="2.140625" customWidth="1" style="1" min="9022" max="9022"/>
    <col width="0.7109375" customWidth="1" style="1" min="9023" max="9023"/>
    <col width="1.5703125" customWidth="1" style="1" min="9024" max="9024"/>
    <col width="0.7109375" customWidth="1" style="1" min="9025" max="9025"/>
    <col width="7" bestFit="1" customWidth="1" style="1" min="9026" max="9026"/>
    <col width="0.7109375" customWidth="1" style="1" min="9027" max="9027"/>
    <col width="4" customWidth="1" style="1" min="9028" max="9028"/>
    <col width="0.7109375" customWidth="1" style="1" min="9029" max="9029"/>
    <col width="1.5703125" customWidth="1" style="1" min="9030" max="9030"/>
    <col width="0.7109375" customWidth="1" style="1" min="9031" max="9031"/>
    <col width="7" bestFit="1" customWidth="1" style="1" min="9032" max="9032"/>
    <col width="0.7109375" customWidth="1" style="1" min="9033" max="9035"/>
    <col width="2.42578125" customWidth="1" style="1" min="9036" max="9036"/>
    <col width="0.7109375" customWidth="1" style="1" min="9037" max="9042"/>
    <col width="16.5703125" customWidth="1" style="1" min="9043" max="9043"/>
    <col width="0.7109375" customWidth="1" style="1" min="9044" max="9046"/>
    <col width="9.85546875" bestFit="1" customWidth="1" style="1" min="9047" max="9047"/>
    <col width="9.28515625" customWidth="1" style="1" min="9048" max="9050"/>
    <col width="0.7109375" customWidth="1" style="1" min="9051" max="9263"/>
    <col width="3.42578125" customWidth="1" style="1" min="9264" max="9264"/>
    <col width="2.42578125" customWidth="1" style="1" min="9265" max="9265"/>
    <col width="7" customWidth="1" style="1" min="9266" max="9266"/>
    <col width="0.7109375" customWidth="1" style="1" min="9267" max="9267"/>
    <col width="1.5703125" customWidth="1" style="1" min="9268" max="9268"/>
    <col width="0.7109375" customWidth="1" style="1" min="9269" max="9269"/>
    <col width="11.28515625" customWidth="1" style="1" min="9270" max="9270"/>
    <col width="0.7109375" customWidth="1" style="1" min="9271" max="9271"/>
    <col width="1.5703125" customWidth="1" style="1" min="9272" max="9272"/>
    <col width="0.7109375" customWidth="1" style="1" min="9273" max="9277"/>
    <col width="2.140625" customWidth="1" style="1" min="9278" max="9278"/>
    <col width="0.7109375" customWidth="1" style="1" min="9279" max="9279"/>
    <col width="1.5703125" customWidth="1" style="1" min="9280" max="9280"/>
    <col width="0.7109375" customWidth="1" style="1" min="9281" max="9281"/>
    <col width="7" bestFit="1" customWidth="1" style="1" min="9282" max="9282"/>
    <col width="0.7109375" customWidth="1" style="1" min="9283" max="9283"/>
    <col width="4" customWidth="1" style="1" min="9284" max="9284"/>
    <col width="0.7109375" customWidth="1" style="1" min="9285" max="9285"/>
    <col width="1.5703125" customWidth="1" style="1" min="9286" max="9286"/>
    <col width="0.7109375" customWidth="1" style="1" min="9287" max="9287"/>
    <col width="7" bestFit="1" customWidth="1" style="1" min="9288" max="9288"/>
    <col width="0.7109375" customWidth="1" style="1" min="9289" max="9291"/>
    <col width="2.42578125" customWidth="1" style="1" min="9292" max="9292"/>
    <col width="0.7109375" customWidth="1" style="1" min="9293" max="9298"/>
    <col width="16.5703125" customWidth="1" style="1" min="9299" max="9299"/>
    <col width="0.7109375" customWidth="1" style="1" min="9300" max="9302"/>
    <col width="9.85546875" bestFit="1" customWidth="1" style="1" min="9303" max="9303"/>
    <col width="9.28515625" customWidth="1" style="1" min="9304" max="9306"/>
    <col width="0.7109375" customWidth="1" style="1" min="9307" max="9519"/>
    <col width="3.42578125" customWidth="1" style="1" min="9520" max="9520"/>
    <col width="2.42578125" customWidth="1" style="1" min="9521" max="9521"/>
    <col width="7" customWidth="1" style="1" min="9522" max="9522"/>
    <col width="0.7109375" customWidth="1" style="1" min="9523" max="9523"/>
    <col width="1.5703125" customWidth="1" style="1" min="9524" max="9524"/>
    <col width="0.7109375" customWidth="1" style="1" min="9525" max="9525"/>
    <col width="11.28515625" customWidth="1" style="1" min="9526" max="9526"/>
    <col width="0.7109375" customWidth="1" style="1" min="9527" max="9527"/>
    <col width="1.5703125" customWidth="1" style="1" min="9528" max="9528"/>
    <col width="0.7109375" customWidth="1" style="1" min="9529" max="9533"/>
    <col width="2.140625" customWidth="1" style="1" min="9534" max="9534"/>
    <col width="0.7109375" customWidth="1" style="1" min="9535" max="9535"/>
    <col width="1.5703125" customWidth="1" style="1" min="9536" max="9536"/>
    <col width="0.7109375" customWidth="1" style="1" min="9537" max="9537"/>
    <col width="7" bestFit="1" customWidth="1" style="1" min="9538" max="9538"/>
    <col width="0.7109375" customWidth="1" style="1" min="9539" max="9539"/>
    <col width="4" customWidth="1" style="1" min="9540" max="9540"/>
    <col width="0.7109375" customWidth="1" style="1" min="9541" max="9541"/>
    <col width="1.5703125" customWidth="1" style="1" min="9542" max="9542"/>
    <col width="0.7109375" customWidth="1" style="1" min="9543" max="9543"/>
    <col width="7" bestFit="1" customWidth="1" style="1" min="9544" max="9544"/>
    <col width="0.7109375" customWidth="1" style="1" min="9545" max="9547"/>
    <col width="2.42578125" customWidth="1" style="1" min="9548" max="9548"/>
    <col width="0.7109375" customWidth="1" style="1" min="9549" max="9554"/>
    <col width="16.5703125" customWidth="1" style="1" min="9555" max="9555"/>
    <col width="0.7109375" customWidth="1" style="1" min="9556" max="9558"/>
    <col width="9.85546875" bestFit="1" customWidth="1" style="1" min="9559" max="9559"/>
    <col width="9.28515625" customWidth="1" style="1" min="9560" max="9562"/>
    <col width="0.7109375" customWidth="1" style="1" min="9563" max="9775"/>
    <col width="3.42578125" customWidth="1" style="1" min="9776" max="9776"/>
    <col width="2.42578125" customWidth="1" style="1" min="9777" max="9777"/>
    <col width="7" customWidth="1" style="1" min="9778" max="9778"/>
    <col width="0.7109375" customWidth="1" style="1" min="9779" max="9779"/>
    <col width="1.5703125" customWidth="1" style="1" min="9780" max="9780"/>
    <col width="0.7109375" customWidth="1" style="1" min="9781" max="9781"/>
    <col width="11.28515625" customWidth="1" style="1" min="9782" max="9782"/>
    <col width="0.7109375" customWidth="1" style="1" min="9783" max="9783"/>
    <col width="1.5703125" customWidth="1" style="1" min="9784" max="9784"/>
    <col width="0.7109375" customWidth="1" style="1" min="9785" max="9789"/>
    <col width="2.140625" customWidth="1" style="1" min="9790" max="9790"/>
    <col width="0.7109375" customWidth="1" style="1" min="9791" max="9791"/>
    <col width="1.5703125" customWidth="1" style="1" min="9792" max="9792"/>
    <col width="0.7109375" customWidth="1" style="1" min="9793" max="9793"/>
    <col width="7" bestFit="1" customWidth="1" style="1" min="9794" max="9794"/>
    <col width="0.7109375" customWidth="1" style="1" min="9795" max="9795"/>
    <col width="4" customWidth="1" style="1" min="9796" max="9796"/>
    <col width="0.7109375" customWidth="1" style="1" min="9797" max="9797"/>
    <col width="1.5703125" customWidth="1" style="1" min="9798" max="9798"/>
    <col width="0.7109375" customWidth="1" style="1" min="9799" max="9799"/>
    <col width="7" bestFit="1" customWidth="1" style="1" min="9800" max="9800"/>
    <col width="0.7109375" customWidth="1" style="1" min="9801" max="9803"/>
    <col width="2.42578125" customWidth="1" style="1" min="9804" max="9804"/>
    <col width="0.7109375" customWidth="1" style="1" min="9805" max="9810"/>
    <col width="16.5703125" customWidth="1" style="1" min="9811" max="9811"/>
    <col width="0.7109375" customWidth="1" style="1" min="9812" max="9814"/>
    <col width="9.85546875" bestFit="1" customWidth="1" style="1" min="9815" max="9815"/>
    <col width="9.28515625" customWidth="1" style="1" min="9816" max="9818"/>
    <col width="0.7109375" customWidth="1" style="1" min="9819" max="10031"/>
    <col width="3.42578125" customWidth="1" style="1" min="10032" max="10032"/>
    <col width="2.42578125" customWidth="1" style="1" min="10033" max="10033"/>
    <col width="7" customWidth="1" style="1" min="10034" max="10034"/>
    <col width="0.7109375" customWidth="1" style="1" min="10035" max="10035"/>
    <col width="1.5703125" customWidth="1" style="1" min="10036" max="10036"/>
    <col width="0.7109375" customWidth="1" style="1" min="10037" max="10037"/>
    <col width="11.28515625" customWidth="1" style="1" min="10038" max="10038"/>
    <col width="0.7109375" customWidth="1" style="1" min="10039" max="10039"/>
    <col width="1.5703125" customWidth="1" style="1" min="10040" max="10040"/>
    <col width="0.7109375" customWidth="1" style="1" min="10041" max="10045"/>
    <col width="2.140625" customWidth="1" style="1" min="10046" max="10046"/>
    <col width="0.7109375" customWidth="1" style="1" min="10047" max="10047"/>
    <col width="1.5703125" customWidth="1" style="1" min="10048" max="10048"/>
    <col width="0.7109375" customWidth="1" style="1" min="10049" max="10049"/>
    <col width="7" bestFit="1" customWidth="1" style="1" min="10050" max="10050"/>
    <col width="0.7109375" customWidth="1" style="1" min="10051" max="10051"/>
    <col width="4" customWidth="1" style="1" min="10052" max="10052"/>
    <col width="0.7109375" customWidth="1" style="1" min="10053" max="10053"/>
    <col width="1.5703125" customWidth="1" style="1" min="10054" max="10054"/>
    <col width="0.7109375" customWidth="1" style="1" min="10055" max="10055"/>
    <col width="7" bestFit="1" customWidth="1" style="1" min="10056" max="10056"/>
    <col width="0.7109375" customWidth="1" style="1" min="10057" max="10059"/>
    <col width="2.42578125" customWidth="1" style="1" min="10060" max="10060"/>
    <col width="0.7109375" customWidth="1" style="1" min="10061" max="10066"/>
    <col width="16.5703125" customWidth="1" style="1" min="10067" max="10067"/>
    <col width="0.7109375" customWidth="1" style="1" min="10068" max="10070"/>
    <col width="9.85546875" bestFit="1" customWidth="1" style="1" min="10071" max="10071"/>
    <col width="9.28515625" customWidth="1" style="1" min="10072" max="10074"/>
    <col width="0.7109375" customWidth="1" style="1" min="10075" max="10287"/>
    <col width="3.42578125" customWidth="1" style="1" min="10288" max="10288"/>
    <col width="2.42578125" customWidth="1" style="1" min="10289" max="10289"/>
    <col width="7" customWidth="1" style="1" min="10290" max="10290"/>
    <col width="0.7109375" customWidth="1" style="1" min="10291" max="10291"/>
    <col width="1.5703125" customWidth="1" style="1" min="10292" max="10292"/>
    <col width="0.7109375" customWidth="1" style="1" min="10293" max="10293"/>
    <col width="11.28515625" customWidth="1" style="1" min="10294" max="10294"/>
    <col width="0.7109375" customWidth="1" style="1" min="10295" max="10295"/>
    <col width="1.5703125" customWidth="1" style="1" min="10296" max="10296"/>
    <col width="0.7109375" customWidth="1" style="1" min="10297" max="10301"/>
    <col width="2.140625" customWidth="1" style="1" min="10302" max="10302"/>
    <col width="0.7109375" customWidth="1" style="1" min="10303" max="10303"/>
    <col width="1.5703125" customWidth="1" style="1" min="10304" max="10304"/>
    <col width="0.7109375" customWidth="1" style="1" min="10305" max="10305"/>
    <col width="7" bestFit="1" customWidth="1" style="1" min="10306" max="10306"/>
    <col width="0.7109375" customWidth="1" style="1" min="10307" max="10307"/>
    <col width="4" customWidth="1" style="1" min="10308" max="10308"/>
    <col width="0.7109375" customWidth="1" style="1" min="10309" max="10309"/>
    <col width="1.5703125" customWidth="1" style="1" min="10310" max="10310"/>
    <col width="0.7109375" customWidth="1" style="1" min="10311" max="10311"/>
    <col width="7" bestFit="1" customWidth="1" style="1" min="10312" max="10312"/>
    <col width="0.7109375" customWidth="1" style="1" min="10313" max="10315"/>
    <col width="2.42578125" customWidth="1" style="1" min="10316" max="10316"/>
    <col width="0.7109375" customWidth="1" style="1" min="10317" max="10322"/>
    <col width="16.5703125" customWidth="1" style="1" min="10323" max="10323"/>
    <col width="0.7109375" customWidth="1" style="1" min="10324" max="10326"/>
    <col width="9.85546875" bestFit="1" customWidth="1" style="1" min="10327" max="10327"/>
    <col width="9.28515625" customWidth="1" style="1" min="10328" max="10330"/>
    <col width="0.7109375" customWidth="1" style="1" min="10331" max="10543"/>
    <col width="3.42578125" customWidth="1" style="1" min="10544" max="10544"/>
    <col width="2.42578125" customWidth="1" style="1" min="10545" max="10545"/>
    <col width="7" customWidth="1" style="1" min="10546" max="10546"/>
    <col width="0.7109375" customWidth="1" style="1" min="10547" max="10547"/>
    <col width="1.5703125" customWidth="1" style="1" min="10548" max="10548"/>
    <col width="0.7109375" customWidth="1" style="1" min="10549" max="10549"/>
    <col width="11.28515625" customWidth="1" style="1" min="10550" max="10550"/>
    <col width="0.7109375" customWidth="1" style="1" min="10551" max="10551"/>
    <col width="1.5703125" customWidth="1" style="1" min="10552" max="10552"/>
    <col width="0.7109375" customWidth="1" style="1" min="10553" max="10557"/>
    <col width="2.140625" customWidth="1" style="1" min="10558" max="10558"/>
    <col width="0.7109375" customWidth="1" style="1" min="10559" max="10559"/>
    <col width="1.5703125" customWidth="1" style="1" min="10560" max="10560"/>
    <col width="0.7109375" customWidth="1" style="1" min="10561" max="10561"/>
    <col width="7" bestFit="1" customWidth="1" style="1" min="10562" max="10562"/>
    <col width="0.7109375" customWidth="1" style="1" min="10563" max="10563"/>
    <col width="4" customWidth="1" style="1" min="10564" max="10564"/>
    <col width="0.7109375" customWidth="1" style="1" min="10565" max="10565"/>
    <col width="1.5703125" customWidth="1" style="1" min="10566" max="10566"/>
    <col width="0.7109375" customWidth="1" style="1" min="10567" max="10567"/>
    <col width="7" bestFit="1" customWidth="1" style="1" min="10568" max="10568"/>
    <col width="0.7109375" customWidth="1" style="1" min="10569" max="10571"/>
    <col width="2.42578125" customWidth="1" style="1" min="10572" max="10572"/>
    <col width="0.7109375" customWidth="1" style="1" min="10573" max="10578"/>
    <col width="16.5703125" customWidth="1" style="1" min="10579" max="10579"/>
    <col width="0.7109375" customWidth="1" style="1" min="10580" max="10582"/>
    <col width="9.85546875" bestFit="1" customWidth="1" style="1" min="10583" max="10583"/>
    <col width="9.28515625" customWidth="1" style="1" min="10584" max="10586"/>
    <col width="0.7109375" customWidth="1" style="1" min="10587" max="10799"/>
    <col width="3.42578125" customWidth="1" style="1" min="10800" max="10800"/>
    <col width="2.42578125" customWidth="1" style="1" min="10801" max="10801"/>
    <col width="7" customWidth="1" style="1" min="10802" max="10802"/>
    <col width="0.7109375" customWidth="1" style="1" min="10803" max="10803"/>
    <col width="1.5703125" customWidth="1" style="1" min="10804" max="10804"/>
    <col width="0.7109375" customWidth="1" style="1" min="10805" max="10805"/>
    <col width="11.28515625" customWidth="1" style="1" min="10806" max="10806"/>
    <col width="0.7109375" customWidth="1" style="1" min="10807" max="10807"/>
    <col width="1.5703125" customWidth="1" style="1" min="10808" max="10808"/>
    <col width="0.7109375" customWidth="1" style="1" min="10809" max="10813"/>
    <col width="2.140625" customWidth="1" style="1" min="10814" max="10814"/>
    <col width="0.7109375" customWidth="1" style="1" min="10815" max="10815"/>
    <col width="1.5703125" customWidth="1" style="1" min="10816" max="10816"/>
    <col width="0.7109375" customWidth="1" style="1" min="10817" max="10817"/>
    <col width="7" bestFit="1" customWidth="1" style="1" min="10818" max="10818"/>
    <col width="0.7109375" customWidth="1" style="1" min="10819" max="10819"/>
    <col width="4" customWidth="1" style="1" min="10820" max="10820"/>
    <col width="0.7109375" customWidth="1" style="1" min="10821" max="10821"/>
    <col width="1.5703125" customWidth="1" style="1" min="10822" max="10822"/>
    <col width="0.7109375" customWidth="1" style="1" min="10823" max="10823"/>
    <col width="7" bestFit="1" customWidth="1" style="1" min="10824" max="10824"/>
    <col width="0.7109375" customWidth="1" style="1" min="10825" max="10827"/>
    <col width="2.42578125" customWidth="1" style="1" min="10828" max="10828"/>
    <col width="0.7109375" customWidth="1" style="1" min="10829" max="10834"/>
    <col width="16.5703125" customWidth="1" style="1" min="10835" max="10835"/>
    <col width="0.7109375" customWidth="1" style="1" min="10836" max="10838"/>
    <col width="9.85546875" bestFit="1" customWidth="1" style="1" min="10839" max="10839"/>
    <col width="9.28515625" customWidth="1" style="1" min="10840" max="10842"/>
    <col width="0.7109375" customWidth="1" style="1" min="10843" max="11055"/>
    <col width="3.42578125" customWidth="1" style="1" min="11056" max="11056"/>
    <col width="2.42578125" customWidth="1" style="1" min="11057" max="11057"/>
    <col width="7" customWidth="1" style="1" min="11058" max="11058"/>
    <col width="0.7109375" customWidth="1" style="1" min="11059" max="11059"/>
    <col width="1.5703125" customWidth="1" style="1" min="11060" max="11060"/>
    <col width="0.7109375" customWidth="1" style="1" min="11061" max="11061"/>
    <col width="11.28515625" customWidth="1" style="1" min="11062" max="11062"/>
    <col width="0.7109375" customWidth="1" style="1" min="11063" max="11063"/>
    <col width="1.5703125" customWidth="1" style="1" min="11064" max="11064"/>
    <col width="0.7109375" customWidth="1" style="1" min="11065" max="11069"/>
    <col width="2.140625" customWidth="1" style="1" min="11070" max="11070"/>
    <col width="0.7109375" customWidth="1" style="1" min="11071" max="11071"/>
    <col width="1.5703125" customWidth="1" style="1" min="11072" max="11072"/>
    <col width="0.7109375" customWidth="1" style="1" min="11073" max="11073"/>
    <col width="7" bestFit="1" customWidth="1" style="1" min="11074" max="11074"/>
    <col width="0.7109375" customWidth="1" style="1" min="11075" max="11075"/>
    <col width="4" customWidth="1" style="1" min="11076" max="11076"/>
    <col width="0.7109375" customWidth="1" style="1" min="11077" max="11077"/>
    <col width="1.5703125" customWidth="1" style="1" min="11078" max="11078"/>
    <col width="0.7109375" customWidth="1" style="1" min="11079" max="11079"/>
    <col width="7" bestFit="1" customWidth="1" style="1" min="11080" max="11080"/>
    <col width="0.7109375" customWidth="1" style="1" min="11081" max="11083"/>
    <col width="2.42578125" customWidth="1" style="1" min="11084" max="11084"/>
    <col width="0.7109375" customWidth="1" style="1" min="11085" max="11090"/>
    <col width="16.5703125" customWidth="1" style="1" min="11091" max="11091"/>
    <col width="0.7109375" customWidth="1" style="1" min="11092" max="11094"/>
    <col width="9.85546875" bestFit="1" customWidth="1" style="1" min="11095" max="11095"/>
    <col width="9.28515625" customWidth="1" style="1" min="11096" max="11098"/>
    <col width="0.7109375" customWidth="1" style="1" min="11099" max="11311"/>
    <col width="3.42578125" customWidth="1" style="1" min="11312" max="11312"/>
    <col width="2.42578125" customWidth="1" style="1" min="11313" max="11313"/>
    <col width="7" customWidth="1" style="1" min="11314" max="11314"/>
    <col width="0.7109375" customWidth="1" style="1" min="11315" max="11315"/>
    <col width="1.5703125" customWidth="1" style="1" min="11316" max="11316"/>
    <col width="0.7109375" customWidth="1" style="1" min="11317" max="11317"/>
    <col width="11.28515625" customWidth="1" style="1" min="11318" max="11318"/>
    <col width="0.7109375" customWidth="1" style="1" min="11319" max="11319"/>
    <col width="1.5703125" customWidth="1" style="1" min="11320" max="11320"/>
    <col width="0.7109375" customWidth="1" style="1" min="11321" max="11325"/>
    <col width="2.140625" customWidth="1" style="1" min="11326" max="11326"/>
    <col width="0.7109375" customWidth="1" style="1" min="11327" max="11327"/>
    <col width="1.5703125" customWidth="1" style="1" min="11328" max="11328"/>
    <col width="0.7109375" customWidth="1" style="1" min="11329" max="11329"/>
    <col width="7" bestFit="1" customWidth="1" style="1" min="11330" max="11330"/>
    <col width="0.7109375" customWidth="1" style="1" min="11331" max="11331"/>
    <col width="4" customWidth="1" style="1" min="11332" max="11332"/>
    <col width="0.7109375" customWidth="1" style="1" min="11333" max="11333"/>
    <col width="1.5703125" customWidth="1" style="1" min="11334" max="11334"/>
    <col width="0.7109375" customWidth="1" style="1" min="11335" max="11335"/>
    <col width="7" bestFit="1" customWidth="1" style="1" min="11336" max="11336"/>
    <col width="0.7109375" customWidth="1" style="1" min="11337" max="11339"/>
    <col width="2.42578125" customWidth="1" style="1" min="11340" max="11340"/>
    <col width="0.7109375" customWidth="1" style="1" min="11341" max="11346"/>
    <col width="16.5703125" customWidth="1" style="1" min="11347" max="11347"/>
    <col width="0.7109375" customWidth="1" style="1" min="11348" max="11350"/>
    <col width="9.85546875" bestFit="1" customWidth="1" style="1" min="11351" max="11351"/>
    <col width="9.28515625" customWidth="1" style="1" min="11352" max="11354"/>
    <col width="0.7109375" customWidth="1" style="1" min="11355" max="11567"/>
    <col width="3.42578125" customWidth="1" style="1" min="11568" max="11568"/>
    <col width="2.42578125" customWidth="1" style="1" min="11569" max="11569"/>
    <col width="7" customWidth="1" style="1" min="11570" max="11570"/>
    <col width="0.7109375" customWidth="1" style="1" min="11571" max="11571"/>
    <col width="1.5703125" customWidth="1" style="1" min="11572" max="11572"/>
    <col width="0.7109375" customWidth="1" style="1" min="11573" max="11573"/>
    <col width="11.28515625" customWidth="1" style="1" min="11574" max="11574"/>
    <col width="0.7109375" customWidth="1" style="1" min="11575" max="11575"/>
    <col width="1.5703125" customWidth="1" style="1" min="11576" max="11576"/>
    <col width="0.7109375" customWidth="1" style="1" min="11577" max="11581"/>
    <col width="2.140625" customWidth="1" style="1" min="11582" max="11582"/>
    <col width="0.7109375" customWidth="1" style="1" min="11583" max="11583"/>
    <col width="1.5703125" customWidth="1" style="1" min="11584" max="11584"/>
    <col width="0.7109375" customWidth="1" style="1" min="11585" max="11585"/>
    <col width="7" bestFit="1" customWidth="1" style="1" min="11586" max="11586"/>
    <col width="0.7109375" customWidth="1" style="1" min="11587" max="11587"/>
    <col width="4" customWidth="1" style="1" min="11588" max="11588"/>
    <col width="0.7109375" customWidth="1" style="1" min="11589" max="11589"/>
    <col width="1.5703125" customWidth="1" style="1" min="11590" max="11590"/>
    <col width="0.7109375" customWidth="1" style="1" min="11591" max="11591"/>
    <col width="7" bestFit="1" customWidth="1" style="1" min="11592" max="11592"/>
    <col width="0.7109375" customWidth="1" style="1" min="11593" max="11595"/>
    <col width="2.42578125" customWidth="1" style="1" min="11596" max="11596"/>
    <col width="0.7109375" customWidth="1" style="1" min="11597" max="11602"/>
    <col width="16.5703125" customWidth="1" style="1" min="11603" max="11603"/>
    <col width="0.7109375" customWidth="1" style="1" min="11604" max="11606"/>
    <col width="9.85546875" bestFit="1" customWidth="1" style="1" min="11607" max="11607"/>
    <col width="9.28515625" customWidth="1" style="1" min="11608" max="11610"/>
    <col width="0.7109375" customWidth="1" style="1" min="11611" max="11823"/>
    <col width="3.42578125" customWidth="1" style="1" min="11824" max="11824"/>
    <col width="2.42578125" customWidth="1" style="1" min="11825" max="11825"/>
    <col width="7" customWidth="1" style="1" min="11826" max="11826"/>
    <col width="0.7109375" customWidth="1" style="1" min="11827" max="11827"/>
    <col width="1.5703125" customWidth="1" style="1" min="11828" max="11828"/>
    <col width="0.7109375" customWidth="1" style="1" min="11829" max="11829"/>
    <col width="11.28515625" customWidth="1" style="1" min="11830" max="11830"/>
    <col width="0.7109375" customWidth="1" style="1" min="11831" max="11831"/>
    <col width="1.5703125" customWidth="1" style="1" min="11832" max="11832"/>
    <col width="0.7109375" customWidth="1" style="1" min="11833" max="11837"/>
    <col width="2.140625" customWidth="1" style="1" min="11838" max="11838"/>
    <col width="0.7109375" customWidth="1" style="1" min="11839" max="11839"/>
    <col width="1.5703125" customWidth="1" style="1" min="11840" max="11840"/>
    <col width="0.7109375" customWidth="1" style="1" min="11841" max="11841"/>
    <col width="7" bestFit="1" customWidth="1" style="1" min="11842" max="11842"/>
    <col width="0.7109375" customWidth="1" style="1" min="11843" max="11843"/>
    <col width="4" customWidth="1" style="1" min="11844" max="11844"/>
    <col width="0.7109375" customWidth="1" style="1" min="11845" max="11845"/>
    <col width="1.5703125" customWidth="1" style="1" min="11846" max="11846"/>
    <col width="0.7109375" customWidth="1" style="1" min="11847" max="11847"/>
    <col width="7" bestFit="1" customWidth="1" style="1" min="11848" max="11848"/>
    <col width="0.7109375" customWidth="1" style="1" min="11849" max="11851"/>
    <col width="2.42578125" customWidth="1" style="1" min="11852" max="11852"/>
    <col width="0.7109375" customWidth="1" style="1" min="11853" max="11858"/>
    <col width="16.5703125" customWidth="1" style="1" min="11859" max="11859"/>
    <col width="0.7109375" customWidth="1" style="1" min="11860" max="11862"/>
    <col width="9.85546875" bestFit="1" customWidth="1" style="1" min="11863" max="11863"/>
    <col width="9.28515625" customWidth="1" style="1" min="11864" max="11866"/>
    <col width="0.7109375" customWidth="1" style="1" min="11867" max="12079"/>
    <col width="3.42578125" customWidth="1" style="1" min="12080" max="12080"/>
    <col width="2.42578125" customWidth="1" style="1" min="12081" max="12081"/>
    <col width="7" customWidth="1" style="1" min="12082" max="12082"/>
    <col width="0.7109375" customWidth="1" style="1" min="12083" max="12083"/>
    <col width="1.5703125" customWidth="1" style="1" min="12084" max="12084"/>
    <col width="0.7109375" customWidth="1" style="1" min="12085" max="12085"/>
    <col width="11.28515625" customWidth="1" style="1" min="12086" max="12086"/>
    <col width="0.7109375" customWidth="1" style="1" min="12087" max="12087"/>
    <col width="1.5703125" customWidth="1" style="1" min="12088" max="12088"/>
    <col width="0.7109375" customWidth="1" style="1" min="12089" max="12093"/>
    <col width="2.140625" customWidth="1" style="1" min="12094" max="12094"/>
    <col width="0.7109375" customWidth="1" style="1" min="12095" max="12095"/>
    <col width="1.5703125" customWidth="1" style="1" min="12096" max="12096"/>
    <col width="0.7109375" customWidth="1" style="1" min="12097" max="12097"/>
    <col width="7" bestFit="1" customWidth="1" style="1" min="12098" max="12098"/>
    <col width="0.7109375" customWidth="1" style="1" min="12099" max="12099"/>
    <col width="4" customWidth="1" style="1" min="12100" max="12100"/>
    <col width="0.7109375" customWidth="1" style="1" min="12101" max="12101"/>
    <col width="1.5703125" customWidth="1" style="1" min="12102" max="12102"/>
    <col width="0.7109375" customWidth="1" style="1" min="12103" max="12103"/>
    <col width="7" bestFit="1" customWidth="1" style="1" min="12104" max="12104"/>
    <col width="0.7109375" customWidth="1" style="1" min="12105" max="12107"/>
    <col width="2.42578125" customWidth="1" style="1" min="12108" max="12108"/>
    <col width="0.7109375" customWidth="1" style="1" min="12109" max="12114"/>
    <col width="16.5703125" customWidth="1" style="1" min="12115" max="12115"/>
    <col width="0.7109375" customWidth="1" style="1" min="12116" max="12118"/>
    <col width="9.85546875" bestFit="1" customWidth="1" style="1" min="12119" max="12119"/>
    <col width="9.28515625" customWidth="1" style="1" min="12120" max="12122"/>
    <col width="0.7109375" customWidth="1" style="1" min="12123" max="12335"/>
    <col width="3.42578125" customWidth="1" style="1" min="12336" max="12336"/>
    <col width="2.42578125" customWidth="1" style="1" min="12337" max="12337"/>
    <col width="7" customWidth="1" style="1" min="12338" max="12338"/>
    <col width="0.7109375" customWidth="1" style="1" min="12339" max="12339"/>
    <col width="1.5703125" customWidth="1" style="1" min="12340" max="12340"/>
    <col width="0.7109375" customWidth="1" style="1" min="12341" max="12341"/>
    <col width="11.28515625" customWidth="1" style="1" min="12342" max="12342"/>
    <col width="0.7109375" customWidth="1" style="1" min="12343" max="12343"/>
    <col width="1.5703125" customWidth="1" style="1" min="12344" max="12344"/>
    <col width="0.7109375" customWidth="1" style="1" min="12345" max="12349"/>
    <col width="2.140625" customWidth="1" style="1" min="12350" max="12350"/>
    <col width="0.7109375" customWidth="1" style="1" min="12351" max="12351"/>
    <col width="1.5703125" customWidth="1" style="1" min="12352" max="12352"/>
    <col width="0.7109375" customWidth="1" style="1" min="12353" max="12353"/>
    <col width="7" bestFit="1" customWidth="1" style="1" min="12354" max="12354"/>
    <col width="0.7109375" customWidth="1" style="1" min="12355" max="12355"/>
    <col width="4" customWidth="1" style="1" min="12356" max="12356"/>
    <col width="0.7109375" customWidth="1" style="1" min="12357" max="12357"/>
    <col width="1.5703125" customWidth="1" style="1" min="12358" max="12358"/>
    <col width="0.7109375" customWidth="1" style="1" min="12359" max="12359"/>
    <col width="7" bestFit="1" customWidth="1" style="1" min="12360" max="12360"/>
    <col width="0.7109375" customWidth="1" style="1" min="12361" max="12363"/>
    <col width="2.42578125" customWidth="1" style="1" min="12364" max="12364"/>
    <col width="0.7109375" customWidth="1" style="1" min="12365" max="12370"/>
    <col width="16.5703125" customWidth="1" style="1" min="12371" max="12371"/>
    <col width="0.7109375" customWidth="1" style="1" min="12372" max="12374"/>
    <col width="9.85546875" bestFit="1" customWidth="1" style="1" min="12375" max="12375"/>
    <col width="9.28515625" customWidth="1" style="1" min="12376" max="12378"/>
    <col width="0.7109375" customWidth="1" style="1" min="12379" max="12591"/>
    <col width="3.42578125" customWidth="1" style="1" min="12592" max="12592"/>
    <col width="2.42578125" customWidth="1" style="1" min="12593" max="12593"/>
    <col width="7" customWidth="1" style="1" min="12594" max="12594"/>
    <col width="0.7109375" customWidth="1" style="1" min="12595" max="12595"/>
    <col width="1.5703125" customWidth="1" style="1" min="12596" max="12596"/>
    <col width="0.7109375" customWidth="1" style="1" min="12597" max="12597"/>
    <col width="11.28515625" customWidth="1" style="1" min="12598" max="12598"/>
    <col width="0.7109375" customWidth="1" style="1" min="12599" max="12599"/>
    <col width="1.5703125" customWidth="1" style="1" min="12600" max="12600"/>
    <col width="0.7109375" customWidth="1" style="1" min="12601" max="12605"/>
    <col width="2.140625" customWidth="1" style="1" min="12606" max="12606"/>
    <col width="0.7109375" customWidth="1" style="1" min="12607" max="12607"/>
    <col width="1.5703125" customWidth="1" style="1" min="12608" max="12608"/>
    <col width="0.7109375" customWidth="1" style="1" min="12609" max="12609"/>
    <col width="7" bestFit="1" customWidth="1" style="1" min="12610" max="12610"/>
    <col width="0.7109375" customWidth="1" style="1" min="12611" max="12611"/>
    <col width="4" customWidth="1" style="1" min="12612" max="12612"/>
    <col width="0.7109375" customWidth="1" style="1" min="12613" max="12613"/>
    <col width="1.5703125" customWidth="1" style="1" min="12614" max="12614"/>
    <col width="0.7109375" customWidth="1" style="1" min="12615" max="12615"/>
    <col width="7" bestFit="1" customWidth="1" style="1" min="12616" max="12616"/>
    <col width="0.7109375" customWidth="1" style="1" min="12617" max="12619"/>
    <col width="2.42578125" customWidth="1" style="1" min="12620" max="12620"/>
    <col width="0.7109375" customWidth="1" style="1" min="12621" max="12626"/>
    <col width="16.5703125" customWidth="1" style="1" min="12627" max="12627"/>
    <col width="0.7109375" customWidth="1" style="1" min="12628" max="12630"/>
    <col width="9.85546875" bestFit="1" customWidth="1" style="1" min="12631" max="12631"/>
    <col width="9.28515625" customWidth="1" style="1" min="12632" max="12634"/>
    <col width="0.7109375" customWidth="1" style="1" min="12635" max="12847"/>
    <col width="3.42578125" customWidth="1" style="1" min="12848" max="12848"/>
    <col width="2.42578125" customWidth="1" style="1" min="12849" max="12849"/>
    <col width="7" customWidth="1" style="1" min="12850" max="12850"/>
    <col width="0.7109375" customWidth="1" style="1" min="12851" max="12851"/>
    <col width="1.5703125" customWidth="1" style="1" min="12852" max="12852"/>
    <col width="0.7109375" customWidth="1" style="1" min="12853" max="12853"/>
    <col width="11.28515625" customWidth="1" style="1" min="12854" max="12854"/>
    <col width="0.7109375" customWidth="1" style="1" min="12855" max="12855"/>
    <col width="1.5703125" customWidth="1" style="1" min="12856" max="12856"/>
    <col width="0.7109375" customWidth="1" style="1" min="12857" max="12861"/>
    <col width="2.140625" customWidth="1" style="1" min="12862" max="12862"/>
    <col width="0.7109375" customWidth="1" style="1" min="12863" max="12863"/>
    <col width="1.5703125" customWidth="1" style="1" min="12864" max="12864"/>
    <col width="0.7109375" customWidth="1" style="1" min="12865" max="12865"/>
    <col width="7" bestFit="1" customWidth="1" style="1" min="12866" max="12866"/>
    <col width="0.7109375" customWidth="1" style="1" min="12867" max="12867"/>
    <col width="4" customWidth="1" style="1" min="12868" max="12868"/>
    <col width="0.7109375" customWidth="1" style="1" min="12869" max="12869"/>
    <col width="1.5703125" customWidth="1" style="1" min="12870" max="12870"/>
    <col width="0.7109375" customWidth="1" style="1" min="12871" max="12871"/>
    <col width="7" bestFit="1" customWidth="1" style="1" min="12872" max="12872"/>
    <col width="0.7109375" customWidth="1" style="1" min="12873" max="12875"/>
    <col width="2.42578125" customWidth="1" style="1" min="12876" max="12876"/>
    <col width="0.7109375" customWidth="1" style="1" min="12877" max="12882"/>
    <col width="16.5703125" customWidth="1" style="1" min="12883" max="12883"/>
    <col width="0.7109375" customWidth="1" style="1" min="12884" max="12886"/>
    <col width="9.85546875" bestFit="1" customWidth="1" style="1" min="12887" max="12887"/>
    <col width="9.28515625" customWidth="1" style="1" min="12888" max="12890"/>
    <col width="0.7109375" customWidth="1" style="1" min="12891" max="13103"/>
    <col width="3.42578125" customWidth="1" style="1" min="13104" max="13104"/>
    <col width="2.42578125" customWidth="1" style="1" min="13105" max="13105"/>
    <col width="7" customWidth="1" style="1" min="13106" max="13106"/>
    <col width="0.7109375" customWidth="1" style="1" min="13107" max="13107"/>
    <col width="1.5703125" customWidth="1" style="1" min="13108" max="13108"/>
    <col width="0.7109375" customWidth="1" style="1" min="13109" max="13109"/>
    <col width="11.28515625" customWidth="1" style="1" min="13110" max="13110"/>
    <col width="0.7109375" customWidth="1" style="1" min="13111" max="13111"/>
    <col width="1.5703125" customWidth="1" style="1" min="13112" max="13112"/>
    <col width="0.7109375" customWidth="1" style="1" min="13113" max="13117"/>
    <col width="2.140625" customWidth="1" style="1" min="13118" max="13118"/>
    <col width="0.7109375" customWidth="1" style="1" min="13119" max="13119"/>
    <col width="1.5703125" customWidth="1" style="1" min="13120" max="13120"/>
    <col width="0.7109375" customWidth="1" style="1" min="13121" max="13121"/>
    <col width="7" bestFit="1" customWidth="1" style="1" min="13122" max="13122"/>
    <col width="0.7109375" customWidth="1" style="1" min="13123" max="13123"/>
    <col width="4" customWidth="1" style="1" min="13124" max="13124"/>
    <col width="0.7109375" customWidth="1" style="1" min="13125" max="13125"/>
    <col width="1.5703125" customWidth="1" style="1" min="13126" max="13126"/>
    <col width="0.7109375" customWidth="1" style="1" min="13127" max="13127"/>
    <col width="7" bestFit="1" customWidth="1" style="1" min="13128" max="13128"/>
    <col width="0.7109375" customWidth="1" style="1" min="13129" max="13131"/>
    <col width="2.42578125" customWidth="1" style="1" min="13132" max="13132"/>
    <col width="0.7109375" customWidth="1" style="1" min="13133" max="13138"/>
    <col width="16.5703125" customWidth="1" style="1" min="13139" max="13139"/>
    <col width="0.7109375" customWidth="1" style="1" min="13140" max="13142"/>
    <col width="9.85546875" bestFit="1" customWidth="1" style="1" min="13143" max="13143"/>
    <col width="9.28515625" customWidth="1" style="1" min="13144" max="13146"/>
    <col width="0.7109375" customWidth="1" style="1" min="13147" max="13359"/>
    <col width="3.42578125" customWidth="1" style="1" min="13360" max="13360"/>
    <col width="2.42578125" customWidth="1" style="1" min="13361" max="13361"/>
    <col width="7" customWidth="1" style="1" min="13362" max="13362"/>
    <col width="0.7109375" customWidth="1" style="1" min="13363" max="13363"/>
    <col width="1.5703125" customWidth="1" style="1" min="13364" max="13364"/>
    <col width="0.7109375" customWidth="1" style="1" min="13365" max="13365"/>
    <col width="11.28515625" customWidth="1" style="1" min="13366" max="13366"/>
    <col width="0.7109375" customWidth="1" style="1" min="13367" max="13367"/>
    <col width="1.5703125" customWidth="1" style="1" min="13368" max="13368"/>
    <col width="0.7109375" customWidth="1" style="1" min="13369" max="13373"/>
    <col width="2.140625" customWidth="1" style="1" min="13374" max="13374"/>
    <col width="0.7109375" customWidth="1" style="1" min="13375" max="13375"/>
    <col width="1.5703125" customWidth="1" style="1" min="13376" max="13376"/>
    <col width="0.7109375" customWidth="1" style="1" min="13377" max="13377"/>
    <col width="7" bestFit="1" customWidth="1" style="1" min="13378" max="13378"/>
    <col width="0.7109375" customWidth="1" style="1" min="13379" max="13379"/>
    <col width="4" customWidth="1" style="1" min="13380" max="13380"/>
    <col width="0.7109375" customWidth="1" style="1" min="13381" max="13381"/>
    <col width="1.5703125" customWidth="1" style="1" min="13382" max="13382"/>
    <col width="0.7109375" customWidth="1" style="1" min="13383" max="13383"/>
    <col width="7" bestFit="1" customWidth="1" style="1" min="13384" max="13384"/>
    <col width="0.7109375" customWidth="1" style="1" min="13385" max="13387"/>
    <col width="2.42578125" customWidth="1" style="1" min="13388" max="13388"/>
    <col width="0.7109375" customWidth="1" style="1" min="13389" max="13394"/>
    <col width="16.5703125" customWidth="1" style="1" min="13395" max="13395"/>
    <col width="0.7109375" customWidth="1" style="1" min="13396" max="13398"/>
    <col width="9.85546875" bestFit="1" customWidth="1" style="1" min="13399" max="13399"/>
    <col width="9.28515625" customWidth="1" style="1" min="13400" max="13402"/>
    <col width="0.7109375" customWidth="1" style="1" min="13403" max="13615"/>
    <col width="3.42578125" customWidth="1" style="1" min="13616" max="13616"/>
    <col width="2.42578125" customWidth="1" style="1" min="13617" max="13617"/>
    <col width="7" customWidth="1" style="1" min="13618" max="13618"/>
    <col width="0.7109375" customWidth="1" style="1" min="13619" max="13619"/>
    <col width="1.5703125" customWidth="1" style="1" min="13620" max="13620"/>
    <col width="0.7109375" customWidth="1" style="1" min="13621" max="13621"/>
    <col width="11.28515625" customWidth="1" style="1" min="13622" max="13622"/>
    <col width="0.7109375" customWidth="1" style="1" min="13623" max="13623"/>
    <col width="1.5703125" customWidth="1" style="1" min="13624" max="13624"/>
    <col width="0.7109375" customWidth="1" style="1" min="13625" max="13629"/>
    <col width="2.140625" customWidth="1" style="1" min="13630" max="13630"/>
    <col width="0.7109375" customWidth="1" style="1" min="13631" max="13631"/>
    <col width="1.5703125" customWidth="1" style="1" min="13632" max="13632"/>
    <col width="0.7109375" customWidth="1" style="1" min="13633" max="13633"/>
    <col width="7" bestFit="1" customWidth="1" style="1" min="13634" max="13634"/>
    <col width="0.7109375" customWidth="1" style="1" min="13635" max="13635"/>
    <col width="4" customWidth="1" style="1" min="13636" max="13636"/>
    <col width="0.7109375" customWidth="1" style="1" min="13637" max="13637"/>
    <col width="1.5703125" customWidth="1" style="1" min="13638" max="13638"/>
    <col width="0.7109375" customWidth="1" style="1" min="13639" max="13639"/>
    <col width="7" bestFit="1" customWidth="1" style="1" min="13640" max="13640"/>
    <col width="0.7109375" customWidth="1" style="1" min="13641" max="13643"/>
    <col width="2.42578125" customWidth="1" style="1" min="13644" max="13644"/>
    <col width="0.7109375" customWidth="1" style="1" min="13645" max="13650"/>
    <col width="16.5703125" customWidth="1" style="1" min="13651" max="13651"/>
    <col width="0.7109375" customWidth="1" style="1" min="13652" max="13654"/>
    <col width="9.85546875" bestFit="1" customWidth="1" style="1" min="13655" max="13655"/>
    <col width="9.28515625" customWidth="1" style="1" min="13656" max="13658"/>
    <col width="0.7109375" customWidth="1" style="1" min="13659" max="13871"/>
    <col width="3.42578125" customWidth="1" style="1" min="13872" max="13872"/>
    <col width="2.42578125" customWidth="1" style="1" min="13873" max="13873"/>
    <col width="7" customWidth="1" style="1" min="13874" max="13874"/>
    <col width="0.7109375" customWidth="1" style="1" min="13875" max="13875"/>
    <col width="1.5703125" customWidth="1" style="1" min="13876" max="13876"/>
    <col width="0.7109375" customWidth="1" style="1" min="13877" max="13877"/>
    <col width="11.28515625" customWidth="1" style="1" min="13878" max="13878"/>
    <col width="0.7109375" customWidth="1" style="1" min="13879" max="13879"/>
    <col width="1.5703125" customWidth="1" style="1" min="13880" max="13880"/>
    <col width="0.7109375" customWidth="1" style="1" min="13881" max="13885"/>
    <col width="2.140625" customWidth="1" style="1" min="13886" max="13886"/>
    <col width="0.7109375" customWidth="1" style="1" min="13887" max="13887"/>
    <col width="1.5703125" customWidth="1" style="1" min="13888" max="13888"/>
    <col width="0.7109375" customWidth="1" style="1" min="13889" max="13889"/>
    <col width="7" bestFit="1" customWidth="1" style="1" min="13890" max="13890"/>
    <col width="0.7109375" customWidth="1" style="1" min="13891" max="13891"/>
    <col width="4" customWidth="1" style="1" min="13892" max="13892"/>
    <col width="0.7109375" customWidth="1" style="1" min="13893" max="13893"/>
    <col width="1.5703125" customWidth="1" style="1" min="13894" max="13894"/>
    <col width="0.7109375" customWidth="1" style="1" min="13895" max="13895"/>
    <col width="7" bestFit="1" customWidth="1" style="1" min="13896" max="13896"/>
    <col width="0.7109375" customWidth="1" style="1" min="13897" max="13899"/>
    <col width="2.42578125" customWidth="1" style="1" min="13900" max="13900"/>
    <col width="0.7109375" customWidth="1" style="1" min="13901" max="13906"/>
    <col width="16.5703125" customWidth="1" style="1" min="13907" max="13907"/>
    <col width="0.7109375" customWidth="1" style="1" min="13908" max="13910"/>
    <col width="9.85546875" bestFit="1" customWidth="1" style="1" min="13911" max="13911"/>
    <col width="9.28515625" customWidth="1" style="1" min="13912" max="13914"/>
    <col width="0.7109375" customWidth="1" style="1" min="13915" max="14127"/>
    <col width="3.42578125" customWidth="1" style="1" min="14128" max="14128"/>
    <col width="2.42578125" customWidth="1" style="1" min="14129" max="14129"/>
    <col width="7" customWidth="1" style="1" min="14130" max="14130"/>
    <col width="0.7109375" customWidth="1" style="1" min="14131" max="14131"/>
    <col width="1.5703125" customWidth="1" style="1" min="14132" max="14132"/>
    <col width="0.7109375" customWidth="1" style="1" min="14133" max="14133"/>
    <col width="11.28515625" customWidth="1" style="1" min="14134" max="14134"/>
    <col width="0.7109375" customWidth="1" style="1" min="14135" max="14135"/>
    <col width="1.5703125" customWidth="1" style="1" min="14136" max="14136"/>
    <col width="0.7109375" customWidth="1" style="1" min="14137" max="14141"/>
    <col width="2.140625" customWidth="1" style="1" min="14142" max="14142"/>
    <col width="0.7109375" customWidth="1" style="1" min="14143" max="14143"/>
    <col width="1.5703125" customWidth="1" style="1" min="14144" max="14144"/>
    <col width="0.7109375" customWidth="1" style="1" min="14145" max="14145"/>
    <col width="7" bestFit="1" customWidth="1" style="1" min="14146" max="14146"/>
    <col width="0.7109375" customWidth="1" style="1" min="14147" max="14147"/>
    <col width="4" customWidth="1" style="1" min="14148" max="14148"/>
    <col width="0.7109375" customWidth="1" style="1" min="14149" max="14149"/>
    <col width="1.5703125" customWidth="1" style="1" min="14150" max="14150"/>
    <col width="0.7109375" customWidth="1" style="1" min="14151" max="14151"/>
    <col width="7" bestFit="1" customWidth="1" style="1" min="14152" max="14152"/>
    <col width="0.7109375" customWidth="1" style="1" min="14153" max="14155"/>
    <col width="2.42578125" customWidth="1" style="1" min="14156" max="14156"/>
    <col width="0.7109375" customWidth="1" style="1" min="14157" max="14162"/>
    <col width="16.5703125" customWidth="1" style="1" min="14163" max="14163"/>
    <col width="0.7109375" customWidth="1" style="1" min="14164" max="14166"/>
    <col width="9.85546875" bestFit="1" customWidth="1" style="1" min="14167" max="14167"/>
    <col width="9.28515625" customWidth="1" style="1" min="14168" max="14170"/>
    <col width="0.7109375" customWidth="1" style="1" min="14171" max="14383"/>
    <col width="3.42578125" customWidth="1" style="1" min="14384" max="14384"/>
    <col width="2.42578125" customWidth="1" style="1" min="14385" max="14385"/>
    <col width="7" customWidth="1" style="1" min="14386" max="14386"/>
    <col width="0.7109375" customWidth="1" style="1" min="14387" max="14387"/>
    <col width="1.5703125" customWidth="1" style="1" min="14388" max="14388"/>
    <col width="0.7109375" customWidth="1" style="1" min="14389" max="14389"/>
    <col width="11.28515625" customWidth="1" style="1" min="14390" max="14390"/>
    <col width="0.7109375" customWidth="1" style="1" min="14391" max="14391"/>
    <col width="1.5703125" customWidth="1" style="1" min="14392" max="14392"/>
    <col width="0.7109375" customWidth="1" style="1" min="14393" max="14397"/>
    <col width="2.140625" customWidth="1" style="1" min="14398" max="14398"/>
    <col width="0.7109375" customWidth="1" style="1" min="14399" max="14399"/>
    <col width="1.5703125" customWidth="1" style="1" min="14400" max="14400"/>
    <col width="0.7109375" customWidth="1" style="1" min="14401" max="14401"/>
    <col width="7" bestFit="1" customWidth="1" style="1" min="14402" max="14402"/>
    <col width="0.7109375" customWidth="1" style="1" min="14403" max="14403"/>
    <col width="4" customWidth="1" style="1" min="14404" max="14404"/>
    <col width="0.7109375" customWidth="1" style="1" min="14405" max="14405"/>
    <col width="1.5703125" customWidth="1" style="1" min="14406" max="14406"/>
    <col width="0.7109375" customWidth="1" style="1" min="14407" max="14407"/>
    <col width="7" bestFit="1" customWidth="1" style="1" min="14408" max="14408"/>
    <col width="0.7109375" customWidth="1" style="1" min="14409" max="14411"/>
    <col width="2.42578125" customWidth="1" style="1" min="14412" max="14412"/>
    <col width="0.7109375" customWidth="1" style="1" min="14413" max="14418"/>
    <col width="16.5703125" customWidth="1" style="1" min="14419" max="14419"/>
    <col width="0.7109375" customWidth="1" style="1" min="14420" max="14422"/>
    <col width="9.85546875" bestFit="1" customWidth="1" style="1" min="14423" max="14423"/>
    <col width="9.28515625" customWidth="1" style="1" min="14424" max="14426"/>
    <col width="0.7109375" customWidth="1" style="1" min="14427" max="14639"/>
    <col width="3.42578125" customWidth="1" style="1" min="14640" max="14640"/>
    <col width="2.42578125" customWidth="1" style="1" min="14641" max="14641"/>
    <col width="7" customWidth="1" style="1" min="14642" max="14642"/>
    <col width="0.7109375" customWidth="1" style="1" min="14643" max="14643"/>
    <col width="1.5703125" customWidth="1" style="1" min="14644" max="14644"/>
    <col width="0.7109375" customWidth="1" style="1" min="14645" max="14645"/>
    <col width="11.28515625" customWidth="1" style="1" min="14646" max="14646"/>
    <col width="0.7109375" customWidth="1" style="1" min="14647" max="14647"/>
    <col width="1.5703125" customWidth="1" style="1" min="14648" max="14648"/>
    <col width="0.7109375" customWidth="1" style="1" min="14649" max="14653"/>
    <col width="2.140625" customWidth="1" style="1" min="14654" max="14654"/>
    <col width="0.7109375" customWidth="1" style="1" min="14655" max="14655"/>
    <col width="1.5703125" customWidth="1" style="1" min="14656" max="14656"/>
    <col width="0.7109375" customWidth="1" style="1" min="14657" max="14657"/>
    <col width="7" bestFit="1" customWidth="1" style="1" min="14658" max="14658"/>
    <col width="0.7109375" customWidth="1" style="1" min="14659" max="14659"/>
    <col width="4" customWidth="1" style="1" min="14660" max="14660"/>
    <col width="0.7109375" customWidth="1" style="1" min="14661" max="14661"/>
    <col width="1.5703125" customWidth="1" style="1" min="14662" max="14662"/>
    <col width="0.7109375" customWidth="1" style="1" min="14663" max="14663"/>
    <col width="7" bestFit="1" customWidth="1" style="1" min="14664" max="14664"/>
    <col width="0.7109375" customWidth="1" style="1" min="14665" max="14667"/>
    <col width="2.42578125" customWidth="1" style="1" min="14668" max="14668"/>
    <col width="0.7109375" customWidth="1" style="1" min="14669" max="14674"/>
    <col width="16.5703125" customWidth="1" style="1" min="14675" max="14675"/>
    <col width="0.7109375" customWidth="1" style="1" min="14676" max="14678"/>
    <col width="9.85546875" bestFit="1" customWidth="1" style="1" min="14679" max="14679"/>
    <col width="9.28515625" customWidth="1" style="1" min="14680" max="14682"/>
    <col width="0.7109375" customWidth="1" style="1" min="14683" max="14895"/>
    <col width="3.42578125" customWidth="1" style="1" min="14896" max="14896"/>
    <col width="2.42578125" customWidth="1" style="1" min="14897" max="14897"/>
    <col width="7" customWidth="1" style="1" min="14898" max="14898"/>
    <col width="0.7109375" customWidth="1" style="1" min="14899" max="14899"/>
    <col width="1.5703125" customWidth="1" style="1" min="14900" max="14900"/>
    <col width="0.7109375" customWidth="1" style="1" min="14901" max="14901"/>
    <col width="11.28515625" customWidth="1" style="1" min="14902" max="14902"/>
    <col width="0.7109375" customWidth="1" style="1" min="14903" max="14903"/>
    <col width="1.5703125" customWidth="1" style="1" min="14904" max="14904"/>
    <col width="0.7109375" customWidth="1" style="1" min="14905" max="14909"/>
    <col width="2.140625" customWidth="1" style="1" min="14910" max="14910"/>
    <col width="0.7109375" customWidth="1" style="1" min="14911" max="14911"/>
    <col width="1.5703125" customWidth="1" style="1" min="14912" max="14912"/>
    <col width="0.7109375" customWidth="1" style="1" min="14913" max="14913"/>
    <col width="7" bestFit="1" customWidth="1" style="1" min="14914" max="14914"/>
    <col width="0.7109375" customWidth="1" style="1" min="14915" max="14915"/>
    <col width="4" customWidth="1" style="1" min="14916" max="14916"/>
    <col width="0.7109375" customWidth="1" style="1" min="14917" max="14917"/>
    <col width="1.5703125" customWidth="1" style="1" min="14918" max="14918"/>
    <col width="0.7109375" customWidth="1" style="1" min="14919" max="14919"/>
    <col width="7" bestFit="1" customWidth="1" style="1" min="14920" max="14920"/>
    <col width="0.7109375" customWidth="1" style="1" min="14921" max="14923"/>
    <col width="2.42578125" customWidth="1" style="1" min="14924" max="14924"/>
    <col width="0.7109375" customWidth="1" style="1" min="14925" max="14930"/>
    <col width="16.5703125" customWidth="1" style="1" min="14931" max="14931"/>
    <col width="0.7109375" customWidth="1" style="1" min="14932" max="14934"/>
    <col width="9.85546875" bestFit="1" customWidth="1" style="1" min="14935" max="14935"/>
    <col width="9.28515625" customWidth="1" style="1" min="14936" max="14938"/>
    <col width="0.7109375" customWidth="1" style="1" min="14939" max="15151"/>
    <col width="3.42578125" customWidth="1" style="1" min="15152" max="15152"/>
    <col width="2.42578125" customWidth="1" style="1" min="15153" max="15153"/>
    <col width="7" customWidth="1" style="1" min="15154" max="15154"/>
    <col width="0.7109375" customWidth="1" style="1" min="15155" max="15155"/>
    <col width="1.5703125" customWidth="1" style="1" min="15156" max="15156"/>
    <col width="0.7109375" customWidth="1" style="1" min="15157" max="15157"/>
    <col width="11.28515625" customWidth="1" style="1" min="15158" max="15158"/>
    <col width="0.7109375" customWidth="1" style="1" min="15159" max="15159"/>
    <col width="1.5703125" customWidth="1" style="1" min="15160" max="15160"/>
    <col width="0.7109375" customWidth="1" style="1" min="15161" max="15165"/>
    <col width="2.140625" customWidth="1" style="1" min="15166" max="15166"/>
    <col width="0.7109375" customWidth="1" style="1" min="15167" max="15167"/>
    <col width="1.5703125" customWidth="1" style="1" min="15168" max="15168"/>
    <col width="0.7109375" customWidth="1" style="1" min="15169" max="15169"/>
    <col width="7" bestFit="1" customWidth="1" style="1" min="15170" max="15170"/>
    <col width="0.7109375" customWidth="1" style="1" min="15171" max="15171"/>
    <col width="4" customWidth="1" style="1" min="15172" max="15172"/>
    <col width="0.7109375" customWidth="1" style="1" min="15173" max="15173"/>
    <col width="1.5703125" customWidth="1" style="1" min="15174" max="15174"/>
    <col width="0.7109375" customWidth="1" style="1" min="15175" max="15175"/>
    <col width="7" bestFit="1" customWidth="1" style="1" min="15176" max="15176"/>
    <col width="0.7109375" customWidth="1" style="1" min="15177" max="15179"/>
    <col width="2.42578125" customWidth="1" style="1" min="15180" max="15180"/>
    <col width="0.7109375" customWidth="1" style="1" min="15181" max="15186"/>
    <col width="16.5703125" customWidth="1" style="1" min="15187" max="15187"/>
    <col width="0.7109375" customWidth="1" style="1" min="15188" max="15190"/>
    <col width="9.85546875" bestFit="1" customWidth="1" style="1" min="15191" max="15191"/>
    <col width="9.28515625" customWidth="1" style="1" min="15192" max="15194"/>
    <col width="0.7109375" customWidth="1" style="1" min="15195" max="15407"/>
    <col width="3.42578125" customWidth="1" style="1" min="15408" max="15408"/>
    <col width="2.42578125" customWidth="1" style="1" min="15409" max="15409"/>
    <col width="7" customWidth="1" style="1" min="15410" max="15410"/>
    <col width="0.7109375" customWidth="1" style="1" min="15411" max="15411"/>
    <col width="1.5703125" customWidth="1" style="1" min="15412" max="15412"/>
    <col width="0.7109375" customWidth="1" style="1" min="15413" max="15413"/>
    <col width="11.28515625" customWidth="1" style="1" min="15414" max="15414"/>
    <col width="0.7109375" customWidth="1" style="1" min="15415" max="15415"/>
    <col width="1.5703125" customWidth="1" style="1" min="15416" max="15416"/>
    <col width="0.7109375" customWidth="1" style="1" min="15417" max="15421"/>
    <col width="2.140625" customWidth="1" style="1" min="15422" max="15422"/>
    <col width="0.7109375" customWidth="1" style="1" min="15423" max="15423"/>
    <col width="1.5703125" customWidth="1" style="1" min="15424" max="15424"/>
    <col width="0.7109375" customWidth="1" style="1" min="15425" max="15425"/>
    <col width="7" bestFit="1" customWidth="1" style="1" min="15426" max="15426"/>
    <col width="0.7109375" customWidth="1" style="1" min="15427" max="15427"/>
    <col width="4" customWidth="1" style="1" min="15428" max="15428"/>
    <col width="0.7109375" customWidth="1" style="1" min="15429" max="15429"/>
    <col width="1.5703125" customWidth="1" style="1" min="15430" max="15430"/>
    <col width="0.7109375" customWidth="1" style="1" min="15431" max="15431"/>
    <col width="7" bestFit="1" customWidth="1" style="1" min="15432" max="15432"/>
    <col width="0.7109375" customWidth="1" style="1" min="15433" max="15435"/>
    <col width="2.42578125" customWidth="1" style="1" min="15436" max="15436"/>
    <col width="0.7109375" customWidth="1" style="1" min="15437" max="15442"/>
    <col width="16.5703125" customWidth="1" style="1" min="15443" max="15443"/>
    <col width="0.7109375" customWidth="1" style="1" min="15444" max="15446"/>
    <col width="9.85546875" bestFit="1" customWidth="1" style="1" min="15447" max="15447"/>
    <col width="9.28515625" customWidth="1" style="1" min="15448" max="15450"/>
    <col width="0.7109375" customWidth="1" style="1" min="15451" max="15663"/>
    <col width="3.42578125" customWidth="1" style="1" min="15664" max="15664"/>
    <col width="2.42578125" customWidth="1" style="1" min="15665" max="15665"/>
    <col width="7" customWidth="1" style="1" min="15666" max="15666"/>
    <col width="0.7109375" customWidth="1" style="1" min="15667" max="15667"/>
    <col width="1.5703125" customWidth="1" style="1" min="15668" max="15668"/>
    <col width="0.7109375" customWidth="1" style="1" min="15669" max="15669"/>
    <col width="11.28515625" customWidth="1" style="1" min="15670" max="15670"/>
    <col width="0.7109375" customWidth="1" style="1" min="15671" max="15671"/>
    <col width="1.5703125" customWidth="1" style="1" min="15672" max="15672"/>
    <col width="0.7109375" customWidth="1" style="1" min="15673" max="15677"/>
    <col width="2.140625" customWidth="1" style="1" min="15678" max="15678"/>
    <col width="0.7109375" customWidth="1" style="1" min="15679" max="15679"/>
    <col width="1.5703125" customWidth="1" style="1" min="15680" max="15680"/>
    <col width="0.7109375" customWidth="1" style="1" min="15681" max="15681"/>
    <col width="7" bestFit="1" customWidth="1" style="1" min="15682" max="15682"/>
    <col width="0.7109375" customWidth="1" style="1" min="15683" max="15683"/>
    <col width="4" customWidth="1" style="1" min="15684" max="15684"/>
    <col width="0.7109375" customWidth="1" style="1" min="15685" max="15685"/>
    <col width="1.5703125" customWidth="1" style="1" min="15686" max="15686"/>
    <col width="0.7109375" customWidth="1" style="1" min="15687" max="15687"/>
    <col width="7" bestFit="1" customWidth="1" style="1" min="15688" max="15688"/>
    <col width="0.7109375" customWidth="1" style="1" min="15689" max="15691"/>
    <col width="2.42578125" customWidth="1" style="1" min="15692" max="15692"/>
    <col width="0.7109375" customWidth="1" style="1" min="15693" max="15698"/>
    <col width="16.5703125" customWidth="1" style="1" min="15699" max="15699"/>
    <col width="0.7109375" customWidth="1" style="1" min="15700" max="15702"/>
    <col width="9.85546875" bestFit="1" customWidth="1" style="1" min="15703" max="15703"/>
    <col width="9.28515625" customWidth="1" style="1" min="15704" max="15706"/>
    <col width="0.7109375" customWidth="1" style="1" min="15707" max="15919"/>
    <col width="3.42578125" customWidth="1" style="1" min="15920" max="15920"/>
    <col width="2.42578125" customWidth="1" style="1" min="15921" max="15921"/>
    <col width="7" customWidth="1" style="1" min="15922" max="15922"/>
    <col width="0.7109375" customWidth="1" style="1" min="15923" max="15923"/>
    <col width="1.5703125" customWidth="1" style="1" min="15924" max="15924"/>
    <col width="0.7109375" customWidth="1" style="1" min="15925" max="15925"/>
    <col width="11.28515625" customWidth="1" style="1" min="15926" max="15926"/>
    <col width="0.7109375" customWidth="1" style="1" min="15927" max="15927"/>
    <col width="1.5703125" customWidth="1" style="1" min="15928" max="15928"/>
    <col width="0.7109375" customWidth="1" style="1" min="15929" max="15933"/>
    <col width="2.140625" customWidth="1" style="1" min="15934" max="15934"/>
    <col width="0.7109375" customWidth="1" style="1" min="15935" max="15935"/>
    <col width="1.5703125" customWidth="1" style="1" min="15936" max="15936"/>
    <col width="0.7109375" customWidth="1" style="1" min="15937" max="15937"/>
    <col width="7" bestFit="1" customWidth="1" style="1" min="15938" max="15938"/>
    <col width="0.7109375" customWidth="1" style="1" min="15939" max="15939"/>
    <col width="4" customWidth="1" style="1" min="15940" max="15940"/>
    <col width="0.7109375" customWidth="1" style="1" min="15941" max="15941"/>
    <col width="1.5703125" customWidth="1" style="1" min="15942" max="15942"/>
    <col width="0.7109375" customWidth="1" style="1" min="15943" max="15943"/>
    <col width="7" bestFit="1" customWidth="1" style="1" min="15944" max="15944"/>
    <col width="0.7109375" customWidth="1" style="1" min="15945" max="15947"/>
    <col width="2.42578125" customWidth="1" style="1" min="15948" max="15948"/>
    <col width="0.7109375" customWidth="1" style="1" min="15949" max="15954"/>
    <col width="16.5703125" customWidth="1" style="1" min="15955" max="15955"/>
    <col width="0.7109375" customWidth="1" style="1" min="15956" max="15958"/>
    <col width="9.85546875" bestFit="1" customWidth="1" style="1" min="15959" max="15959"/>
    <col width="9.28515625" customWidth="1" style="1" min="15960" max="15962"/>
    <col width="0.7109375" customWidth="1" style="1" min="15963" max="16175"/>
    <col width="3.42578125" customWidth="1" style="1" min="16176" max="16176"/>
    <col width="2.42578125" customWidth="1" style="1" min="16177" max="16177"/>
    <col width="7" customWidth="1" style="1" min="16178" max="16178"/>
    <col width="0.7109375" customWidth="1" style="1" min="16179" max="16179"/>
    <col width="1.5703125" customWidth="1" style="1" min="16180" max="16180"/>
    <col width="0.7109375" customWidth="1" style="1" min="16181" max="16181"/>
    <col width="11.28515625" customWidth="1" style="1" min="16182" max="16182"/>
    <col width="0.7109375" customWidth="1" style="1" min="16183" max="16183"/>
    <col width="1.5703125" customWidth="1" style="1" min="16184" max="16184"/>
    <col width="0.7109375" customWidth="1" style="1" min="16185" max="16189"/>
    <col width="2.140625" customWidth="1" style="1" min="16190" max="16190"/>
    <col width="0.7109375" customWidth="1" style="1" min="16191" max="16191"/>
    <col width="1.5703125" customWidth="1" style="1" min="16192" max="16192"/>
    <col width="0.7109375" customWidth="1" style="1" min="16193" max="16193"/>
    <col width="7" bestFit="1" customWidth="1" style="1" min="16194" max="16194"/>
    <col width="0.7109375" customWidth="1" style="1" min="16195" max="16195"/>
    <col width="4" customWidth="1" style="1" min="16196" max="16196"/>
    <col width="0.7109375" customWidth="1" style="1" min="16197" max="16197"/>
    <col width="1.5703125" customWidth="1" style="1" min="16198" max="16198"/>
    <col width="0.7109375" customWidth="1" style="1" min="16199" max="16199"/>
    <col width="7" bestFit="1" customWidth="1" style="1" min="16200" max="16200"/>
    <col width="0.7109375" customWidth="1" style="1" min="16201" max="16203"/>
    <col width="2.42578125" customWidth="1" style="1" min="16204" max="16204"/>
    <col width="0.7109375" customWidth="1" style="1" min="16205" max="16210"/>
    <col width="16.5703125" customWidth="1" style="1" min="16211" max="16211"/>
    <col width="0.7109375" customWidth="1" style="1" min="16212" max="16214"/>
    <col width="9.85546875" bestFit="1" customWidth="1" style="1" min="16215" max="16215"/>
    <col width="9.28515625" customWidth="1" style="1" min="16216" max="16218"/>
    <col width="0.7109375" customWidth="1" style="1" min="16219" max="16384"/>
  </cols>
  <sheetData>
    <row r="1" ht="14.25" customHeight="1" thickBot="1"/>
    <row r="2" ht="18" customHeight="1" thickBot="1">
      <c r="C2" s="519">
        <f>DADOS!$B$2</f>
        <v/>
      </c>
      <c r="D2" s="437" t="n"/>
      <c r="E2" s="437" t="n"/>
      <c r="F2" s="437" t="n"/>
      <c r="G2" s="437" t="n"/>
      <c r="H2" s="437" t="n"/>
      <c r="I2" s="437" t="n"/>
      <c r="J2" s="437" t="n"/>
      <c r="K2" s="437" t="n"/>
      <c r="L2" s="437" t="n"/>
      <c r="M2" s="437" t="n"/>
      <c r="N2" s="437" t="n"/>
      <c r="O2" s="437" t="n"/>
      <c r="P2" s="437" t="n"/>
      <c r="Q2" s="437" t="n"/>
      <c r="R2" s="437" t="n"/>
      <c r="S2" s="437" t="n"/>
      <c r="T2" s="437" t="n"/>
      <c r="U2" s="437" t="n"/>
      <c r="V2" s="437" t="n"/>
      <c r="W2" s="437" t="n"/>
      <c r="X2" s="437" t="n"/>
      <c r="Y2" s="437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437" t="n"/>
      <c r="AL2" s="437" t="n"/>
      <c r="AM2" s="437" t="n"/>
      <c r="AN2" s="437" t="n"/>
      <c r="AO2" s="437" t="n"/>
      <c r="AP2" s="437" t="n"/>
      <c r="AQ2" s="437" t="n"/>
      <c r="AR2" s="437" t="n"/>
      <c r="AS2" s="437" t="n"/>
      <c r="AT2" s="437" t="n"/>
      <c r="AU2" s="437" t="n"/>
      <c r="AV2" s="437" t="n"/>
      <c r="AW2" s="437" t="n"/>
      <c r="AX2" s="437" t="n"/>
      <c r="AY2" s="437" t="n"/>
      <c r="AZ2" s="437" t="n"/>
      <c r="BA2" s="437" t="n"/>
      <c r="BB2" s="437" t="n"/>
      <c r="BC2" s="437" t="n"/>
      <c r="BD2" s="437" t="n"/>
      <c r="BE2" s="437" t="n"/>
      <c r="BF2" s="437" t="n"/>
      <c r="BG2" s="437" t="n"/>
      <c r="BH2" s="437" t="n"/>
      <c r="BI2" s="437" t="n"/>
      <c r="BJ2" s="437" t="n"/>
      <c r="BK2" s="437" t="n"/>
      <c r="BL2" s="437" t="n"/>
      <c r="BM2" s="437" t="n"/>
      <c r="BN2" s="437" t="n"/>
      <c r="BO2" s="437" t="n"/>
      <c r="BP2" s="437" t="n"/>
      <c r="BQ2" s="437" t="n"/>
      <c r="BR2" s="437" t="n"/>
      <c r="BS2" s="437" t="n"/>
      <c r="BT2" s="437" t="n"/>
      <c r="BU2" s="437" t="n"/>
      <c r="BV2" s="437" t="n"/>
      <c r="BW2" s="437" t="n"/>
      <c r="BX2" s="437" t="n"/>
      <c r="BY2" s="437" t="n"/>
      <c r="BZ2" s="437" t="n"/>
      <c r="CA2" s="437" t="n"/>
      <c r="CB2" s="438" t="n"/>
    </row>
    <row r="3" ht="9.75" customHeight="1" thickBot="1"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</row>
    <row r="4" ht="17.25" customHeight="1" thickBot="1">
      <c r="C4" s="51" t="inlineStr">
        <is>
          <t xml:space="preserve">Data da pactuação: </t>
        </is>
      </c>
      <c r="D4" s="520">
        <f>DADOS!$B$3</f>
        <v/>
      </c>
      <c r="E4" s="437" t="n"/>
      <c r="F4" s="437" t="n"/>
      <c r="G4" s="437" t="n"/>
      <c r="H4" s="437" t="n"/>
      <c r="I4" s="437" t="n"/>
      <c r="J4" s="437" t="n"/>
      <c r="K4" s="437" t="n"/>
      <c r="L4" s="440" t="n"/>
    </row>
    <row r="5" ht="17.25" customHeight="1" thickBot="1">
      <c r="C5" s="51" t="inlineStr">
        <is>
          <t>Data do cálculo:</t>
        </is>
      </c>
      <c r="D5" s="520">
        <f>TODAY()</f>
        <v/>
      </c>
      <c r="E5" s="437" t="n"/>
      <c r="F5" s="437" t="n"/>
      <c r="G5" s="437" t="n"/>
      <c r="H5" s="437" t="n"/>
      <c r="I5" s="437" t="n"/>
      <c r="J5" s="437" t="n"/>
      <c r="K5" s="437" t="n"/>
      <c r="L5" s="440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</row>
    <row r="6" ht="7.5" customHeight="1" thickBot="1">
      <c r="C6" s="521" t="inlineStr">
        <is>
          <t>Data do 1º vencimento:</t>
        </is>
      </c>
      <c r="D6" s="522">
        <f>DADOS!$B$4</f>
        <v/>
      </c>
    </row>
    <row r="7" ht="15" customHeight="1" thickBot="1">
      <c r="C7" s="263" t="inlineStr">
        <is>
          <t>DADOS DO CONTRATO</t>
        </is>
      </c>
      <c r="D7" s="441" t="n"/>
      <c r="E7" s="441" t="n"/>
      <c r="F7" s="441" t="n"/>
      <c r="G7" s="441" t="n"/>
      <c r="H7" s="441" t="n"/>
      <c r="I7" s="441" t="n"/>
      <c r="J7" s="441" t="n"/>
      <c r="K7" s="441" t="n"/>
      <c r="L7" s="441" t="n"/>
      <c r="M7" s="441" t="n"/>
      <c r="N7" s="441" t="n"/>
      <c r="O7" s="441" t="n"/>
      <c r="P7" s="441" t="n"/>
      <c r="Q7" s="441" t="n"/>
      <c r="R7" s="441" t="n"/>
      <c r="S7" s="441" t="n"/>
      <c r="T7" s="441" t="n"/>
      <c r="U7" s="441" t="n"/>
      <c r="V7" s="441" t="n"/>
      <c r="W7" s="441" t="n"/>
      <c r="X7" s="441" t="n"/>
      <c r="Y7" s="442" t="n"/>
      <c r="AD7" s="266" t="inlineStr">
        <is>
          <t>VALORES RECALCULADOS</t>
        </is>
      </c>
      <c r="AE7" s="437" t="n"/>
      <c r="AF7" s="437" t="n"/>
      <c r="AG7" s="437" t="n"/>
      <c r="AH7" s="437" t="n"/>
      <c r="AI7" s="437" t="n"/>
      <c r="AJ7" s="437" t="n"/>
      <c r="AK7" s="437" t="n"/>
      <c r="AL7" s="437" t="n"/>
      <c r="AM7" s="437" t="n"/>
      <c r="AN7" s="437" t="n"/>
      <c r="AO7" s="437" t="n"/>
      <c r="AP7" s="437" t="n"/>
      <c r="AQ7" s="437" t="n"/>
      <c r="AR7" s="437" t="n"/>
      <c r="AS7" s="437" t="n"/>
      <c r="AT7" s="437" t="n"/>
      <c r="AU7" s="437" t="n"/>
      <c r="AV7" s="437" t="n"/>
      <c r="AW7" s="437" t="n"/>
      <c r="AX7" s="437" t="n"/>
      <c r="AY7" s="437" t="n"/>
      <c r="AZ7" s="440" t="n"/>
      <c r="BE7" s="523" t="inlineStr">
        <is>
          <t>SALDO RECALCULADO DESCONTANDO AS PARCELAS PAGAS</t>
        </is>
      </c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41" t="n"/>
      <c r="BQ7" s="441" t="n"/>
      <c r="BR7" s="441" t="n"/>
      <c r="BS7" s="441" t="n"/>
      <c r="BT7" s="441" t="n"/>
      <c r="BU7" s="441" t="n"/>
      <c r="BV7" s="441" t="n"/>
      <c r="BW7" s="441" t="n"/>
      <c r="BX7" s="441" t="n"/>
      <c r="BY7" s="441" t="n"/>
      <c r="BZ7" s="441" t="n"/>
      <c r="CA7" s="441" t="n"/>
      <c r="CB7" s="444" t="n"/>
    </row>
    <row r="8" ht="15" customFormat="1" customHeight="1" s="33">
      <c r="C8" s="278" t="inlineStr">
        <is>
          <t>Valor principal financiado =</t>
        </is>
      </c>
      <c r="D8" s="445" t="n"/>
      <c r="E8" s="445" t="n"/>
      <c r="F8" s="445" t="n"/>
      <c r="G8" s="445" t="n"/>
      <c r="H8" s="446" t="n"/>
      <c r="I8" s="524">
        <f>DADOS!$B$6</f>
        <v/>
      </c>
      <c r="J8" s="445" t="n"/>
      <c r="K8" s="445" t="n"/>
      <c r="L8" s="445" t="n"/>
      <c r="M8" s="445" t="n"/>
      <c r="N8" s="445" t="n"/>
      <c r="O8" s="445" t="n"/>
      <c r="P8" s="445" t="n"/>
      <c r="Q8" s="445" t="n"/>
      <c r="R8" s="445" t="n"/>
      <c r="S8" s="445" t="n"/>
      <c r="T8" s="445" t="n"/>
      <c r="U8" s="445" t="n"/>
      <c r="V8" s="445" t="n"/>
      <c r="W8" s="445" t="n"/>
      <c r="X8" s="445" t="n"/>
      <c r="Y8" s="446" t="n"/>
      <c r="AD8" s="282" t="inlineStr">
        <is>
          <t>Valor principal financiado =</t>
        </is>
      </c>
      <c r="AE8" s="448" t="n"/>
      <c r="AF8" s="448" t="n"/>
      <c r="AG8" s="448" t="n"/>
      <c r="AH8" s="448" t="n"/>
      <c r="AI8" s="448" t="n"/>
      <c r="AJ8" s="448" t="n"/>
      <c r="AK8" s="448" t="n"/>
      <c r="AL8" s="448" t="n"/>
      <c r="AM8" s="448" t="n"/>
      <c r="AN8" s="448" t="n"/>
      <c r="AO8" s="449" t="n"/>
      <c r="AP8" s="525">
        <f>I8</f>
        <v/>
      </c>
      <c r="AQ8" s="448" t="n"/>
      <c r="AR8" s="448" t="n"/>
      <c r="AS8" s="448" t="n"/>
      <c r="AT8" s="448" t="n"/>
      <c r="AU8" s="448" t="n"/>
      <c r="AV8" s="448" t="n"/>
      <c r="AW8" s="448" t="n"/>
      <c r="AX8" s="448" t="n"/>
      <c r="AY8" s="448" t="n"/>
      <c r="AZ8" s="449" t="n"/>
      <c r="BE8" s="278" t="inlineStr">
        <is>
          <t xml:space="preserve">Saldo devedor total do contrato = </t>
        </is>
      </c>
      <c r="BF8" s="445" t="n"/>
      <c r="BG8" s="445" t="n"/>
      <c r="BH8" s="445" t="n"/>
      <c r="BI8" s="445" t="n"/>
      <c r="BJ8" s="445" t="n"/>
      <c r="BK8" s="446" t="n"/>
      <c r="BL8" s="526">
        <f>AP18</f>
        <v/>
      </c>
      <c r="BM8" s="445" t="n"/>
      <c r="BN8" s="445" t="n"/>
      <c r="BO8" s="445" t="n"/>
      <c r="BP8" s="445" t="n"/>
      <c r="BQ8" s="445" t="n"/>
      <c r="BR8" s="445" t="n"/>
      <c r="BS8" s="445" t="n"/>
      <c r="BT8" s="445" t="n"/>
      <c r="BU8" s="445" t="n"/>
      <c r="BV8" s="445" t="n"/>
      <c r="BW8" s="445" t="n"/>
      <c r="BX8" s="445" t="n"/>
      <c r="BY8" s="445" t="n"/>
      <c r="BZ8" s="445" t="n"/>
      <c r="CA8" s="445" t="n"/>
      <c r="CB8" s="446" t="n"/>
      <c r="CE8" s="452" t="n"/>
      <c r="CI8" s="35" t="n"/>
      <c r="CK8" s="452" t="n"/>
      <c r="CL8" s="35" t="n"/>
    </row>
    <row r="9" ht="15" customFormat="1" customHeight="1" s="33">
      <c r="C9" s="272" t="inlineStr">
        <is>
          <t xml:space="preserve">Seguros = </t>
        </is>
      </c>
      <c r="D9" s="453" t="n"/>
      <c r="E9" s="453" t="n"/>
      <c r="F9" s="453" t="n"/>
      <c r="G9" s="453" t="n"/>
      <c r="H9" s="454" t="n"/>
      <c r="I9" s="527" t="n"/>
      <c r="J9" s="453" t="n"/>
      <c r="K9" s="453" t="n"/>
      <c r="L9" s="453" t="n"/>
      <c r="M9" s="453" t="n"/>
      <c r="N9" s="453" t="n"/>
      <c r="O9" s="453" t="n"/>
      <c r="P9" s="453" t="n"/>
      <c r="Q9" s="453" t="n"/>
      <c r="R9" s="453" t="n"/>
      <c r="S9" s="453" t="n"/>
      <c r="T9" s="453" t="n"/>
      <c r="U9" s="453" t="n"/>
      <c r="V9" s="453" t="n"/>
      <c r="W9" s="453" t="n"/>
      <c r="X9" s="453" t="n"/>
      <c r="Y9" s="454" t="n"/>
      <c r="AD9" s="272" t="inlineStr">
        <is>
          <t xml:space="preserve">Seguros = </t>
        </is>
      </c>
      <c r="AE9" s="453" t="n"/>
      <c r="AF9" s="453" t="n"/>
      <c r="AG9" s="453" t="n"/>
      <c r="AH9" s="453" t="n"/>
      <c r="AI9" s="453" t="n"/>
      <c r="AJ9" s="453" t="n"/>
      <c r="AK9" s="453" t="n"/>
      <c r="AL9" s="453" t="n"/>
      <c r="AM9" s="453" t="n"/>
      <c r="AN9" s="453" t="n"/>
      <c r="AO9" s="454" t="n"/>
      <c r="AP9" s="527" t="n">
        <v>0</v>
      </c>
      <c r="AQ9" s="453" t="n"/>
      <c r="AR9" s="453" t="n"/>
      <c r="AS9" s="453" t="n"/>
      <c r="AT9" s="453" t="n"/>
      <c r="AU9" s="453" t="n"/>
      <c r="AV9" s="453" t="n"/>
      <c r="AW9" s="453" t="n"/>
      <c r="AX9" s="453" t="n"/>
      <c r="AY9" s="453" t="n"/>
      <c r="AZ9" s="454" t="n"/>
      <c r="BE9" s="272" t="inlineStr">
        <is>
          <t>Quantidade de parcelas pagas=</t>
        </is>
      </c>
      <c r="BF9" s="453" t="n"/>
      <c r="BG9" s="453" t="n"/>
      <c r="BH9" s="453" t="n"/>
      <c r="BI9" s="453" t="n"/>
      <c r="BJ9" s="453" t="n"/>
      <c r="BK9" s="454" t="n"/>
      <c r="BL9" s="276">
        <f>DADOS!$B$13</f>
        <v/>
      </c>
      <c r="BM9" s="453" t="n"/>
      <c r="BN9" s="453" t="n"/>
      <c r="BO9" s="453" t="n"/>
      <c r="BP9" s="453" t="n"/>
      <c r="BQ9" s="453" t="n"/>
      <c r="BR9" s="453" t="n"/>
      <c r="BS9" s="453" t="n"/>
      <c r="BT9" s="453" t="n"/>
      <c r="BU9" s="453" t="n"/>
      <c r="BV9" s="453" t="n"/>
      <c r="BW9" s="453" t="n"/>
      <c r="BX9" s="453" t="n"/>
      <c r="BY9" s="453" t="n"/>
      <c r="BZ9" s="453" t="n"/>
      <c r="CA9" s="453" t="n"/>
      <c r="CB9" s="454" t="n"/>
      <c r="CE9" s="452" t="n"/>
      <c r="CI9" s="35" t="n"/>
      <c r="CK9" s="452" t="n"/>
      <c r="CL9" s="35" t="n"/>
    </row>
    <row r="10" ht="15" customFormat="1" customHeight="1" s="33">
      <c r="C10" s="272" t="inlineStr">
        <is>
          <t xml:space="preserve">TAC = </t>
        </is>
      </c>
      <c r="D10" s="453" t="n"/>
      <c r="E10" s="453" t="n"/>
      <c r="F10" s="453" t="n"/>
      <c r="G10" s="453" t="n"/>
      <c r="H10" s="454" t="n"/>
      <c r="I10" s="527">
        <f>DADOS!$B$7</f>
        <v/>
      </c>
      <c r="J10" s="453" t="n"/>
      <c r="K10" s="453" t="n"/>
      <c r="L10" s="453" t="n"/>
      <c r="M10" s="453" t="n"/>
      <c r="N10" s="453" t="n"/>
      <c r="O10" s="453" t="n"/>
      <c r="P10" s="453" t="n"/>
      <c r="Q10" s="453" t="n"/>
      <c r="R10" s="453" t="n"/>
      <c r="S10" s="453" t="n"/>
      <c r="T10" s="453" t="n"/>
      <c r="U10" s="453" t="n"/>
      <c r="V10" s="453" t="n"/>
      <c r="W10" s="453" t="n"/>
      <c r="X10" s="453" t="n"/>
      <c r="Y10" s="454" t="n"/>
      <c r="AD10" s="272" t="inlineStr">
        <is>
          <t xml:space="preserve">TAC = </t>
        </is>
      </c>
      <c r="AE10" s="453" t="n"/>
      <c r="AF10" s="453" t="n"/>
      <c r="AG10" s="453" t="n"/>
      <c r="AH10" s="453" t="n"/>
      <c r="AI10" s="453" t="n"/>
      <c r="AJ10" s="453" t="n"/>
      <c r="AK10" s="453" t="n"/>
      <c r="AL10" s="453" t="n"/>
      <c r="AM10" s="453" t="n"/>
      <c r="AN10" s="453" t="n"/>
      <c r="AO10" s="454" t="n"/>
      <c r="AP10" s="527" t="n">
        <v>0</v>
      </c>
      <c r="AQ10" s="453" t="n"/>
      <c r="AR10" s="453" t="n"/>
      <c r="AS10" s="453" t="n"/>
      <c r="AT10" s="453" t="n"/>
      <c r="AU10" s="453" t="n"/>
      <c r="AV10" s="453" t="n"/>
      <c r="AW10" s="453" t="n"/>
      <c r="AX10" s="453" t="n"/>
      <c r="AY10" s="453" t="n"/>
      <c r="AZ10" s="454" t="n"/>
      <c r="BE10" s="272" t="inlineStr">
        <is>
          <t xml:space="preserve">Valor da parcela paga = </t>
        </is>
      </c>
      <c r="BF10" s="453" t="n"/>
      <c r="BG10" s="453" t="n"/>
      <c r="BH10" s="453" t="n"/>
      <c r="BI10" s="453" t="n"/>
      <c r="BJ10" s="453" t="n"/>
      <c r="BK10" s="454" t="n"/>
      <c r="BL10" s="528">
        <f>I17</f>
        <v/>
      </c>
      <c r="BM10" s="453" t="n"/>
      <c r="BN10" s="453" t="n"/>
      <c r="BO10" s="453" t="n"/>
      <c r="BP10" s="453" t="n"/>
      <c r="BQ10" s="453" t="n"/>
      <c r="BR10" s="453" t="n"/>
      <c r="BS10" s="453" t="n"/>
      <c r="BT10" s="453" t="n"/>
      <c r="BU10" s="453" t="n"/>
      <c r="BV10" s="453" t="n"/>
      <c r="BW10" s="453" t="n"/>
      <c r="BX10" s="453" t="n"/>
      <c r="BY10" s="453" t="n"/>
      <c r="BZ10" s="453" t="n"/>
      <c r="CA10" s="453" t="n"/>
      <c r="CB10" s="454" t="n"/>
      <c r="CE10" s="452" t="n"/>
      <c r="CI10" s="35" t="n"/>
      <c r="CK10" s="452" t="n"/>
      <c r="CL10" s="35" t="n"/>
    </row>
    <row r="11" ht="15" customFormat="1" customHeight="1" s="33">
      <c r="C11" s="272" t="inlineStr">
        <is>
          <t xml:space="preserve">Registro = </t>
        </is>
      </c>
      <c r="D11" s="453" t="n"/>
      <c r="E11" s="453" t="n"/>
      <c r="F11" s="453" t="n"/>
      <c r="G11" s="453" t="n"/>
      <c r="H11" s="454" t="n"/>
      <c r="I11" s="527" t="n"/>
      <c r="J11" s="453" t="n"/>
      <c r="K11" s="453" t="n"/>
      <c r="L11" s="453" t="n"/>
      <c r="M11" s="453" t="n"/>
      <c r="N11" s="453" t="n"/>
      <c r="O11" s="453" t="n"/>
      <c r="P11" s="453" t="n"/>
      <c r="Q11" s="453" t="n"/>
      <c r="R11" s="453" t="n"/>
      <c r="S11" s="453" t="n"/>
      <c r="T11" s="453" t="n"/>
      <c r="U11" s="453" t="n"/>
      <c r="V11" s="453" t="n"/>
      <c r="W11" s="453" t="n"/>
      <c r="X11" s="453" t="n"/>
      <c r="Y11" s="454" t="n"/>
      <c r="AD11" s="272" t="inlineStr">
        <is>
          <t xml:space="preserve">Registro = </t>
        </is>
      </c>
      <c r="AE11" s="453" t="n"/>
      <c r="AF11" s="453" t="n"/>
      <c r="AG11" s="453" t="n"/>
      <c r="AH11" s="453" t="n"/>
      <c r="AI11" s="453" t="n"/>
      <c r="AJ11" s="453" t="n"/>
      <c r="AK11" s="453" t="n"/>
      <c r="AL11" s="453" t="n"/>
      <c r="AM11" s="453" t="n"/>
      <c r="AN11" s="453" t="n"/>
      <c r="AO11" s="454" t="n"/>
      <c r="AP11" s="527" t="n">
        <v>0</v>
      </c>
      <c r="AQ11" s="453" t="n"/>
      <c r="AR11" s="453" t="n"/>
      <c r="AS11" s="453" t="n"/>
      <c r="AT11" s="453" t="n"/>
      <c r="AU11" s="453" t="n"/>
      <c r="AV11" s="453" t="n"/>
      <c r="AW11" s="453" t="n"/>
      <c r="AX11" s="453" t="n"/>
      <c r="AY11" s="453" t="n"/>
      <c r="AZ11" s="454" t="n"/>
      <c r="BE11" s="272" t="inlineStr">
        <is>
          <t xml:space="preserve">Valor total pago pelo cliente = </t>
        </is>
      </c>
      <c r="BF11" s="453" t="n"/>
      <c r="BG11" s="453" t="n"/>
      <c r="BH11" s="453" t="n"/>
      <c r="BI11" s="453" t="n"/>
      <c r="BJ11" s="453" t="n"/>
      <c r="BK11" s="454" t="n"/>
      <c r="BL11" s="527">
        <f>BL9*BL10</f>
        <v/>
      </c>
      <c r="BM11" s="453" t="n"/>
      <c r="BN11" s="453" t="n"/>
      <c r="BO11" s="453" t="n"/>
      <c r="BP11" s="453" t="n"/>
      <c r="BQ11" s="453" t="n"/>
      <c r="BR11" s="453" t="n"/>
      <c r="BS11" s="453" t="n"/>
      <c r="BT11" s="453" t="n"/>
      <c r="BU11" s="453" t="n"/>
      <c r="BV11" s="453" t="n"/>
      <c r="BW11" s="453" t="n"/>
      <c r="BX11" s="453" t="n"/>
      <c r="BY11" s="453" t="n"/>
      <c r="BZ11" s="453" t="n"/>
      <c r="CA11" s="453" t="n"/>
      <c r="CB11" s="454" t="n"/>
      <c r="CE11" s="457" t="n"/>
      <c r="CI11" s="452" t="n"/>
      <c r="CJ11" s="458" t="n"/>
      <c r="CK11" s="457" t="n"/>
      <c r="CL11" s="35" t="n"/>
    </row>
    <row r="12" ht="15" customFormat="1" customHeight="1" s="33">
      <c r="C12" s="272" t="inlineStr">
        <is>
          <t xml:space="preserve">Avaliação = </t>
        </is>
      </c>
      <c r="D12" s="453" t="n"/>
      <c r="E12" s="453" t="n"/>
      <c r="F12" s="453" t="n"/>
      <c r="G12" s="453" t="n"/>
      <c r="H12" s="454" t="n"/>
      <c r="I12" s="527" t="n"/>
      <c r="J12" s="453" t="n"/>
      <c r="K12" s="453" t="n"/>
      <c r="L12" s="453" t="n"/>
      <c r="M12" s="453" t="n"/>
      <c r="N12" s="453" t="n"/>
      <c r="O12" s="453" t="n"/>
      <c r="P12" s="453" t="n"/>
      <c r="Q12" s="453" t="n"/>
      <c r="R12" s="453" t="n"/>
      <c r="S12" s="453" t="n"/>
      <c r="T12" s="453" t="n"/>
      <c r="U12" s="453" t="n"/>
      <c r="V12" s="453" t="n"/>
      <c r="W12" s="453" t="n"/>
      <c r="X12" s="453" t="n"/>
      <c r="Y12" s="454" t="n"/>
      <c r="AD12" s="272" t="inlineStr">
        <is>
          <t xml:space="preserve">Avaliação = </t>
        </is>
      </c>
      <c r="AE12" s="453" t="n"/>
      <c r="AF12" s="453" t="n"/>
      <c r="AG12" s="453" t="n"/>
      <c r="AH12" s="453" t="n"/>
      <c r="AI12" s="453" t="n"/>
      <c r="AJ12" s="453" t="n"/>
      <c r="AK12" s="453" t="n"/>
      <c r="AL12" s="453" t="n"/>
      <c r="AM12" s="453" t="n"/>
      <c r="AN12" s="453" t="n"/>
      <c r="AO12" s="454" t="n"/>
      <c r="AP12" s="527" t="n">
        <v>0</v>
      </c>
      <c r="AQ12" s="453" t="n"/>
      <c r="AR12" s="453" t="n"/>
      <c r="AS12" s="453" t="n"/>
      <c r="AT12" s="453" t="n"/>
      <c r="AU12" s="453" t="n"/>
      <c r="AV12" s="453" t="n"/>
      <c r="AW12" s="453" t="n"/>
      <c r="AX12" s="453" t="n"/>
      <c r="AY12" s="453" t="n"/>
      <c r="AZ12" s="454" t="n"/>
      <c r="BE12" s="272" t="inlineStr">
        <is>
          <t xml:space="preserve">Saldo devedor atualizado = </t>
        </is>
      </c>
      <c r="BF12" s="453" t="n"/>
      <c r="BG12" s="453" t="n"/>
      <c r="BH12" s="453" t="n"/>
      <c r="BI12" s="453" t="n"/>
      <c r="BJ12" s="453" t="n"/>
      <c r="BK12" s="454" t="n"/>
      <c r="BL12" s="527">
        <f>BL8-BL11</f>
        <v/>
      </c>
      <c r="BM12" s="453" t="n"/>
      <c r="BN12" s="453" t="n"/>
      <c r="BO12" s="453" t="n"/>
      <c r="BP12" s="453" t="n"/>
      <c r="BQ12" s="453" t="n"/>
      <c r="BR12" s="453" t="n"/>
      <c r="BS12" s="453" t="n"/>
      <c r="BT12" s="453" t="n"/>
      <c r="BU12" s="453" t="n"/>
      <c r="BV12" s="453" t="n"/>
      <c r="BW12" s="453" t="n"/>
      <c r="BX12" s="453" t="n"/>
      <c r="BY12" s="453" t="n"/>
      <c r="BZ12" s="453" t="n"/>
      <c r="CA12" s="453" t="n"/>
      <c r="CB12" s="454" t="n"/>
      <c r="CC12" s="529" t="n"/>
      <c r="CE12" s="457" t="n"/>
      <c r="CI12" s="452" t="n"/>
      <c r="CJ12" s="458" t="n"/>
      <c r="CK12" s="457" t="n"/>
      <c r="CL12" s="35" t="n"/>
    </row>
    <row r="13" ht="15" customFormat="1" customHeight="1" s="33">
      <c r="C13" s="272" t="inlineStr">
        <is>
          <t xml:space="preserve">Outros = </t>
        </is>
      </c>
      <c r="D13" s="453" t="n"/>
      <c r="E13" s="453" t="n"/>
      <c r="F13" s="453" t="n"/>
      <c r="G13" s="453" t="n"/>
      <c r="H13" s="454" t="n"/>
      <c r="I13" s="527" t="n"/>
      <c r="J13" s="453" t="n"/>
      <c r="K13" s="453" t="n"/>
      <c r="L13" s="453" t="n"/>
      <c r="M13" s="453" t="n"/>
      <c r="N13" s="453" t="n"/>
      <c r="O13" s="453" t="n"/>
      <c r="P13" s="453" t="n"/>
      <c r="Q13" s="453" t="n"/>
      <c r="R13" s="453" t="n"/>
      <c r="S13" s="453" t="n"/>
      <c r="T13" s="453" t="n"/>
      <c r="U13" s="453" t="n"/>
      <c r="V13" s="453" t="n"/>
      <c r="W13" s="453" t="n"/>
      <c r="X13" s="453" t="n"/>
      <c r="Y13" s="454" t="n"/>
      <c r="AD13" s="272" t="inlineStr">
        <is>
          <t xml:space="preserve">Outros = </t>
        </is>
      </c>
      <c r="AE13" s="453" t="n"/>
      <c r="AF13" s="453" t="n"/>
      <c r="AG13" s="453" t="n"/>
      <c r="AH13" s="453" t="n"/>
      <c r="AI13" s="453" t="n"/>
      <c r="AJ13" s="453" t="n"/>
      <c r="AK13" s="453" t="n"/>
      <c r="AL13" s="453" t="n"/>
      <c r="AM13" s="453" t="n"/>
      <c r="AN13" s="453" t="n"/>
      <c r="AO13" s="454" t="n"/>
      <c r="AP13" s="527" t="n">
        <v>0</v>
      </c>
      <c r="AQ13" s="453" t="n"/>
      <c r="AR13" s="453" t="n"/>
      <c r="AS13" s="453" t="n"/>
      <c r="AT13" s="453" t="n"/>
      <c r="AU13" s="453" t="n"/>
      <c r="AV13" s="453" t="n"/>
      <c r="AW13" s="453" t="n"/>
      <c r="AX13" s="453" t="n"/>
      <c r="AY13" s="453" t="n"/>
      <c r="AZ13" s="454" t="n"/>
      <c r="BE13" s="272" t="inlineStr">
        <is>
          <t xml:space="preserve">Quantidade de parcelas a vencer = </t>
        </is>
      </c>
      <c r="BF13" s="453" t="n"/>
      <c r="BG13" s="453" t="n"/>
      <c r="BH13" s="453" t="n"/>
      <c r="BI13" s="453" t="n"/>
      <c r="BJ13" s="453" t="n"/>
      <c r="BK13" s="454" t="n"/>
      <c r="BL13" s="290">
        <f>I16-BL9</f>
        <v/>
      </c>
      <c r="BM13" s="453" t="n"/>
      <c r="BN13" s="453" t="n"/>
      <c r="BO13" s="453" t="n"/>
      <c r="BP13" s="453" t="n"/>
      <c r="BQ13" s="453" t="n"/>
      <c r="BR13" s="453" t="n"/>
      <c r="BS13" s="453" t="n"/>
      <c r="BT13" s="453" t="n"/>
      <c r="BU13" s="453" t="n"/>
      <c r="BV13" s="453" t="n"/>
      <c r="BW13" s="453" t="n"/>
      <c r="BX13" s="453" t="n"/>
      <c r="BY13" s="453" t="n"/>
      <c r="BZ13" s="453" t="n"/>
      <c r="CA13" s="453" t="n"/>
      <c r="CB13" s="454" t="n"/>
      <c r="CE13" s="457" t="n"/>
      <c r="CI13" s="452" t="n"/>
      <c r="CJ13" s="458" t="n"/>
      <c r="CK13" s="457" t="n"/>
      <c r="CL13" s="35" t="n"/>
    </row>
    <row r="14" ht="15" customFormat="1" customHeight="1" s="33">
      <c r="C14" s="272" t="inlineStr">
        <is>
          <t xml:space="preserve">IOF =  </t>
        </is>
      </c>
      <c r="D14" s="453" t="n"/>
      <c r="E14" s="453" t="n"/>
      <c r="F14" s="453" t="n"/>
      <c r="G14" s="453" t="n"/>
      <c r="H14" s="454" t="n"/>
      <c r="I14" s="530">
        <f>DADOS!$B$8</f>
        <v/>
      </c>
      <c r="J14" s="453" t="n"/>
      <c r="K14" s="453" t="n"/>
      <c r="L14" s="453" t="n"/>
      <c r="M14" s="453" t="n"/>
      <c r="N14" s="453" t="n"/>
      <c r="O14" s="453" t="n"/>
      <c r="P14" s="453" t="n"/>
      <c r="Q14" s="453" t="n"/>
      <c r="R14" s="453" t="n"/>
      <c r="S14" s="453" t="n"/>
      <c r="T14" s="453" t="n"/>
      <c r="U14" s="453" t="n"/>
      <c r="V14" s="453" t="n"/>
      <c r="W14" s="453" t="n"/>
      <c r="X14" s="453" t="n"/>
      <c r="Y14" s="461" t="n"/>
      <c r="AD14" s="272" t="inlineStr">
        <is>
          <t xml:space="preserve">IOF = </t>
        </is>
      </c>
      <c r="AE14" s="453" t="n"/>
      <c r="AF14" s="453" t="n"/>
      <c r="AG14" s="453" t="n"/>
      <c r="AH14" s="453" t="n"/>
      <c r="AI14" s="453" t="n"/>
      <c r="AJ14" s="453" t="n"/>
      <c r="AK14" s="453" t="n"/>
      <c r="AL14" s="453" t="n"/>
      <c r="AM14" s="453" t="n"/>
      <c r="AN14" s="453" t="n"/>
      <c r="AO14" s="454" t="n"/>
      <c r="AP14" s="530">
        <f>I14</f>
        <v/>
      </c>
      <c r="AQ14" s="453" t="n"/>
      <c r="AR14" s="453" t="n"/>
      <c r="AS14" s="453" t="n"/>
      <c r="AT14" s="453" t="n"/>
      <c r="AU14" s="453" t="n"/>
      <c r="AV14" s="453" t="n"/>
      <c r="AW14" s="453" t="n"/>
      <c r="AX14" s="453" t="n"/>
      <c r="AY14" s="453" t="n"/>
      <c r="AZ14" s="461" t="n"/>
      <c r="BE14" s="324" t="inlineStr">
        <is>
          <t xml:space="preserve">Valor da parcela atual = </t>
        </is>
      </c>
      <c r="BF14" s="462" t="n"/>
      <c r="BG14" s="462" t="n"/>
      <c r="BH14" s="462" t="n"/>
      <c r="BI14" s="462" t="n"/>
      <c r="BJ14" s="462" t="n"/>
      <c r="BK14" s="463" t="n"/>
      <c r="BL14" s="531">
        <f>BL12/BL13</f>
        <v/>
      </c>
      <c r="BM14" s="462" t="n"/>
      <c r="BN14" s="462" t="n"/>
      <c r="BO14" s="462" t="n"/>
      <c r="BP14" s="462" t="n"/>
      <c r="BQ14" s="462" t="n"/>
      <c r="BR14" s="462" t="n"/>
      <c r="BS14" s="462" t="n"/>
      <c r="BT14" s="462" t="n"/>
      <c r="BU14" s="462" t="n"/>
      <c r="BV14" s="462" t="n"/>
      <c r="BW14" s="462" t="n"/>
      <c r="BX14" s="462" t="n"/>
      <c r="BY14" s="462" t="n"/>
      <c r="BZ14" s="462" t="n"/>
      <c r="CA14" s="462" t="n"/>
      <c r="CB14" s="465" t="n"/>
      <c r="CE14" s="457" t="n"/>
      <c r="CI14" s="452" t="n"/>
      <c r="CJ14" s="458" t="n"/>
      <c r="CK14" s="457" t="n"/>
      <c r="CL14" s="35" t="n"/>
    </row>
    <row r="15" ht="15" customFormat="1" customHeight="1" s="33" thickBot="1">
      <c r="C15" s="272" t="inlineStr">
        <is>
          <t xml:space="preserve">Valor financiado total no contrato = </t>
        </is>
      </c>
      <c r="D15" s="453" t="n"/>
      <c r="E15" s="453" t="n"/>
      <c r="F15" s="453" t="n"/>
      <c r="G15" s="453" t="n"/>
      <c r="H15" s="454" t="n"/>
      <c r="I15" s="527">
        <f>SUM(I8:Y14)</f>
        <v/>
      </c>
      <c r="J15" s="453" t="n"/>
      <c r="K15" s="453" t="n"/>
      <c r="L15" s="453" t="n"/>
      <c r="M15" s="453" t="n"/>
      <c r="N15" s="453" t="n"/>
      <c r="O15" s="453" t="n"/>
      <c r="P15" s="453" t="n"/>
      <c r="Q15" s="453" t="n"/>
      <c r="R15" s="453" t="n"/>
      <c r="S15" s="453" t="n"/>
      <c r="T15" s="453" t="n"/>
      <c r="U15" s="453" t="n"/>
      <c r="V15" s="453" t="n"/>
      <c r="W15" s="453" t="n"/>
      <c r="X15" s="453" t="n"/>
      <c r="Y15" s="454" t="n"/>
      <c r="AD15" s="272" t="inlineStr">
        <is>
          <t xml:space="preserve">Valor financiado total no contrato = </t>
        </is>
      </c>
      <c r="AE15" s="453" t="n"/>
      <c r="AF15" s="453" t="n"/>
      <c r="AG15" s="453" t="n"/>
      <c r="AH15" s="453" t="n"/>
      <c r="AI15" s="453" t="n"/>
      <c r="AJ15" s="453" t="n"/>
      <c r="AK15" s="453" t="n"/>
      <c r="AL15" s="453" t="n"/>
      <c r="AM15" s="453" t="n"/>
      <c r="AN15" s="453" t="n"/>
      <c r="AO15" s="454" t="n"/>
      <c r="AP15" s="527">
        <f>SUM(AP8:AZ14)</f>
        <v/>
      </c>
      <c r="AQ15" s="453" t="n"/>
      <c r="AR15" s="453" t="n"/>
      <c r="AS15" s="453" t="n"/>
      <c r="AT15" s="453" t="n"/>
      <c r="AU15" s="453" t="n"/>
      <c r="AV15" s="453" t="n"/>
      <c r="AW15" s="453" t="n"/>
      <c r="AX15" s="453" t="n"/>
      <c r="AY15" s="453" t="n"/>
      <c r="AZ15" s="454" t="n"/>
      <c r="BE15" s="466" t="n"/>
      <c r="BF15" s="467" t="n"/>
      <c r="BG15" s="467" t="n"/>
      <c r="BH15" s="467" t="n"/>
      <c r="BI15" s="467" t="n"/>
      <c r="BJ15" s="467" t="n"/>
      <c r="BK15" s="468" t="n"/>
      <c r="BL15" s="469" t="n"/>
      <c r="BM15" s="467" t="n"/>
      <c r="BN15" s="467" t="n"/>
      <c r="BO15" s="467" t="n"/>
      <c r="BP15" s="467" t="n"/>
      <c r="BQ15" s="467" t="n"/>
      <c r="BR15" s="467" t="n"/>
      <c r="BS15" s="467" t="n"/>
      <c r="BT15" s="467" t="n"/>
      <c r="BU15" s="467" t="n"/>
      <c r="BV15" s="467" t="n"/>
      <c r="BW15" s="467" t="n"/>
      <c r="BX15" s="467" t="n"/>
      <c r="BY15" s="467" t="n"/>
      <c r="BZ15" s="467" t="n"/>
      <c r="CA15" s="467" t="n"/>
      <c r="CB15" s="470" t="n"/>
      <c r="CE15" s="457" t="n"/>
      <c r="CI15" s="452" t="n"/>
      <c r="CJ15" s="458" t="n"/>
      <c r="CK15" s="457" t="n"/>
      <c r="CL15" s="35" t="n"/>
    </row>
    <row r="16" ht="15" customFormat="1" customHeight="1" s="33" thickBot="1">
      <c r="C16" s="272" t="inlineStr">
        <is>
          <t xml:space="preserve">Quantidade de parcelas = </t>
        </is>
      </c>
      <c r="D16" s="453" t="n"/>
      <c r="E16" s="453" t="n"/>
      <c r="F16" s="453" t="n"/>
      <c r="G16" s="453" t="n"/>
      <c r="H16" s="454" t="n"/>
      <c r="I16" s="290">
        <f>DADOS!$B$9</f>
        <v/>
      </c>
      <c r="J16" s="453" t="n"/>
      <c r="K16" s="453" t="n"/>
      <c r="L16" s="453" t="n"/>
      <c r="M16" s="453" t="n"/>
      <c r="N16" s="453" t="n"/>
      <c r="O16" s="453" t="n"/>
      <c r="P16" s="453" t="n"/>
      <c r="Q16" s="453" t="n"/>
      <c r="R16" s="453" t="n"/>
      <c r="S16" s="453" t="n"/>
      <c r="T16" s="453" t="n"/>
      <c r="U16" s="453" t="n"/>
      <c r="V16" s="453" t="n"/>
      <c r="W16" s="453" t="n"/>
      <c r="X16" s="453" t="n"/>
      <c r="Y16" s="454" t="n"/>
      <c r="AD16" s="272" t="inlineStr">
        <is>
          <t xml:space="preserve">Taxa média = </t>
        </is>
      </c>
      <c r="AE16" s="453" t="n"/>
      <c r="AF16" s="453" t="n"/>
      <c r="AG16" s="453" t="n"/>
      <c r="AH16" s="453" t="n"/>
      <c r="AI16" s="453" t="n"/>
      <c r="AJ16" s="453" t="n"/>
      <c r="AK16" s="453" t="n"/>
      <c r="AL16" s="453" t="n"/>
      <c r="AM16" s="453" t="n"/>
      <c r="AN16" s="453" t="n"/>
      <c r="AO16" s="454" t="n"/>
      <c r="AP16" s="312">
        <f>DADOS!$B$12</f>
        <v/>
      </c>
      <c r="AQ16" s="453" t="n"/>
      <c r="AR16" s="453" t="n"/>
      <c r="AS16" s="453" t="n"/>
      <c r="AT16" s="453" t="n"/>
      <c r="AU16" s="453" t="n"/>
      <c r="AV16" s="453" t="n"/>
      <c r="AW16" s="453" t="n"/>
      <c r="AX16" s="453" t="n"/>
      <c r="AY16" s="453" t="n"/>
      <c r="AZ16" s="454" t="n"/>
      <c r="CE16" s="457" t="n"/>
      <c r="CI16" s="452" t="n"/>
      <c r="CJ16" s="458" t="n"/>
      <c r="CK16" s="457" t="n"/>
      <c r="CL16" s="35" t="n"/>
    </row>
    <row r="17" ht="15" customFormat="1" customHeight="1" s="33">
      <c r="C17" s="272" t="inlineStr">
        <is>
          <t xml:space="preserve">Valor da parcela cobrada = </t>
        </is>
      </c>
      <c r="D17" s="453" t="n"/>
      <c r="E17" s="453" t="n"/>
      <c r="F17" s="453" t="n"/>
      <c r="G17" s="453" t="n"/>
      <c r="H17" s="454" t="n"/>
      <c r="I17" s="527">
        <f>DADOS!$B$10</f>
        <v/>
      </c>
      <c r="J17" s="453" t="n"/>
      <c r="K17" s="453" t="n"/>
      <c r="L17" s="453" t="n"/>
      <c r="M17" s="453" t="n"/>
      <c r="N17" s="453" t="n"/>
      <c r="O17" s="453" t="n"/>
      <c r="P17" s="453" t="n"/>
      <c r="Q17" s="453" t="n"/>
      <c r="R17" s="453" t="n"/>
      <c r="S17" s="453" t="n"/>
      <c r="T17" s="453" t="n"/>
      <c r="U17" s="453" t="n"/>
      <c r="V17" s="453" t="n"/>
      <c r="W17" s="453" t="n"/>
      <c r="X17" s="453" t="n"/>
      <c r="Y17" s="454" t="n"/>
      <c r="AD17" s="272" t="inlineStr">
        <is>
          <t>Valor da parcela recalculada =</t>
        </is>
      </c>
      <c r="AE17" s="453" t="n"/>
      <c r="AF17" s="453" t="n"/>
      <c r="AG17" s="453" t="n"/>
      <c r="AH17" s="453" t="n"/>
      <c r="AI17" s="453" t="n"/>
      <c r="AJ17" s="453" t="n"/>
      <c r="AK17" s="453" t="n"/>
      <c r="AL17" s="453" t="n"/>
      <c r="AM17" s="453" t="n"/>
      <c r="AN17" s="453" t="n"/>
      <c r="AO17" s="454" t="n"/>
      <c r="AP17" s="532">
        <f>AH122</f>
        <v/>
      </c>
      <c r="AQ17" s="453" t="n"/>
      <c r="AR17" s="453" t="n"/>
      <c r="AS17" s="453" t="n"/>
      <c r="AT17" s="453" t="n"/>
      <c r="AU17" s="453" t="n"/>
      <c r="AV17" s="453" t="n"/>
      <c r="AW17" s="453" t="n"/>
      <c r="AX17" s="453" t="n"/>
      <c r="AY17" s="453" t="n"/>
      <c r="AZ17" s="454" t="n"/>
      <c r="BE17" s="278" t="inlineStr">
        <is>
          <t xml:space="preserve">Saldo do contrato = </t>
        </is>
      </c>
      <c r="BF17" s="445" t="n"/>
      <c r="BG17" s="445" t="n"/>
      <c r="BH17" s="445" t="n"/>
      <c r="BI17" s="445" t="n"/>
      <c r="BJ17" s="445" t="n"/>
      <c r="BK17" s="446" t="n"/>
      <c r="BL17" s="524">
        <f>BL13*I17</f>
        <v/>
      </c>
      <c r="BM17" s="445" t="n"/>
      <c r="BN17" s="445" t="n"/>
      <c r="BO17" s="445" t="n"/>
      <c r="BP17" s="445" t="n"/>
      <c r="BQ17" s="445" t="n"/>
      <c r="BR17" s="445" t="n"/>
      <c r="BS17" s="445" t="n"/>
      <c r="BT17" s="445" t="n"/>
      <c r="BU17" s="445" t="n"/>
      <c r="BV17" s="445" t="n"/>
      <c r="BW17" s="445" t="n"/>
      <c r="BX17" s="445" t="n"/>
      <c r="BY17" s="445" t="n"/>
      <c r="BZ17" s="445" t="n"/>
      <c r="CA17" s="445" t="n"/>
      <c r="CB17" s="446" t="n"/>
      <c r="CE17" s="457" t="n"/>
      <c r="CI17" s="452" t="n"/>
      <c r="CJ17" s="458" t="n"/>
      <c r="CK17" s="457" t="n"/>
      <c r="CL17" s="35" t="n"/>
    </row>
    <row r="18" ht="15" customFormat="1" customHeight="1" s="33" thickBot="1">
      <c r="C18" s="272" t="inlineStr">
        <is>
          <t xml:space="preserve">Taxa pactuada = </t>
        </is>
      </c>
      <c r="D18" s="453" t="n"/>
      <c r="E18" s="453" t="n"/>
      <c r="F18" s="453" t="n"/>
      <c r="G18" s="453" t="n"/>
      <c r="H18" s="454" t="n"/>
      <c r="I18" s="312">
        <f>DADOS!$B$11</f>
        <v/>
      </c>
      <c r="J18" s="453" t="n"/>
      <c r="K18" s="453" t="n"/>
      <c r="L18" s="453" t="n"/>
      <c r="M18" s="453" t="n"/>
      <c r="N18" s="453" t="n"/>
      <c r="O18" s="453" t="n"/>
      <c r="P18" s="453" t="n"/>
      <c r="Q18" s="453" t="n"/>
      <c r="R18" s="453" t="n"/>
      <c r="S18" s="453" t="n"/>
      <c r="T18" s="453" t="n"/>
      <c r="U18" s="453" t="n"/>
      <c r="V18" s="453" t="n"/>
      <c r="W18" s="453" t="n"/>
      <c r="X18" s="453" t="n"/>
      <c r="Y18" s="454" t="n"/>
      <c r="AD18" s="272" t="inlineStr">
        <is>
          <t xml:space="preserve">Valor final recalculado do contrato = </t>
        </is>
      </c>
      <c r="AE18" s="453" t="n"/>
      <c r="AF18" s="453" t="n"/>
      <c r="AG18" s="453" t="n"/>
      <c r="AH18" s="453" t="n"/>
      <c r="AI18" s="453" t="n"/>
      <c r="AJ18" s="453" t="n"/>
      <c r="AK18" s="453" t="n"/>
      <c r="AL18" s="453" t="n"/>
      <c r="AM18" s="453" t="n"/>
      <c r="AN18" s="453" t="n"/>
      <c r="AO18" s="454" t="n"/>
      <c r="AP18" s="528">
        <f>I16*AP17</f>
        <v/>
      </c>
      <c r="AQ18" s="453" t="n"/>
      <c r="AR18" s="453" t="n"/>
      <c r="AS18" s="453" t="n"/>
      <c r="AT18" s="453" t="n"/>
      <c r="AU18" s="453" t="n"/>
      <c r="AV18" s="453" t="n"/>
      <c r="AW18" s="453" t="n"/>
      <c r="AX18" s="453" t="n"/>
      <c r="AY18" s="453" t="n"/>
      <c r="AZ18" s="454" t="n"/>
      <c r="BE18" s="314" t="inlineStr">
        <is>
          <t xml:space="preserve">(-) Saldo incontroverso = </t>
        </is>
      </c>
      <c r="BF18" s="462" t="n"/>
      <c r="BG18" s="462" t="n"/>
      <c r="BH18" s="462" t="n"/>
      <c r="BI18" s="462" t="n"/>
      <c r="BJ18" s="462" t="n"/>
      <c r="BK18" s="463" t="n"/>
      <c r="BL18" s="533">
        <f>BL13*BL14</f>
        <v/>
      </c>
      <c r="BM18" s="462" t="n"/>
      <c r="BN18" s="462" t="n"/>
      <c r="BO18" s="462" t="n"/>
      <c r="BP18" s="462" t="n"/>
      <c r="BQ18" s="462" t="n"/>
      <c r="BR18" s="462" t="n"/>
      <c r="BS18" s="462" t="n"/>
      <c r="BT18" s="462" t="n"/>
      <c r="BU18" s="462" t="n"/>
      <c r="BV18" s="462" t="n"/>
      <c r="BW18" s="462" t="n"/>
      <c r="BX18" s="462" t="n"/>
      <c r="BY18" s="462" t="n"/>
      <c r="BZ18" s="462" t="n"/>
      <c r="CA18" s="462" t="n"/>
      <c r="CB18" s="463" t="n"/>
      <c r="CE18" s="457" t="n"/>
      <c r="CI18" s="452" t="n"/>
      <c r="CJ18" s="458" t="n"/>
      <c r="CK18" s="457" t="n"/>
      <c r="CL18" s="35" t="n"/>
    </row>
    <row r="19" ht="15" customFormat="1" customHeight="1" s="33" thickBot="1">
      <c r="C19" s="331" t="inlineStr">
        <is>
          <t xml:space="preserve">Valor final do contrato = </t>
        </is>
      </c>
      <c r="D19" s="473" t="n"/>
      <c r="E19" s="473" t="n"/>
      <c r="F19" s="473" t="n"/>
      <c r="G19" s="473" t="n"/>
      <c r="H19" s="474" t="n"/>
      <c r="I19" s="534">
        <f>I16*I17</f>
        <v/>
      </c>
      <c r="J19" s="473" t="n"/>
      <c r="K19" s="473" t="n"/>
      <c r="L19" s="473" t="n"/>
      <c r="M19" s="473" t="n"/>
      <c r="N19" s="473" t="n"/>
      <c r="O19" s="473" t="n"/>
      <c r="P19" s="473" t="n"/>
      <c r="Q19" s="473" t="n"/>
      <c r="R19" s="473" t="n"/>
      <c r="S19" s="473" t="n"/>
      <c r="T19" s="473" t="n"/>
      <c r="U19" s="473" t="n"/>
      <c r="V19" s="473" t="n"/>
      <c r="W19" s="473" t="n"/>
      <c r="X19" s="473" t="n"/>
      <c r="Y19" s="474" t="n"/>
      <c r="AD19" s="335" t="inlineStr">
        <is>
          <t xml:space="preserve">Diferença  cobrada a mais por parcela = </t>
        </is>
      </c>
      <c r="AE19" s="453" t="n"/>
      <c r="AF19" s="453" t="n"/>
      <c r="AG19" s="453" t="n"/>
      <c r="AH19" s="453" t="n"/>
      <c r="AI19" s="453" t="n"/>
      <c r="AJ19" s="453" t="n"/>
      <c r="AK19" s="453" t="n"/>
      <c r="AL19" s="453" t="n"/>
      <c r="AM19" s="453" t="n"/>
      <c r="AN19" s="453" t="n"/>
      <c r="AO19" s="454" t="n"/>
      <c r="AP19" s="535">
        <f>I17-AP17</f>
        <v/>
      </c>
      <c r="AQ19" s="453" t="n"/>
      <c r="AR19" s="453" t="n"/>
      <c r="AS19" s="453" t="n"/>
      <c r="AT19" s="453" t="n"/>
      <c r="AU19" s="453" t="n"/>
      <c r="AV19" s="453" t="n"/>
      <c r="AW19" s="453" t="n"/>
      <c r="AX19" s="453" t="n"/>
      <c r="AY19" s="453" t="n"/>
      <c r="AZ19" s="454" t="n"/>
      <c r="BE19" s="339" t="inlineStr">
        <is>
          <t xml:space="preserve">Saldo controvertido total = </t>
        </is>
      </c>
      <c r="BF19" s="445" t="n"/>
      <c r="BG19" s="445" t="n"/>
      <c r="BH19" s="445" t="n"/>
      <c r="BI19" s="445" t="n"/>
      <c r="BJ19" s="445" t="n"/>
      <c r="BK19" s="446" t="n"/>
      <c r="BL19" s="536">
        <f>BL17-BL18</f>
        <v/>
      </c>
      <c r="BM19" s="445" t="n"/>
      <c r="BN19" s="445" t="n"/>
      <c r="BO19" s="445" t="n"/>
      <c r="BP19" s="445" t="n"/>
      <c r="BQ19" s="445" t="n"/>
      <c r="BR19" s="445" t="n"/>
      <c r="BS19" s="445" t="n"/>
      <c r="BT19" s="445" t="n"/>
      <c r="BU19" s="445" t="n"/>
      <c r="BV19" s="445" t="n"/>
      <c r="BW19" s="445" t="n"/>
      <c r="BX19" s="445" t="n"/>
      <c r="BY19" s="445" t="n"/>
      <c r="BZ19" s="445" t="n"/>
      <c r="CA19" s="445" t="n"/>
      <c r="CB19" s="446" t="n"/>
      <c r="CE19" s="457" t="n"/>
      <c r="CI19" s="452" t="n"/>
      <c r="CJ19" s="458" t="n"/>
      <c r="CK19" s="457" t="n"/>
      <c r="CL19" s="35" t="n"/>
    </row>
    <row r="20" ht="15" customFormat="1" customHeight="1" s="33" thickBot="1">
      <c r="AD20" s="320" t="inlineStr">
        <is>
          <t xml:space="preserve">Montante cobrado a mais pelo banco = </t>
        </is>
      </c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4" t="n"/>
      <c r="AP20" s="537">
        <f>I19-AP18</f>
        <v/>
      </c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4" t="n"/>
      <c r="BE20" s="324" t="inlineStr">
        <is>
          <t xml:space="preserve">Saldo controvertido por parcela = </t>
        </is>
      </c>
      <c r="BF20" s="473" t="n"/>
      <c r="BG20" s="473" t="n"/>
      <c r="BH20" s="473" t="n"/>
      <c r="BI20" s="473" t="n"/>
      <c r="BJ20" s="473" t="n"/>
      <c r="BK20" s="474" t="n"/>
      <c r="BL20" s="538">
        <f>BL19/BL13</f>
        <v/>
      </c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4" t="n"/>
      <c r="CE20" s="457" t="n"/>
      <c r="CI20" s="452" t="n"/>
      <c r="CJ20" s="458" t="n"/>
      <c r="CK20" s="457" t="n"/>
      <c r="CL20" s="35" t="n"/>
    </row>
    <row r="21" hidden="1" ht="9.75" customHeight="1">
      <c r="CE21" s="480" t="n"/>
      <c r="CI21" s="481" t="n"/>
      <c r="CJ21" s="482" t="n"/>
      <c r="CK21" s="480" t="n"/>
    </row>
    <row r="22" hidden="1" ht="9.75" customHeight="1">
      <c r="CE22" s="480" t="n"/>
      <c r="CI22" s="481" t="n"/>
      <c r="CJ22" s="482" t="n"/>
      <c r="CK22" s="480" t="n"/>
    </row>
    <row r="23" hidden="1" ht="9.75" customHeight="1">
      <c r="CE23" s="480" t="n"/>
      <c r="CI23" s="481" t="n"/>
      <c r="CJ23" s="482" t="n"/>
      <c r="CK23" s="480" t="n"/>
    </row>
    <row r="24" hidden="1" ht="9.75" customHeight="1">
      <c r="BE24" s="1" t="inlineStr">
        <is>
          <t>Saldo controvertido por parcela</t>
        </is>
      </c>
      <c r="CE24" s="480" t="n"/>
      <c r="CI24" s="481" t="n"/>
      <c r="CJ24" s="482" t="n"/>
      <c r="CK24" s="480" t="n"/>
    </row>
    <row r="25" ht="9.75" customHeight="1">
      <c r="CE25" s="480" t="n"/>
      <c r="CI25" s="481" t="n"/>
      <c r="CJ25" s="482" t="n"/>
      <c r="CK25" s="480" t="n"/>
    </row>
    <row r="26">
      <c r="C26" s="539" t="inlineStr">
        <is>
          <t>CONFORME PACTUADO</t>
        </is>
      </c>
      <c r="D26" s="462" t="n"/>
      <c r="E26" s="462" t="n"/>
      <c r="F26" s="462" t="n"/>
      <c r="G26" s="462" t="n"/>
      <c r="H26" s="462" t="n"/>
      <c r="I26" s="462" t="n"/>
      <c r="J26" s="462" t="n"/>
      <c r="K26" s="462" t="n"/>
      <c r="L26" s="462" t="n"/>
      <c r="M26" s="462" t="n"/>
      <c r="N26" s="462" t="n"/>
      <c r="O26" s="462" t="n"/>
      <c r="P26" s="462" t="n"/>
      <c r="Q26" s="462" t="n"/>
      <c r="R26" s="462" t="n"/>
      <c r="S26" s="462" t="n"/>
      <c r="T26" s="462" t="n"/>
      <c r="U26" s="462" t="n"/>
      <c r="V26" s="462" t="n"/>
      <c r="W26" s="462" t="n"/>
      <c r="X26" s="462" t="n"/>
      <c r="Y26" s="463" t="n"/>
      <c r="AD26" s="539" t="inlineStr">
        <is>
          <t>PARCELA COM TAXA MÉDIA E EXPURGO DE ABUSIVIDADES</t>
        </is>
      </c>
      <c r="AE26" s="462" t="n"/>
      <c r="AF26" s="462" t="n"/>
      <c r="AG26" s="462" t="n"/>
      <c r="AH26" s="462" t="n"/>
      <c r="AI26" s="462" t="n"/>
      <c r="AJ26" s="462" t="n"/>
      <c r="AK26" s="462" t="n"/>
      <c r="AL26" s="462" t="n"/>
      <c r="AM26" s="462" t="n"/>
      <c r="AN26" s="462" t="n"/>
      <c r="AO26" s="462" t="n"/>
      <c r="AP26" s="462" t="n"/>
      <c r="AQ26" s="462" t="n"/>
      <c r="AR26" s="462" t="n"/>
      <c r="AS26" s="462" t="n"/>
      <c r="AT26" s="462" t="n"/>
      <c r="AU26" s="462" t="n"/>
      <c r="AV26" s="462" t="n"/>
      <c r="AW26" s="462" t="n"/>
      <c r="AX26" s="462" t="n"/>
      <c r="AY26" s="462" t="n"/>
      <c r="AZ26" s="463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  <c r="BU26" s="56" t="n"/>
      <c r="BV26" s="56" t="n"/>
      <c r="BW26" s="56" t="n"/>
      <c r="BX26" s="56" t="n"/>
      <c r="BY26" s="56" t="n"/>
      <c r="BZ26" s="56" t="n"/>
      <c r="CA26" s="56" t="n"/>
      <c r="CB26" s="56" t="n"/>
      <c r="CC26" s="56" t="n"/>
      <c r="CD26" s="56" t="n"/>
      <c r="CE26" s="484" t="n"/>
      <c r="CI26" s="481" t="n"/>
      <c r="CK26" s="484" t="n"/>
      <c r="CL26" s="481" t="n"/>
    </row>
    <row r="27" hidden="1" ht="13.5" customHeight="1">
      <c r="C27" s="6" t="n"/>
      <c r="Y27" s="7" t="n"/>
      <c r="AD27" s="6" t="n"/>
      <c r="AZ27" s="7" t="n"/>
      <c r="CE27" s="485" t="n"/>
      <c r="CI27" s="486" t="n"/>
      <c r="CJ27" s="482" t="n"/>
      <c r="CK27" s="485" t="n"/>
      <c r="CL27" s="481" t="n"/>
    </row>
    <row r="28" hidden="1" ht="12" customHeight="1">
      <c r="C28" s="9" t="n"/>
      <c r="D28" s="10" t="n"/>
      <c r="Y28" s="7" t="n"/>
      <c r="AD28" s="9" t="n"/>
      <c r="AE28" s="10" t="n"/>
      <c r="AZ28" s="7" t="n"/>
      <c r="BE28" s="10" t="n"/>
      <c r="BF28" s="10" t="n"/>
      <c r="CE28" s="5" t="n"/>
      <c r="CI28" s="11" t="n"/>
      <c r="CK28" s="5" t="n"/>
      <c r="CL28" s="481" t="n"/>
    </row>
    <row r="29" ht="12" customHeight="1" thickBot="1">
      <c r="C29" s="9" t="n"/>
      <c r="D29" s="10" t="n"/>
      <c r="Y29" s="7" t="n"/>
      <c r="AD29" s="9" t="n"/>
      <c r="AE29" s="10" t="n"/>
      <c r="AZ29" s="7" t="n"/>
      <c r="BE29" s="10" t="n"/>
      <c r="BF29" s="10" t="n"/>
      <c r="CE29" s="480" t="n"/>
      <c r="CK29" s="480" t="n"/>
    </row>
    <row r="30" ht="24" customHeight="1">
      <c r="C30" s="39" t="inlineStr">
        <is>
          <t xml:space="preserve">Valor financiado total = </t>
        </is>
      </c>
      <c r="D30" s="40" t="n"/>
      <c r="E30" s="41" t="n"/>
      <c r="F30" s="41" t="n"/>
      <c r="G30" s="41" t="n"/>
      <c r="H30" s="540">
        <f>I15</f>
        <v/>
      </c>
      <c r="I30" s="453" t="n"/>
      <c r="J30" s="453" t="n"/>
      <c r="K30" s="453" t="n"/>
      <c r="L30" s="453" t="n"/>
      <c r="M30" s="453" t="n"/>
      <c r="N30" s="453" t="n"/>
      <c r="O30" s="453" t="n"/>
      <c r="P30" s="453" t="n"/>
      <c r="Q30" s="453" t="n"/>
      <c r="R30" s="453" t="n"/>
      <c r="S30" s="454" t="n"/>
      <c r="T30" s="10" t="n"/>
      <c r="Y30" s="541" t="n"/>
      <c r="AD30" s="345" t="inlineStr">
        <is>
          <t>Valor financiado ajustado = 
(com expurgo de tarifas e/ou seguros)</t>
        </is>
      </c>
      <c r="AE30" s="453" t="n"/>
      <c r="AF30" s="453" t="n"/>
      <c r="AG30" s="453" t="n"/>
      <c r="AH30" s="453" t="n"/>
      <c r="AI30" s="540">
        <f>AP15</f>
        <v/>
      </c>
      <c r="AJ30" s="453" t="n"/>
      <c r="AK30" s="453" t="n"/>
      <c r="AL30" s="453" t="n"/>
      <c r="AM30" s="453" t="n"/>
      <c r="AN30" s="453" t="n"/>
      <c r="AO30" s="453" t="n"/>
      <c r="AP30" s="453" t="n"/>
      <c r="AQ30" s="453" t="n"/>
      <c r="AR30" s="453" t="n"/>
      <c r="AS30" s="453" t="n"/>
      <c r="AT30" s="454" t="n"/>
      <c r="AU30" s="10" t="n"/>
      <c r="AZ30" s="541" t="n"/>
      <c r="BE30" s="542" t="inlineStr">
        <is>
          <t>PERCENTUAL DA TAXA COBRADADA SUPERIOR A MÉDIA</t>
        </is>
      </c>
      <c r="BF30" s="441" t="n"/>
      <c r="BG30" s="441" t="n"/>
      <c r="BH30" s="444" t="n"/>
      <c r="BJ30" s="62" t="n"/>
      <c r="BK30" s="542" t="inlineStr">
        <is>
          <t>TOTAL NOMINAL DE COBRANÇAS INDEVIDAS</t>
        </is>
      </c>
      <c r="BL30" s="441" t="n"/>
      <c r="BM30" s="441" t="n"/>
      <c r="BN30" s="441" t="n"/>
      <c r="BO30" s="441" t="n"/>
      <c r="BP30" s="441" t="n"/>
      <c r="BQ30" s="441" t="n"/>
      <c r="BR30" s="441" t="n"/>
      <c r="BS30" s="441" t="n"/>
      <c r="BT30" s="441" t="n"/>
      <c r="BU30" s="441" t="n"/>
      <c r="BV30" s="441" t="n"/>
      <c r="BW30" s="441" t="n"/>
      <c r="BX30" s="441" t="n"/>
      <c r="BY30" s="441" t="n"/>
      <c r="BZ30" s="441" t="n"/>
      <c r="CA30" s="441" t="n"/>
      <c r="CB30" s="444" t="n"/>
      <c r="CD30" s="490" t="n"/>
      <c r="CE30" s="480" t="n"/>
      <c r="CF30" s="5" t="n"/>
      <c r="CG30" s="5" t="n"/>
      <c r="CK30" s="480" t="n"/>
    </row>
    <row r="31" ht="12" customHeight="1">
      <c r="C31" s="39" t="inlineStr">
        <is>
          <t xml:space="preserve">Taxa de juros ao mês = </t>
        </is>
      </c>
      <c r="D31" s="40" t="n"/>
      <c r="E31" s="41" t="n"/>
      <c r="F31" s="41" t="n"/>
      <c r="G31" s="41" t="n"/>
      <c r="H31" s="350">
        <f>I18</f>
        <v/>
      </c>
      <c r="I31" s="453" t="n"/>
      <c r="J31" s="453" t="n"/>
      <c r="K31" s="453" t="n"/>
      <c r="L31" s="453" t="n"/>
      <c r="M31" s="453" t="n"/>
      <c r="N31" s="453" t="n"/>
      <c r="O31" s="453" t="n"/>
      <c r="P31" s="453" t="n"/>
      <c r="Q31" s="453" t="n"/>
      <c r="R31" s="40" t="n"/>
      <c r="S31" s="42" t="n"/>
      <c r="Y31" s="541" t="n"/>
      <c r="AC31" s="14" t="n"/>
      <c r="AD31" s="39" t="inlineStr">
        <is>
          <t>Taxa média de juros ao mês =</t>
        </is>
      </c>
      <c r="AE31" s="40" t="n"/>
      <c r="AF31" s="41" t="n"/>
      <c r="AG31" s="41" t="n"/>
      <c r="AH31" s="41" t="n"/>
      <c r="AI31" s="350">
        <f>AP16</f>
        <v/>
      </c>
      <c r="AJ31" s="453" t="n"/>
      <c r="AK31" s="453" t="n"/>
      <c r="AL31" s="453" t="n"/>
      <c r="AM31" s="453" t="n"/>
      <c r="AN31" s="453" t="n"/>
      <c r="AO31" s="453" t="n"/>
      <c r="AP31" s="453" t="n"/>
      <c r="AQ31" s="453" t="n"/>
      <c r="AR31" s="453" t="n"/>
      <c r="AS31" s="40" t="n"/>
      <c r="AT31" s="42" t="n"/>
      <c r="AZ31" s="541" t="n"/>
      <c r="BE31" s="543">
        <f>H31/AI31-100%</f>
        <v/>
      </c>
      <c r="BH31" s="492" t="n"/>
      <c r="BJ31" s="63" t="n"/>
      <c r="BK31" s="544">
        <f>SUM(I9:Y13)</f>
        <v/>
      </c>
      <c r="CB31" s="492" t="n"/>
      <c r="CD31" s="490" t="n"/>
      <c r="CE31" s="480" t="n"/>
      <c r="CI31" s="480" t="n"/>
      <c r="CK31" s="480" t="n"/>
    </row>
    <row r="32" ht="12" customHeight="1" thickBot="1">
      <c r="C32" s="39" t="inlineStr">
        <is>
          <t xml:space="preserve">Quantidade de parcelas = </t>
        </is>
      </c>
      <c r="D32" s="40" t="n"/>
      <c r="E32" s="41" t="n"/>
      <c r="F32" s="41" t="n"/>
      <c r="G32" s="41" t="n"/>
      <c r="H32" s="41" t="n"/>
      <c r="I32" s="363">
        <f>I16</f>
        <v/>
      </c>
      <c r="J32" s="453" t="n"/>
      <c r="K32" s="453" t="n"/>
      <c r="L32" s="453" t="n"/>
      <c r="M32" s="453" t="n"/>
      <c r="N32" s="453" t="n"/>
      <c r="O32" s="453" t="n"/>
      <c r="P32" s="41" t="n"/>
      <c r="Q32" s="41" t="n"/>
      <c r="R32" s="41" t="n"/>
      <c r="S32" s="43" t="n"/>
      <c r="Y32" s="7" t="n"/>
      <c r="AD32" s="39" t="inlineStr">
        <is>
          <t>Quantidade de parcelas =</t>
        </is>
      </c>
      <c r="AE32" s="40" t="n"/>
      <c r="AF32" s="41" t="n"/>
      <c r="AG32" s="41" t="n"/>
      <c r="AH32" s="41" t="n"/>
      <c r="AI32" s="41" t="n"/>
      <c r="AJ32" s="363">
        <f>I16</f>
        <v/>
      </c>
      <c r="AK32" s="453" t="n"/>
      <c r="AL32" s="453" t="n"/>
      <c r="AM32" s="453" t="n"/>
      <c r="AN32" s="453" t="n"/>
      <c r="AO32" s="453" t="n"/>
      <c r="AP32" s="453" t="n"/>
      <c r="AQ32" s="41" t="n"/>
      <c r="AR32" s="41" t="n"/>
      <c r="AS32" s="41" t="n"/>
      <c r="AT32" s="43" t="n"/>
      <c r="AZ32" s="7" t="n"/>
      <c r="BE32" s="466" t="n"/>
      <c r="BF32" s="467" t="n"/>
      <c r="BG32" s="467" t="n"/>
      <c r="BH32" s="470" t="n"/>
      <c r="BJ32" s="64" t="n"/>
      <c r="BK32" s="466" t="n"/>
      <c r="BL32" s="467" t="n"/>
      <c r="BM32" s="467" t="n"/>
      <c r="BN32" s="467" t="n"/>
      <c r="BO32" s="467" t="n"/>
      <c r="BP32" s="467" t="n"/>
      <c r="BQ32" s="467" t="n"/>
      <c r="BR32" s="467" t="n"/>
      <c r="BS32" s="467" t="n"/>
      <c r="BT32" s="467" t="n"/>
      <c r="BU32" s="467" t="n"/>
      <c r="BV32" s="467" t="n"/>
      <c r="BW32" s="467" t="n"/>
      <c r="BX32" s="467" t="n"/>
      <c r="BY32" s="467" t="n"/>
      <c r="BZ32" s="467" t="n"/>
      <c r="CA32" s="467" t="n"/>
      <c r="CB32" s="470" t="n"/>
      <c r="CE32" s="45" t="n"/>
      <c r="CI32" s="480" t="n"/>
      <c r="CK32" s="45" t="n"/>
    </row>
    <row r="33" ht="9" customHeight="1">
      <c r="B33" s="388" t="n"/>
      <c r="C33" s="6" t="n"/>
      <c r="Y33" s="7" t="n"/>
      <c r="AD33" s="6" t="n"/>
      <c r="AZ33" s="7" t="n"/>
      <c r="CE33" s="46" t="n"/>
      <c r="CK33" s="46" t="n"/>
    </row>
    <row r="34" ht="3" customHeight="1">
      <c r="B34" s="388" t="n"/>
      <c r="C34" s="365" t="inlineStr">
        <is>
          <t>Valor da parcela</t>
        </is>
      </c>
      <c r="D34" s="10" t="n"/>
      <c r="E34" s="366" t="inlineStr">
        <is>
          <t>=</t>
        </is>
      </c>
      <c r="F34" s="10" t="n"/>
      <c r="G34" s="366" t="inlineStr">
        <is>
          <t>PV</t>
        </is>
      </c>
      <c r="H34" s="10" t="n"/>
      <c r="I34" s="366" t="inlineStr">
        <is>
          <t>x</t>
        </is>
      </c>
      <c r="J34" s="10" t="n"/>
      <c r="K34" s="10" t="n"/>
      <c r="L34" s="10" t="n"/>
      <c r="M34" s="10" t="n"/>
      <c r="N34" s="366" t="n"/>
      <c r="O34" s="366" t="n">
        <v>1</v>
      </c>
      <c r="P34" s="366" t="n"/>
      <c r="Q34" s="366" t="inlineStr">
        <is>
          <t>+</t>
        </is>
      </c>
      <c r="R34" s="366" t="n"/>
      <c r="S34" s="366" t="inlineStr">
        <is>
          <t>i</t>
        </is>
      </c>
      <c r="T34" s="366" t="n"/>
      <c r="U34" s="367" t="inlineStr">
        <is>
          <t>n</t>
        </is>
      </c>
      <c r="V34" s="10" t="n"/>
      <c r="W34" s="366" t="inlineStr">
        <is>
          <t>x</t>
        </is>
      </c>
      <c r="X34" s="29" t="n"/>
      <c r="Y34" s="364" t="inlineStr">
        <is>
          <t>i</t>
        </is>
      </c>
      <c r="AD34" s="365" t="inlineStr">
        <is>
          <t>Valor da parcela</t>
        </is>
      </c>
      <c r="AE34" s="10" t="n"/>
      <c r="AF34" s="366" t="inlineStr">
        <is>
          <t>=</t>
        </is>
      </c>
      <c r="AG34" s="10" t="n"/>
      <c r="AH34" s="366" t="inlineStr">
        <is>
          <t>PV</t>
        </is>
      </c>
      <c r="AI34" s="10" t="n"/>
      <c r="AJ34" s="366" t="inlineStr">
        <is>
          <t>x</t>
        </is>
      </c>
      <c r="AK34" s="10" t="n"/>
      <c r="AL34" s="10" t="n"/>
      <c r="AM34" s="10" t="n"/>
      <c r="AN34" s="10" t="n"/>
      <c r="AO34" s="366" t="n"/>
      <c r="AP34" s="366" t="n">
        <v>1</v>
      </c>
      <c r="AQ34" s="366" t="n"/>
      <c r="AR34" s="366" t="inlineStr">
        <is>
          <t>+</t>
        </is>
      </c>
      <c r="AS34" s="366" t="n"/>
      <c r="AT34" s="366" t="inlineStr">
        <is>
          <t>i</t>
        </is>
      </c>
      <c r="AU34" s="366" t="n"/>
      <c r="AV34" s="367" t="inlineStr">
        <is>
          <t>n</t>
        </is>
      </c>
      <c r="AW34" s="10" t="n"/>
      <c r="AX34" s="366" t="inlineStr">
        <is>
          <t>x</t>
        </is>
      </c>
      <c r="AY34" s="29" t="n"/>
      <c r="AZ34" s="364" t="inlineStr">
        <is>
          <t>i</t>
        </is>
      </c>
      <c r="BE34" s="57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366" t="n"/>
      <c r="BT34" s="10" t="n"/>
      <c r="BU34" s="366" t="n"/>
      <c r="BV34" s="10" t="n"/>
      <c r="BW34" s="366" t="n"/>
      <c r="BX34" s="10" t="n"/>
      <c r="BY34" s="366" t="n"/>
      <c r="BZ34" s="10" t="n"/>
      <c r="CA34" s="10" t="n"/>
      <c r="CB34" s="10" t="n"/>
      <c r="CC34" s="29" t="n"/>
      <c r="CD34" s="10" t="n"/>
    </row>
    <row r="35" ht="3" customHeight="1">
      <c r="B35" s="388" t="n"/>
      <c r="C35" s="494" t="n"/>
      <c r="D35" s="10" t="n"/>
      <c r="F35" s="10" t="n"/>
      <c r="H35" s="10" t="n"/>
      <c r="J35" s="10" t="n"/>
      <c r="K35" s="10" t="n"/>
      <c r="L35" s="10" t="n"/>
      <c r="M35" s="10" t="n"/>
      <c r="N35" s="366" t="n"/>
      <c r="P35" s="366" t="n"/>
      <c r="R35" s="366" t="n"/>
      <c r="T35" s="366" t="n"/>
      <c r="V35" s="10" t="n"/>
      <c r="X35" s="29" t="n"/>
      <c r="Y35" s="495" t="n"/>
      <c r="AD35" s="494" t="n"/>
      <c r="AE35" s="10" t="n"/>
      <c r="AG35" s="10" t="n"/>
      <c r="AI35" s="10" t="n"/>
      <c r="AK35" s="10" t="n"/>
      <c r="AL35" s="10" t="n"/>
      <c r="AM35" s="10" t="n"/>
      <c r="AN35" s="10" t="n"/>
      <c r="AO35" s="366" t="n"/>
      <c r="AQ35" s="366" t="n"/>
      <c r="AS35" s="366" t="n"/>
      <c r="AU35" s="366" t="n"/>
      <c r="AW35" s="10" t="n"/>
      <c r="AY35" s="29" t="n"/>
      <c r="AZ35" s="495" t="n"/>
      <c r="BE35" s="57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366" t="n"/>
      <c r="BT35" s="10" t="n"/>
      <c r="BU35" s="366" t="n"/>
      <c r="BV35" s="10" t="n"/>
      <c r="BW35" s="366" t="n"/>
      <c r="BX35" s="10" t="n"/>
      <c r="BY35" s="366" t="n"/>
      <c r="BZ35" s="10" t="n"/>
      <c r="CA35" s="10" t="n"/>
      <c r="CB35" s="10" t="n"/>
      <c r="CC35" s="29" t="n"/>
      <c r="CD35" s="10" t="n"/>
    </row>
    <row r="36" ht="3" customHeight="1">
      <c r="B36" s="388" t="n"/>
      <c r="C36" s="494" t="n"/>
      <c r="D36" s="10" t="n"/>
      <c r="F36" s="10" t="n"/>
      <c r="H36" s="10" t="n"/>
      <c r="J36" s="10" t="n"/>
      <c r="K36" s="10" t="n"/>
      <c r="L36" s="10" t="n"/>
      <c r="M36" s="10" t="n"/>
      <c r="N36" s="366" t="n"/>
      <c r="P36" s="366" t="n"/>
      <c r="R36" s="366" t="n"/>
      <c r="T36" s="366" t="n"/>
      <c r="V36" s="10" t="n"/>
      <c r="X36" s="29" t="n"/>
      <c r="Y36" s="495" t="n"/>
      <c r="AD36" s="494" t="n"/>
      <c r="AE36" s="10" t="n"/>
      <c r="AG36" s="10" t="n"/>
      <c r="AI36" s="10" t="n"/>
      <c r="AK36" s="10" t="n"/>
      <c r="AL36" s="10" t="n"/>
      <c r="AM36" s="10" t="n"/>
      <c r="AN36" s="10" t="n"/>
      <c r="AO36" s="366" t="n"/>
      <c r="AQ36" s="366" t="n"/>
      <c r="AS36" s="366" t="n"/>
      <c r="AU36" s="366" t="n"/>
      <c r="AW36" s="10" t="n"/>
      <c r="AY36" s="29" t="n"/>
      <c r="AZ36" s="495" t="n"/>
      <c r="BE36" s="57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366" t="n"/>
      <c r="BT36" s="10" t="n"/>
      <c r="BU36" s="366" t="n"/>
      <c r="BV36" s="10" t="n"/>
      <c r="BW36" s="366" t="n"/>
      <c r="BX36" s="10" t="n"/>
      <c r="BY36" s="366" t="n"/>
      <c r="BZ36" s="10" t="n"/>
      <c r="CA36" s="10" t="n"/>
      <c r="CB36" s="10" t="n"/>
      <c r="CC36" s="29" t="n"/>
      <c r="CD36" s="10" t="n"/>
    </row>
    <row r="37" ht="3" customHeight="1">
      <c r="B37" s="388" t="n"/>
      <c r="C37" s="494" t="n"/>
      <c r="D37" s="10" t="n"/>
      <c r="F37" s="10" t="n"/>
      <c r="H37" s="10" t="n"/>
      <c r="J37" s="10" t="n"/>
      <c r="K37" s="10" t="n"/>
      <c r="L37" s="10" t="n"/>
      <c r="M37" s="10" t="n"/>
      <c r="N37" s="10" t="n"/>
      <c r="P37" s="10" t="n"/>
      <c r="R37" s="10" t="n"/>
      <c r="T37" s="366" t="n"/>
      <c r="U37" s="366" t="n"/>
      <c r="V37" s="10" t="n"/>
      <c r="X37" s="10" t="n"/>
      <c r="Y37" s="495" t="n"/>
      <c r="AD37" s="494" t="n"/>
      <c r="AE37" s="10" t="n"/>
      <c r="AG37" s="10" t="n"/>
      <c r="AI37" s="10" t="n"/>
      <c r="AK37" s="10" t="n"/>
      <c r="AL37" s="10" t="n"/>
      <c r="AM37" s="10" t="n"/>
      <c r="AN37" s="10" t="n"/>
      <c r="AO37" s="10" t="n"/>
      <c r="AQ37" s="10" t="n"/>
      <c r="AS37" s="10" t="n"/>
      <c r="AU37" s="366" t="n"/>
      <c r="AV37" s="366" t="n"/>
      <c r="AW37" s="10" t="n"/>
      <c r="AY37" s="10" t="n"/>
      <c r="AZ37" s="495" t="n"/>
      <c r="BE37" s="57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366" t="n"/>
      <c r="BZ37" s="366" t="n"/>
      <c r="CA37" s="10" t="n"/>
      <c r="CB37" s="10" t="n"/>
      <c r="CC37" s="10" t="n"/>
      <c r="CD37" s="10" t="n"/>
    </row>
    <row r="38" ht="3" customHeight="1" thickBot="1">
      <c r="B38" s="388" t="n"/>
      <c r="C38" s="494" t="n"/>
      <c r="D38" s="10" t="n"/>
      <c r="F38" s="10" t="n"/>
      <c r="H38" s="10" t="n"/>
      <c r="J38" s="10" t="n"/>
      <c r="K38" s="10" t="n"/>
      <c r="L38" s="10" t="n"/>
      <c r="M38" s="10" t="n"/>
      <c r="N38" s="10" t="n"/>
      <c r="P38" s="10" t="n"/>
      <c r="R38" s="10" t="n"/>
      <c r="T38" s="366" t="n"/>
      <c r="U38" s="366" t="n"/>
      <c r="V38" s="10" t="n"/>
      <c r="X38" s="10" t="n"/>
      <c r="Y38" s="495" t="n"/>
      <c r="AD38" s="494" t="n"/>
      <c r="AE38" s="10" t="n"/>
      <c r="AG38" s="10" t="n"/>
      <c r="AI38" s="10" t="n"/>
      <c r="AK38" s="10" t="n"/>
      <c r="AL38" s="10" t="n"/>
      <c r="AM38" s="10" t="n"/>
      <c r="AN38" s="10" t="n"/>
      <c r="AO38" s="10" t="n"/>
      <c r="AQ38" s="10" t="n"/>
      <c r="AS38" s="10" t="n"/>
      <c r="AU38" s="366" t="n"/>
      <c r="AV38" s="366" t="n"/>
      <c r="AW38" s="10" t="n"/>
      <c r="AY38" s="10" t="n"/>
      <c r="AZ38" s="495" t="n"/>
      <c r="BE38" s="57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366" t="n"/>
      <c r="BZ38" s="366" t="n"/>
      <c r="CA38" s="10" t="n"/>
      <c r="CB38" s="10" t="n"/>
      <c r="CC38" s="10" t="n"/>
      <c r="CD38" s="10" t="n"/>
    </row>
    <row r="39" ht="3" customHeight="1">
      <c r="B39" s="388" t="n"/>
      <c r="C39" s="494" t="n"/>
      <c r="D39" s="10" t="n"/>
      <c r="F39" s="10" t="n"/>
      <c r="H39" s="10" t="n"/>
      <c r="J39" s="10" t="n"/>
      <c r="K39" s="10" t="n"/>
      <c r="L39" s="10" t="n"/>
      <c r="M39" s="10" t="n"/>
      <c r="N39" s="366" t="n"/>
      <c r="P39" s="366" t="n"/>
      <c r="R39" s="366" t="n"/>
      <c r="T39" s="366" t="n"/>
      <c r="U39" s="366" t="n"/>
      <c r="V39" s="10" t="n"/>
      <c r="X39" s="10" t="n"/>
      <c r="Y39" s="495" t="n"/>
      <c r="AD39" s="494" t="n"/>
      <c r="AE39" s="10" t="n"/>
      <c r="AG39" s="10" t="n"/>
      <c r="AI39" s="10" t="n"/>
      <c r="AK39" s="10" t="n"/>
      <c r="AL39" s="10" t="n"/>
      <c r="AM39" s="10" t="n"/>
      <c r="AN39" s="10" t="n"/>
      <c r="AO39" s="366" t="n"/>
      <c r="AQ39" s="366" t="n"/>
      <c r="AS39" s="366" t="n"/>
      <c r="AU39" s="366" t="n"/>
      <c r="AV39" s="366" t="n"/>
      <c r="AW39" s="10" t="n"/>
      <c r="AY39" s="10" t="n"/>
      <c r="AZ39" s="495" t="n"/>
      <c r="BE39" s="545" t="inlineStr">
        <is>
          <t>TAXA EFETIVAMENTE COBRADA</t>
        </is>
      </c>
      <c r="BF39" s="441" t="n"/>
      <c r="BG39" s="441" t="n"/>
      <c r="BH39" s="441" t="n"/>
      <c r="BI39" s="441" t="n"/>
      <c r="BJ39" s="441" t="n"/>
      <c r="BK39" s="441" t="n"/>
      <c r="BL39" s="441" t="n"/>
      <c r="BM39" s="441" t="n"/>
      <c r="BN39" s="441" t="n"/>
      <c r="BO39" s="441" t="n"/>
      <c r="BP39" s="441" t="n"/>
      <c r="BQ39" s="441" t="n"/>
      <c r="BR39" s="441" t="n"/>
      <c r="BS39" s="441" t="n"/>
      <c r="BT39" s="441" t="n"/>
      <c r="BU39" s="441" t="n"/>
      <c r="BV39" s="441" t="n"/>
      <c r="BW39" s="441" t="n"/>
      <c r="BX39" s="441" t="n"/>
      <c r="BY39" s="441" t="n"/>
      <c r="BZ39" s="441" t="n"/>
      <c r="CA39" s="441" t="n"/>
      <c r="CB39" s="444" t="n"/>
      <c r="CC39" s="10" t="n"/>
      <c r="CD39" s="10" t="n"/>
    </row>
    <row r="40" ht="3" customHeight="1">
      <c r="B40" s="388" t="n"/>
      <c r="C40" s="494" t="n"/>
      <c r="D40" s="366" t="n"/>
      <c r="F40" s="10" t="n"/>
      <c r="H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8" t="n"/>
      <c r="AD40" s="494" t="n"/>
      <c r="AE40" s="366" t="n"/>
      <c r="AG40" s="10" t="n"/>
      <c r="AI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8" t="n"/>
      <c r="BE40" s="497" t="n"/>
      <c r="CB40" s="492" t="n"/>
      <c r="CC40" s="10" t="n"/>
      <c r="CD40" s="10" t="n"/>
    </row>
    <row r="41" ht="3" customHeight="1">
      <c r="B41" s="388" t="n"/>
      <c r="C41" s="494" t="n"/>
      <c r="D41" s="366" t="n"/>
      <c r="F41" s="10" t="n"/>
      <c r="H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8" t="n"/>
      <c r="AD41" s="494" t="n"/>
      <c r="AE41" s="366" t="n"/>
      <c r="AG41" s="10" t="n"/>
      <c r="AI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8" t="n"/>
      <c r="BE41" s="497" t="n"/>
      <c r="CB41" s="492" t="n"/>
      <c r="CC41" s="10" t="n"/>
      <c r="CD41" s="10" t="n"/>
    </row>
    <row r="42" ht="3" customHeight="1">
      <c r="B42" s="388" t="n"/>
      <c r="C42" s="494" t="n"/>
      <c r="D42" s="10" t="n"/>
      <c r="F42" s="10" t="n"/>
      <c r="H42" s="10" t="n"/>
      <c r="J42" s="10" t="n"/>
      <c r="K42" s="10" t="n"/>
      <c r="L42" s="10" t="n"/>
      <c r="M42" s="10" t="n"/>
      <c r="N42" s="366" t="n"/>
      <c r="O42" s="366" t="n">
        <v>1</v>
      </c>
      <c r="P42" s="366" t="n"/>
      <c r="Q42" s="366" t="inlineStr">
        <is>
          <t>+</t>
        </is>
      </c>
      <c r="R42" s="366" t="n"/>
      <c r="S42" s="366" t="inlineStr">
        <is>
          <t>i</t>
        </is>
      </c>
      <c r="T42" s="366" t="n"/>
      <c r="U42" s="367" t="inlineStr">
        <is>
          <t>n</t>
        </is>
      </c>
      <c r="V42" s="10" t="n"/>
      <c r="W42" s="366" t="inlineStr">
        <is>
          <t>-</t>
        </is>
      </c>
      <c r="X42" s="29" t="n"/>
      <c r="Y42" s="364" t="n">
        <v>1</v>
      </c>
      <c r="AD42" s="494" t="n"/>
      <c r="AE42" s="10" t="n"/>
      <c r="AG42" s="10" t="n"/>
      <c r="AI42" s="10" t="n"/>
      <c r="AK42" s="10" t="n"/>
      <c r="AL42" s="10" t="n"/>
      <c r="AM42" s="10" t="n"/>
      <c r="AN42" s="10" t="n"/>
      <c r="AO42" s="366" t="n"/>
      <c r="AP42" s="366" t="n">
        <v>1</v>
      </c>
      <c r="AQ42" s="366" t="n"/>
      <c r="AR42" s="366" t="inlineStr">
        <is>
          <t>+</t>
        </is>
      </c>
      <c r="AS42" s="366" t="n"/>
      <c r="AT42" s="366" t="inlineStr">
        <is>
          <t>i</t>
        </is>
      </c>
      <c r="AU42" s="366" t="n"/>
      <c r="AV42" s="367" t="inlineStr">
        <is>
          <t>n</t>
        </is>
      </c>
      <c r="AW42" s="10" t="n"/>
      <c r="AX42" s="366" t="inlineStr">
        <is>
          <t>-</t>
        </is>
      </c>
      <c r="AY42" s="29" t="n"/>
      <c r="AZ42" s="364" t="n">
        <v>1</v>
      </c>
      <c r="BE42" s="497" t="n"/>
      <c r="CB42" s="492" t="n"/>
      <c r="CC42" s="29" t="n"/>
      <c r="CD42" s="10" t="n"/>
    </row>
    <row r="43" ht="3" customHeight="1">
      <c r="B43" s="388" t="n"/>
      <c r="C43" s="494" t="n"/>
      <c r="D43" s="10" t="n"/>
      <c r="F43" s="10" t="n"/>
      <c r="H43" s="10" t="n"/>
      <c r="J43" s="10" t="n"/>
      <c r="K43" s="10" t="n"/>
      <c r="L43" s="10" t="n"/>
      <c r="M43" s="10" t="n"/>
      <c r="N43" s="366" t="n"/>
      <c r="P43" s="366" t="n"/>
      <c r="R43" s="366" t="n"/>
      <c r="T43" s="366" t="n"/>
      <c r="V43" s="10" t="n"/>
      <c r="X43" s="29" t="n"/>
      <c r="Y43" s="495" t="n"/>
      <c r="AD43" s="494" t="n"/>
      <c r="AE43" s="10" t="n"/>
      <c r="AG43" s="10" t="n"/>
      <c r="AI43" s="10" t="n"/>
      <c r="AK43" s="10" t="n"/>
      <c r="AL43" s="10" t="n"/>
      <c r="AM43" s="10" t="n"/>
      <c r="AN43" s="10" t="n"/>
      <c r="AO43" s="366" t="n"/>
      <c r="AQ43" s="366" t="n"/>
      <c r="AS43" s="366" t="n"/>
      <c r="AU43" s="366" t="n"/>
      <c r="AW43" s="10" t="n"/>
      <c r="AY43" s="29" t="n"/>
      <c r="AZ43" s="495" t="n"/>
      <c r="BE43" s="497" t="n"/>
      <c r="CB43" s="492" t="n"/>
      <c r="CC43" s="29" t="n"/>
      <c r="CD43" s="10" t="n"/>
    </row>
    <row r="44" ht="3" customHeight="1">
      <c r="B44" s="388" t="n"/>
      <c r="C44" s="494" t="n"/>
      <c r="D44" s="10" t="n"/>
      <c r="F44" s="10" t="n"/>
      <c r="H44" s="10" t="n"/>
      <c r="J44" s="10" t="n"/>
      <c r="K44" s="10" t="n"/>
      <c r="L44" s="10" t="n"/>
      <c r="M44" s="10" t="n"/>
      <c r="N44" s="366" t="n"/>
      <c r="P44" s="366" t="n"/>
      <c r="R44" s="366" t="n"/>
      <c r="T44" s="366" t="n"/>
      <c r="V44" s="10" t="n"/>
      <c r="X44" s="29" t="n"/>
      <c r="Y44" s="495" t="n"/>
      <c r="AD44" s="494" t="n"/>
      <c r="AE44" s="10" t="n"/>
      <c r="AG44" s="10" t="n"/>
      <c r="AI44" s="10" t="n"/>
      <c r="AK44" s="10" t="n"/>
      <c r="AL44" s="10" t="n"/>
      <c r="AM44" s="10" t="n"/>
      <c r="AN44" s="10" t="n"/>
      <c r="AO44" s="366" t="n"/>
      <c r="AQ44" s="366" t="n"/>
      <c r="AS44" s="366" t="n"/>
      <c r="AU44" s="366" t="n"/>
      <c r="AW44" s="10" t="n"/>
      <c r="AY44" s="29" t="n"/>
      <c r="AZ44" s="495" t="n"/>
      <c r="BE44" s="497" t="n"/>
      <c r="CB44" s="492" t="n"/>
      <c r="CC44" s="29" t="n"/>
      <c r="CD44" s="10" t="n"/>
    </row>
    <row r="45" ht="3" customHeight="1">
      <c r="B45" s="388" t="n"/>
      <c r="C45" s="494" t="n"/>
      <c r="D45" s="10" t="n"/>
      <c r="F45" s="10" t="n"/>
      <c r="H45" s="10" t="n"/>
      <c r="J45" s="10" t="n"/>
      <c r="K45" s="10" t="n"/>
      <c r="L45" s="10" t="n"/>
      <c r="M45" s="10" t="n"/>
      <c r="N45" s="10" t="n"/>
      <c r="P45" s="10" t="n"/>
      <c r="R45" s="10" t="n"/>
      <c r="T45" s="366" t="n"/>
      <c r="U45" s="366" t="n"/>
      <c r="V45" s="10" t="n"/>
      <c r="X45" s="10" t="n"/>
      <c r="Y45" s="495" t="n"/>
      <c r="AD45" s="494" t="n"/>
      <c r="AE45" s="10" t="n"/>
      <c r="AG45" s="10" t="n"/>
      <c r="AI45" s="10" t="n"/>
      <c r="AK45" s="10" t="n"/>
      <c r="AL45" s="10" t="n"/>
      <c r="AM45" s="10" t="n"/>
      <c r="AN45" s="10" t="n"/>
      <c r="AO45" s="10" t="n"/>
      <c r="AQ45" s="10" t="n"/>
      <c r="AS45" s="10" t="n"/>
      <c r="AU45" s="366" t="n"/>
      <c r="AV45" s="366" t="n"/>
      <c r="AW45" s="10" t="n"/>
      <c r="AY45" s="10" t="n"/>
      <c r="AZ45" s="495" t="n"/>
      <c r="BE45" s="497" t="n"/>
      <c r="CB45" s="492" t="n"/>
      <c r="CC45" s="10" t="n"/>
      <c r="CD45" s="10" t="n"/>
    </row>
    <row r="46" ht="3" customHeight="1">
      <c r="B46" s="388" t="n"/>
      <c r="C46" s="494" t="n"/>
      <c r="D46" s="10" t="n"/>
      <c r="F46" s="10" t="n"/>
      <c r="H46" s="10" t="n"/>
      <c r="J46" s="10" t="n"/>
      <c r="K46" s="10" t="n"/>
      <c r="L46" s="10" t="n"/>
      <c r="M46" s="10" t="n"/>
      <c r="N46" s="10" t="n"/>
      <c r="P46" s="10" t="n"/>
      <c r="R46" s="10" t="n"/>
      <c r="T46" s="366" t="n"/>
      <c r="U46" s="366" t="n"/>
      <c r="V46" s="10" t="n"/>
      <c r="X46" s="10" t="n"/>
      <c r="Y46" s="495" t="n"/>
      <c r="AD46" s="494" t="n"/>
      <c r="AE46" s="10" t="n"/>
      <c r="AG46" s="10" t="n"/>
      <c r="AI46" s="10" t="n"/>
      <c r="AK46" s="10" t="n"/>
      <c r="AL46" s="10" t="n"/>
      <c r="AM46" s="10" t="n"/>
      <c r="AN46" s="10" t="n"/>
      <c r="AO46" s="10" t="n"/>
      <c r="AQ46" s="10" t="n"/>
      <c r="AS46" s="10" t="n"/>
      <c r="AU46" s="366" t="n"/>
      <c r="AV46" s="366" t="n"/>
      <c r="AW46" s="10" t="n"/>
      <c r="AY46" s="10" t="n"/>
      <c r="AZ46" s="495" t="n"/>
      <c r="BE46" s="546">
        <f>RATE(I16,I17,-I15)</f>
        <v/>
      </c>
      <c r="CB46" s="492" t="n"/>
      <c r="CC46" s="10" t="n"/>
      <c r="CD46" s="10" t="n"/>
    </row>
    <row r="47" ht="3" customHeight="1">
      <c r="B47" s="388" t="n"/>
      <c r="C47" s="494" t="n"/>
      <c r="D47" s="10" t="n"/>
      <c r="F47" s="10" t="n"/>
      <c r="H47" s="10" t="n"/>
      <c r="J47" s="10" t="n"/>
      <c r="K47" s="10" t="n"/>
      <c r="L47" s="10" t="n"/>
      <c r="M47" s="10" t="n"/>
      <c r="N47" s="366" t="n"/>
      <c r="P47" s="366" t="n"/>
      <c r="R47" s="366" t="n"/>
      <c r="T47" s="366" t="n"/>
      <c r="U47" s="366" t="n"/>
      <c r="V47" s="10" t="n"/>
      <c r="X47" s="10" t="n"/>
      <c r="Y47" s="495" t="n"/>
      <c r="AD47" s="494" t="n"/>
      <c r="AE47" s="10" t="n"/>
      <c r="AG47" s="10" t="n"/>
      <c r="AI47" s="10" t="n"/>
      <c r="AK47" s="10" t="n"/>
      <c r="AL47" s="10" t="n"/>
      <c r="AM47" s="10" t="n"/>
      <c r="AN47" s="10" t="n"/>
      <c r="AO47" s="366" t="n"/>
      <c r="AQ47" s="366" t="n"/>
      <c r="AS47" s="366" t="n"/>
      <c r="AU47" s="366" t="n"/>
      <c r="AV47" s="366" t="n"/>
      <c r="AW47" s="10" t="n"/>
      <c r="AY47" s="10" t="n"/>
      <c r="AZ47" s="495" t="n"/>
      <c r="BE47" s="497" t="n"/>
      <c r="CB47" s="492" t="n"/>
      <c r="CC47" s="10" t="n"/>
      <c r="CD47" s="10" t="n"/>
    </row>
    <row r="48" ht="3" customHeight="1">
      <c r="C48" s="494" t="n"/>
      <c r="D48" s="10" t="n"/>
      <c r="F48" s="10" t="n"/>
      <c r="H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8" t="n"/>
      <c r="AD48" s="494" t="n"/>
      <c r="AE48" s="10" t="n"/>
      <c r="AG48" s="10" t="n"/>
      <c r="AI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8" t="n"/>
      <c r="BE48" s="497" t="n"/>
      <c r="CB48" s="492" t="n"/>
      <c r="CC48" s="10" t="n"/>
      <c r="CD48" s="10" t="n"/>
    </row>
    <row r="49" ht="9" customHeight="1" thickBot="1">
      <c r="C49" s="9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8" t="n"/>
      <c r="AD49" s="9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8" t="n"/>
      <c r="BE49" s="466" t="n"/>
      <c r="BF49" s="467" t="n"/>
      <c r="BG49" s="467" t="n"/>
      <c r="BH49" s="467" t="n"/>
      <c r="BI49" s="467" t="n"/>
      <c r="BJ49" s="467" t="n"/>
      <c r="BK49" s="467" t="n"/>
      <c r="BL49" s="467" t="n"/>
      <c r="BM49" s="467" t="n"/>
      <c r="BN49" s="467" t="n"/>
      <c r="BO49" s="467" t="n"/>
      <c r="BP49" s="467" t="n"/>
      <c r="BQ49" s="467" t="n"/>
      <c r="BR49" s="467" t="n"/>
      <c r="BS49" s="467" t="n"/>
      <c r="BT49" s="467" t="n"/>
      <c r="BU49" s="467" t="n"/>
      <c r="BV49" s="467" t="n"/>
      <c r="BW49" s="467" t="n"/>
      <c r="BX49" s="467" t="n"/>
      <c r="BY49" s="467" t="n"/>
      <c r="BZ49" s="467" t="n"/>
      <c r="CA49" s="467" t="n"/>
      <c r="CB49" s="470" t="n"/>
      <c r="CC49" s="10" t="n"/>
      <c r="CD49" s="10" t="n"/>
    </row>
    <row r="50" ht="3" customHeight="1">
      <c r="B50" s="388" t="n"/>
      <c r="C50" s="365" t="inlineStr">
        <is>
          <t>Valor da parcela</t>
        </is>
      </c>
      <c r="D50" s="10" t="n"/>
      <c r="E50" s="366" t="inlineStr">
        <is>
          <t>=</t>
        </is>
      </c>
      <c r="F50" s="10" t="n"/>
      <c r="G50" s="391">
        <f>H30</f>
        <v/>
      </c>
      <c r="H50" s="10" t="n"/>
      <c r="I50" s="366" t="inlineStr">
        <is>
          <t>x</t>
        </is>
      </c>
      <c r="J50" s="10" t="n"/>
      <c r="K50" s="10" t="n"/>
      <c r="L50" s="10" t="n"/>
      <c r="M50" s="10" t="n"/>
      <c r="N50" s="366" t="n"/>
      <c r="O50" s="366" t="n">
        <v>1</v>
      </c>
      <c r="P50" s="366" t="n"/>
      <c r="Q50" s="366" t="inlineStr">
        <is>
          <t>+</t>
        </is>
      </c>
      <c r="R50" s="366" t="n"/>
      <c r="S50" s="381">
        <f>H31</f>
        <v/>
      </c>
      <c r="T50" s="366" t="n"/>
      <c r="U50" s="382">
        <f>I32</f>
        <v/>
      </c>
      <c r="V50" s="10" t="n"/>
      <c r="W50" s="366" t="inlineStr">
        <is>
          <t>x</t>
        </is>
      </c>
      <c r="X50" s="29" t="n"/>
      <c r="Y50" s="383">
        <f>S50</f>
        <v/>
      </c>
      <c r="AD50" s="365" t="inlineStr">
        <is>
          <t>Valor da parcela</t>
        </is>
      </c>
      <c r="AE50" s="10" t="n"/>
      <c r="AF50" s="366" t="inlineStr">
        <is>
          <t>=</t>
        </is>
      </c>
      <c r="AG50" s="10" t="n"/>
      <c r="AH50" s="391">
        <f>AI30</f>
        <v/>
      </c>
      <c r="AI50" s="10" t="n"/>
      <c r="AJ50" s="366" t="inlineStr">
        <is>
          <t>x</t>
        </is>
      </c>
      <c r="AK50" s="10" t="n"/>
      <c r="AL50" s="10" t="n"/>
      <c r="AM50" s="10" t="n"/>
      <c r="AN50" s="10" t="n"/>
      <c r="AO50" s="366" t="n"/>
      <c r="AP50" s="366" t="n">
        <v>1</v>
      </c>
      <c r="AQ50" s="366" t="n"/>
      <c r="AR50" s="366" t="inlineStr">
        <is>
          <t>+</t>
        </is>
      </c>
      <c r="AS50" s="366" t="n"/>
      <c r="AT50" s="381">
        <f>AI31</f>
        <v/>
      </c>
      <c r="AU50" s="366" t="n"/>
      <c r="AV50" s="382">
        <f>AJ32</f>
        <v/>
      </c>
      <c r="AW50" s="10" t="n"/>
      <c r="AX50" s="366" t="inlineStr">
        <is>
          <t>x</t>
        </is>
      </c>
      <c r="AY50" s="29" t="n"/>
      <c r="AZ50" s="383">
        <f>AT50</f>
        <v/>
      </c>
      <c r="BE50" s="57" t="n"/>
      <c r="BF50" s="10" t="n"/>
      <c r="BG50" s="10" t="n"/>
      <c r="BH50" s="10" t="n"/>
      <c r="BI50" s="10" t="n"/>
      <c r="BJ50" s="10" t="n"/>
      <c r="BK50" s="10" t="n"/>
      <c r="BL50" s="58" t="n"/>
      <c r="BM50" s="10" t="n"/>
      <c r="BN50" s="10" t="n"/>
      <c r="BO50" s="10" t="n"/>
      <c r="BP50" s="10" t="n"/>
      <c r="BQ50" s="10" t="n"/>
      <c r="BR50" s="10" t="n"/>
      <c r="BS50" s="366" t="n"/>
      <c r="BT50" s="10" t="n"/>
      <c r="BU50" s="366" t="n"/>
      <c r="BV50" s="10" t="n"/>
      <c r="BW50" s="366" t="n"/>
      <c r="BX50" s="500" t="n"/>
      <c r="BY50" s="366" t="n"/>
      <c r="BZ50" s="60" t="n"/>
      <c r="CA50" s="10" t="n"/>
      <c r="CB50" s="10" t="n"/>
      <c r="CC50" s="29" t="n"/>
      <c r="CD50" s="500" t="n"/>
    </row>
    <row r="51" ht="3" customHeight="1">
      <c r="B51" s="388" t="n"/>
      <c r="C51" s="494" t="n"/>
      <c r="D51" s="10" t="n"/>
      <c r="F51" s="10" t="n"/>
      <c r="H51" s="10" t="n"/>
      <c r="J51" s="10" t="n"/>
      <c r="K51" s="10" t="n"/>
      <c r="L51" s="10" t="n"/>
      <c r="M51" s="10" t="n"/>
      <c r="N51" s="366" t="n"/>
      <c r="P51" s="366" t="n"/>
      <c r="R51" s="366" t="n"/>
      <c r="T51" s="366" t="n"/>
      <c r="V51" s="10" t="n"/>
      <c r="X51" s="29" t="n"/>
      <c r="Y51" s="495" t="n"/>
      <c r="AD51" s="494" t="n"/>
      <c r="AE51" s="10" t="n"/>
      <c r="AG51" s="10" t="n"/>
      <c r="AI51" s="10" t="n"/>
      <c r="AK51" s="10" t="n"/>
      <c r="AL51" s="10" t="n"/>
      <c r="AM51" s="10" t="n"/>
      <c r="AN51" s="10" t="n"/>
      <c r="AO51" s="366" t="n"/>
      <c r="AQ51" s="366" t="n"/>
      <c r="AS51" s="366" t="n"/>
      <c r="AU51" s="366" t="n"/>
      <c r="AW51" s="10" t="n"/>
      <c r="AY51" s="29" t="n"/>
      <c r="AZ51" s="495" t="n"/>
      <c r="BE51" s="57" t="n"/>
      <c r="BF51" s="10" t="n"/>
      <c r="BG51" s="10" t="n"/>
      <c r="BH51" s="10" t="n"/>
      <c r="BI51" s="10" t="n"/>
      <c r="BJ51" s="10" t="n"/>
      <c r="BK51" s="10" t="n"/>
      <c r="BL51" s="58" t="n"/>
      <c r="BM51" s="10" t="n"/>
      <c r="BN51" s="10" t="n"/>
      <c r="BO51" s="10" t="n"/>
      <c r="BP51" s="10" t="n"/>
      <c r="BQ51" s="10" t="n"/>
      <c r="BR51" s="10" t="n"/>
      <c r="BS51" s="366" t="n"/>
      <c r="BT51" s="10" t="n"/>
      <c r="BU51" s="366" t="n"/>
      <c r="BV51" s="10" t="n"/>
      <c r="BW51" s="366" t="n"/>
      <c r="BX51" s="500" t="n"/>
      <c r="BY51" s="366" t="n"/>
      <c r="BZ51" s="60" t="n"/>
      <c r="CA51" s="10" t="n"/>
      <c r="CB51" s="10" t="n"/>
      <c r="CC51" s="29" t="n"/>
      <c r="CD51" s="500" t="n"/>
    </row>
    <row r="52" ht="3" customHeight="1">
      <c r="B52" s="388" t="n"/>
      <c r="C52" s="494" t="n"/>
      <c r="D52" s="10" t="n"/>
      <c r="F52" s="10" t="n"/>
      <c r="H52" s="10" t="n"/>
      <c r="J52" s="10" t="n"/>
      <c r="K52" s="10" t="n"/>
      <c r="L52" s="10" t="n"/>
      <c r="M52" s="10" t="n"/>
      <c r="N52" s="366" t="n"/>
      <c r="P52" s="366" t="n"/>
      <c r="R52" s="366" t="n"/>
      <c r="T52" s="366" t="n"/>
      <c r="V52" s="10" t="n"/>
      <c r="X52" s="29" t="n"/>
      <c r="Y52" s="495" t="n"/>
      <c r="AD52" s="494" t="n"/>
      <c r="AE52" s="10" t="n"/>
      <c r="AG52" s="10" t="n"/>
      <c r="AI52" s="10" t="n"/>
      <c r="AK52" s="10" t="n"/>
      <c r="AL52" s="10" t="n"/>
      <c r="AM52" s="10" t="n"/>
      <c r="AN52" s="10" t="n"/>
      <c r="AO52" s="366" t="n"/>
      <c r="AQ52" s="366" t="n"/>
      <c r="AS52" s="366" t="n"/>
      <c r="AU52" s="366" t="n"/>
      <c r="AW52" s="10" t="n"/>
      <c r="AY52" s="29" t="n"/>
      <c r="AZ52" s="495" t="n"/>
      <c r="BE52" s="57" t="n"/>
      <c r="BF52" s="10" t="n"/>
      <c r="BG52" s="10" t="n"/>
      <c r="BH52" s="10" t="n"/>
      <c r="BI52" s="10" t="n"/>
      <c r="BJ52" s="10" t="n"/>
      <c r="BK52" s="10" t="n"/>
      <c r="BL52" s="58" t="n"/>
      <c r="BM52" s="10" t="n"/>
      <c r="BN52" s="10" t="n"/>
      <c r="BO52" s="10" t="n"/>
      <c r="BP52" s="10" t="n"/>
      <c r="BQ52" s="10" t="n"/>
      <c r="BR52" s="10" t="n"/>
      <c r="BS52" s="366" t="n"/>
      <c r="BT52" s="10" t="n"/>
      <c r="BU52" s="366" t="n"/>
      <c r="BV52" s="10" t="n"/>
      <c r="BW52" s="366" t="n"/>
      <c r="BX52" s="500" t="n"/>
      <c r="BY52" s="366" t="n"/>
      <c r="BZ52" s="60" t="n"/>
      <c r="CA52" s="10" t="n"/>
      <c r="CB52" s="10" t="n"/>
      <c r="CC52" s="29" t="n"/>
      <c r="CD52" s="500" t="n"/>
    </row>
    <row r="53" ht="3" customHeight="1">
      <c r="B53" s="388" t="n"/>
      <c r="C53" s="494" t="n"/>
      <c r="D53" s="10" t="n"/>
      <c r="F53" s="10" t="n"/>
      <c r="H53" s="10" t="n"/>
      <c r="J53" s="10" t="n"/>
      <c r="K53" s="10" t="n"/>
      <c r="L53" s="10" t="n"/>
      <c r="M53" s="10" t="n"/>
      <c r="N53" s="10" t="n"/>
      <c r="P53" s="10" t="n"/>
      <c r="R53" s="10" t="n"/>
      <c r="T53" s="366" t="n"/>
      <c r="U53" s="366" t="n"/>
      <c r="V53" s="10" t="n"/>
      <c r="X53" s="10" t="n"/>
      <c r="Y53" s="495" t="n"/>
      <c r="AD53" s="494" t="n"/>
      <c r="AE53" s="10" t="n"/>
      <c r="AG53" s="10" t="n"/>
      <c r="AI53" s="10" t="n"/>
      <c r="AK53" s="10" t="n"/>
      <c r="AL53" s="10" t="n"/>
      <c r="AM53" s="10" t="n"/>
      <c r="AN53" s="10" t="n"/>
      <c r="AO53" s="10" t="n"/>
      <c r="AQ53" s="10" t="n"/>
      <c r="AS53" s="10" t="n"/>
      <c r="AU53" s="366" t="n"/>
      <c r="AV53" s="366" t="n"/>
      <c r="AW53" s="10" t="n"/>
      <c r="AY53" s="10" t="n"/>
      <c r="AZ53" s="495" t="n"/>
      <c r="BE53" s="57" t="n"/>
      <c r="BF53" s="10" t="n"/>
      <c r="BG53" s="10" t="n"/>
      <c r="BH53" s="10" t="n"/>
      <c r="BI53" s="10" t="n"/>
      <c r="BJ53" s="10" t="n"/>
      <c r="BK53" s="10" t="n"/>
      <c r="BL53" s="58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500" t="n"/>
      <c r="BY53" s="366" t="n"/>
      <c r="BZ53" s="366" t="n"/>
      <c r="CA53" s="10" t="n"/>
      <c r="CB53" s="10" t="n"/>
      <c r="CC53" s="10" t="n"/>
      <c r="CD53" s="500" t="n"/>
    </row>
    <row r="54" ht="3" customHeight="1">
      <c r="B54" s="388" t="n"/>
      <c r="C54" s="494" t="n"/>
      <c r="D54" s="10" t="n"/>
      <c r="F54" s="10" t="n"/>
      <c r="H54" s="10" t="n"/>
      <c r="J54" s="10" t="n"/>
      <c r="K54" s="10" t="n"/>
      <c r="L54" s="10" t="n"/>
      <c r="M54" s="10" t="n"/>
      <c r="N54" s="10" t="n"/>
      <c r="P54" s="10" t="n"/>
      <c r="R54" s="10" t="n"/>
      <c r="T54" s="366" t="n"/>
      <c r="U54" s="366" t="n"/>
      <c r="V54" s="10" t="n"/>
      <c r="X54" s="10" t="n"/>
      <c r="Y54" s="495" t="n"/>
      <c r="AD54" s="494" t="n"/>
      <c r="AE54" s="10" t="n"/>
      <c r="AG54" s="10" t="n"/>
      <c r="AI54" s="10" t="n"/>
      <c r="AK54" s="10" t="n"/>
      <c r="AL54" s="10" t="n"/>
      <c r="AM54" s="10" t="n"/>
      <c r="AN54" s="10" t="n"/>
      <c r="AO54" s="10" t="n"/>
      <c r="AQ54" s="10" t="n"/>
      <c r="AS54" s="10" t="n"/>
      <c r="AU54" s="366" t="n"/>
      <c r="AV54" s="366" t="n"/>
      <c r="AW54" s="10" t="n"/>
      <c r="AY54" s="10" t="n"/>
      <c r="AZ54" s="495" t="n"/>
      <c r="BE54" s="57" t="n"/>
      <c r="BF54" s="10" t="n"/>
      <c r="BG54" s="10" t="n"/>
      <c r="BH54" s="10" t="n"/>
      <c r="BI54" s="10" t="n"/>
      <c r="BJ54" s="10" t="n"/>
      <c r="BK54" s="10" t="n"/>
      <c r="BL54" s="58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500" t="n"/>
      <c r="BY54" s="366" t="n"/>
      <c r="BZ54" s="366" t="n"/>
      <c r="CA54" s="10" t="n"/>
      <c r="CB54" s="10" t="n"/>
      <c r="CC54" s="10" t="n"/>
      <c r="CD54" s="500" t="n"/>
    </row>
    <row r="55" ht="3" customHeight="1">
      <c r="B55" s="388" t="n"/>
      <c r="C55" s="494" t="n"/>
      <c r="D55" s="10" t="n"/>
      <c r="F55" s="10" t="n"/>
      <c r="H55" s="10" t="n"/>
      <c r="J55" s="10" t="n"/>
      <c r="K55" s="10" t="n"/>
      <c r="L55" s="10" t="n"/>
      <c r="M55" s="10" t="n"/>
      <c r="N55" s="366" t="n"/>
      <c r="P55" s="366" t="n"/>
      <c r="R55" s="366" t="n"/>
      <c r="T55" s="366" t="n"/>
      <c r="U55" s="366" t="n"/>
      <c r="V55" s="10" t="n"/>
      <c r="X55" s="10" t="n"/>
      <c r="Y55" s="495" t="n"/>
      <c r="AD55" s="494" t="n"/>
      <c r="AE55" s="10" t="n"/>
      <c r="AG55" s="10" t="n"/>
      <c r="AI55" s="10" t="n"/>
      <c r="AK55" s="10" t="n"/>
      <c r="AL55" s="10" t="n"/>
      <c r="AM55" s="10" t="n"/>
      <c r="AN55" s="10" t="n"/>
      <c r="AO55" s="366" t="n"/>
      <c r="AQ55" s="366" t="n"/>
      <c r="AS55" s="366" t="n"/>
      <c r="AU55" s="366" t="n"/>
      <c r="AV55" s="366" t="n"/>
      <c r="AW55" s="10" t="n"/>
      <c r="AY55" s="10" t="n"/>
      <c r="AZ55" s="495" t="n"/>
      <c r="BE55" s="57" t="n"/>
      <c r="BF55" s="10" t="n"/>
      <c r="BG55" s="10" t="n"/>
      <c r="BH55" s="10" t="n"/>
      <c r="BI55" s="10" t="n"/>
      <c r="BJ55" s="10" t="n"/>
      <c r="BK55" s="10" t="n"/>
      <c r="BL55" s="58" t="n"/>
      <c r="BM55" s="10" t="n"/>
      <c r="BN55" s="10" t="n"/>
      <c r="BO55" s="10" t="n"/>
      <c r="BP55" s="10" t="n"/>
      <c r="BQ55" s="10" t="n"/>
      <c r="BR55" s="10" t="n"/>
      <c r="BS55" s="366" t="n"/>
      <c r="BT55" s="10" t="n"/>
      <c r="BU55" s="366" t="n"/>
      <c r="BV55" s="10" t="n"/>
      <c r="BW55" s="366" t="n"/>
      <c r="BX55" s="500" t="n"/>
      <c r="BY55" s="366" t="n"/>
      <c r="BZ55" s="366" t="n"/>
      <c r="CA55" s="10" t="n"/>
      <c r="CB55" s="10" t="n"/>
      <c r="CC55" s="10" t="n"/>
      <c r="CD55" s="500" t="n"/>
    </row>
    <row r="56" ht="0.75" customHeight="1">
      <c r="B56" s="388" t="n"/>
      <c r="C56" s="494" t="n"/>
      <c r="D56" s="366" t="n"/>
      <c r="F56" s="10" t="n"/>
      <c r="H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8" t="n"/>
      <c r="AD56" s="494" t="n"/>
      <c r="AE56" s="366" t="n"/>
      <c r="AG56" s="10" t="n"/>
      <c r="AI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8" t="n"/>
      <c r="BE56" s="57" t="n"/>
      <c r="BF56" s="366" t="n"/>
      <c r="BG56" s="10" t="n"/>
      <c r="BH56" s="10" t="n"/>
      <c r="BI56" s="10" t="n"/>
      <c r="BJ56" s="10" t="n"/>
      <c r="BK56" s="10" t="n"/>
      <c r="BL56" s="58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</row>
    <row r="57" hidden="1" ht="3" customHeight="1">
      <c r="B57" s="388" t="n"/>
      <c r="C57" s="494" t="n"/>
      <c r="D57" s="366" t="n"/>
      <c r="F57" s="10" t="n"/>
      <c r="H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8" t="n"/>
      <c r="AD57" s="494" t="n"/>
      <c r="AE57" s="366" t="n"/>
      <c r="AG57" s="10" t="n"/>
      <c r="AI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8" t="n"/>
      <c r="BE57" s="57" t="n"/>
      <c r="BF57" s="366" t="n"/>
      <c r="BG57" s="10" t="n"/>
      <c r="BH57" s="10" t="n"/>
      <c r="BI57" s="10" t="n"/>
      <c r="BJ57" s="10" t="n"/>
      <c r="BK57" s="10" t="n"/>
      <c r="BL57" s="58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</row>
    <row r="58" ht="3" customHeight="1">
      <c r="B58" s="388" t="n"/>
      <c r="C58" s="494" t="n"/>
      <c r="D58" s="10" t="n"/>
      <c r="F58" s="10" t="n"/>
      <c r="H58" s="10" t="n"/>
      <c r="J58" s="10" t="n"/>
      <c r="K58" s="10" t="n"/>
      <c r="L58" s="10" t="n"/>
      <c r="M58" s="10" t="n"/>
      <c r="N58" s="366" t="n"/>
      <c r="O58" s="366" t="n">
        <v>1</v>
      </c>
      <c r="P58" s="366" t="n"/>
      <c r="Q58" s="366" t="inlineStr">
        <is>
          <t>+</t>
        </is>
      </c>
      <c r="R58" s="366" t="n"/>
      <c r="S58" s="381">
        <f>S50</f>
        <v/>
      </c>
      <c r="T58" s="366" t="n"/>
      <c r="U58" s="382">
        <f>U50</f>
        <v/>
      </c>
      <c r="V58" s="10" t="n"/>
      <c r="W58" s="366" t="inlineStr">
        <is>
          <t>-</t>
        </is>
      </c>
      <c r="X58" s="29" t="n"/>
      <c r="Y58" s="364" t="n">
        <v>1</v>
      </c>
      <c r="AD58" s="494" t="n"/>
      <c r="AE58" s="10" t="n"/>
      <c r="AG58" s="10" t="n"/>
      <c r="AI58" s="10" t="n"/>
      <c r="AK58" s="10" t="n"/>
      <c r="AL58" s="10" t="n"/>
      <c r="AM58" s="10" t="n"/>
      <c r="AN58" s="10" t="n"/>
      <c r="AO58" s="366" t="n"/>
      <c r="AP58" s="366" t="n">
        <v>1</v>
      </c>
      <c r="AQ58" s="366" t="n"/>
      <c r="AR58" s="366" t="inlineStr">
        <is>
          <t>+</t>
        </is>
      </c>
      <c r="AS58" s="366" t="n"/>
      <c r="AT58" s="381">
        <f>AT50</f>
        <v/>
      </c>
      <c r="AU58" s="366" t="n"/>
      <c r="AV58" s="382">
        <f>AV50</f>
        <v/>
      </c>
      <c r="AW58" s="10" t="n"/>
      <c r="AX58" s="366" t="inlineStr">
        <is>
          <t>-</t>
        </is>
      </c>
      <c r="AY58" s="29" t="n"/>
      <c r="AZ58" s="364" t="n">
        <v>1</v>
      </c>
      <c r="BE58" s="57" t="n"/>
      <c r="BF58" s="10" t="n"/>
      <c r="BG58" s="10" t="n"/>
      <c r="BH58" s="10" t="n"/>
      <c r="BI58" s="10" t="n"/>
      <c r="BJ58" s="10" t="n"/>
      <c r="BK58" s="10" t="n"/>
      <c r="BL58" s="58" t="n"/>
      <c r="BM58" s="10" t="n"/>
      <c r="BN58" s="10" t="n"/>
      <c r="BO58" s="10" t="n"/>
      <c r="BP58" s="10" t="n"/>
      <c r="BQ58" s="10" t="n"/>
      <c r="BR58" s="10" t="n"/>
      <c r="BS58" s="366" t="n"/>
      <c r="BT58" s="10" t="n"/>
      <c r="BU58" s="366" t="n"/>
      <c r="BV58" s="10" t="n"/>
      <c r="BW58" s="366" t="n"/>
      <c r="BX58" s="500" t="n"/>
      <c r="BY58" s="366" t="n"/>
      <c r="BZ58" s="60" t="n"/>
      <c r="CA58" s="10" t="n"/>
      <c r="CB58" s="10" t="n"/>
      <c r="CC58" s="29" t="n"/>
      <c r="CD58" s="10" t="n"/>
    </row>
    <row r="59" ht="3" customHeight="1">
      <c r="B59" s="388" t="n"/>
      <c r="C59" s="494" t="n"/>
      <c r="D59" s="10" t="n"/>
      <c r="F59" s="10" t="n"/>
      <c r="H59" s="10" t="n"/>
      <c r="J59" s="10" t="n"/>
      <c r="K59" s="10" t="n"/>
      <c r="L59" s="10" t="n"/>
      <c r="M59" s="10" t="n"/>
      <c r="N59" s="366" t="n"/>
      <c r="P59" s="366" t="n"/>
      <c r="R59" s="366" t="n"/>
      <c r="T59" s="366" t="n"/>
      <c r="V59" s="10" t="n"/>
      <c r="X59" s="29" t="n"/>
      <c r="Y59" s="495" t="n"/>
      <c r="AD59" s="494" t="n"/>
      <c r="AE59" s="10" t="n"/>
      <c r="AG59" s="10" t="n"/>
      <c r="AI59" s="10" t="n"/>
      <c r="AK59" s="10" t="n"/>
      <c r="AL59" s="10" t="n"/>
      <c r="AM59" s="10" t="n"/>
      <c r="AN59" s="10" t="n"/>
      <c r="AO59" s="366" t="n"/>
      <c r="AQ59" s="366" t="n"/>
      <c r="AS59" s="366" t="n"/>
      <c r="AU59" s="366" t="n"/>
      <c r="AW59" s="10" t="n"/>
      <c r="AY59" s="29" t="n"/>
      <c r="AZ59" s="495" t="n"/>
      <c r="BE59" s="57" t="n"/>
      <c r="BF59" s="10" t="n"/>
      <c r="BG59" s="10" t="n"/>
      <c r="BH59" s="10" t="n"/>
      <c r="BI59" s="10" t="n"/>
      <c r="BJ59" s="10" t="n"/>
      <c r="BK59" s="10" t="n"/>
      <c r="BL59" s="58" t="n"/>
      <c r="BM59" s="10" t="n"/>
      <c r="BN59" s="10" t="n"/>
      <c r="BO59" s="10" t="n"/>
      <c r="BP59" s="10" t="n"/>
      <c r="BQ59" s="10" t="n"/>
      <c r="BR59" s="10" t="n"/>
      <c r="BS59" s="366" t="n"/>
      <c r="BT59" s="10" t="n"/>
      <c r="BU59" s="366" t="n"/>
      <c r="BV59" s="10" t="n"/>
      <c r="BW59" s="366" t="n"/>
      <c r="BX59" s="500" t="n"/>
      <c r="BY59" s="366" t="n"/>
      <c r="BZ59" s="60" t="n"/>
      <c r="CA59" s="10" t="n"/>
      <c r="CB59" s="10" t="n"/>
      <c r="CC59" s="29" t="n"/>
      <c r="CD59" s="10" t="n"/>
    </row>
    <row r="60" ht="3" customHeight="1">
      <c r="B60" s="388" t="n"/>
      <c r="C60" s="494" t="n"/>
      <c r="D60" s="10" t="n"/>
      <c r="F60" s="10" t="n"/>
      <c r="H60" s="10" t="n"/>
      <c r="J60" s="10" t="n"/>
      <c r="K60" s="10" t="n"/>
      <c r="L60" s="10" t="n"/>
      <c r="M60" s="10" t="n"/>
      <c r="N60" s="366" t="n"/>
      <c r="P60" s="366" t="n"/>
      <c r="R60" s="366" t="n"/>
      <c r="T60" s="366" t="n"/>
      <c r="V60" s="10" t="n"/>
      <c r="X60" s="29" t="n"/>
      <c r="Y60" s="495" t="n"/>
      <c r="AD60" s="494" t="n"/>
      <c r="AE60" s="10" t="n"/>
      <c r="AG60" s="10" t="n"/>
      <c r="AI60" s="10" t="n"/>
      <c r="AK60" s="10" t="n"/>
      <c r="AL60" s="10" t="n"/>
      <c r="AM60" s="10" t="n"/>
      <c r="AN60" s="10" t="n"/>
      <c r="AO60" s="366" t="n"/>
      <c r="AQ60" s="366" t="n"/>
      <c r="AS60" s="366" t="n"/>
      <c r="AU60" s="366" t="n"/>
      <c r="AW60" s="10" t="n"/>
      <c r="AY60" s="29" t="n"/>
      <c r="AZ60" s="495" t="n"/>
      <c r="BE60" s="57" t="n"/>
      <c r="BF60" s="10" t="n"/>
      <c r="BG60" s="10" t="n"/>
      <c r="BH60" s="10" t="n"/>
      <c r="BI60" s="10" t="n"/>
      <c r="BJ60" s="10" t="n"/>
      <c r="BK60" s="10" t="n"/>
      <c r="BL60" s="58" t="n"/>
      <c r="BM60" s="10" t="n"/>
      <c r="BN60" s="10" t="n"/>
      <c r="BO60" s="10" t="n"/>
      <c r="BP60" s="10" t="n"/>
      <c r="BQ60" s="10" t="n"/>
      <c r="BR60" s="10" t="n"/>
      <c r="BS60" s="366" t="n"/>
      <c r="BT60" s="10" t="n"/>
      <c r="BU60" s="366" t="n"/>
      <c r="BV60" s="10" t="n"/>
      <c r="BW60" s="366" t="n"/>
      <c r="BX60" s="500" t="n"/>
      <c r="BY60" s="366" t="n"/>
      <c r="BZ60" s="60" t="n"/>
      <c r="CA60" s="10" t="n"/>
      <c r="CB60" s="10" t="n"/>
      <c r="CC60" s="29" t="n"/>
      <c r="CD60" s="10" t="n"/>
    </row>
    <row r="61" ht="3" customHeight="1">
      <c r="B61" s="388" t="n"/>
      <c r="C61" s="494" t="n"/>
      <c r="D61" s="10" t="n"/>
      <c r="F61" s="10" t="n"/>
      <c r="H61" s="10" t="n"/>
      <c r="J61" s="10" t="n"/>
      <c r="K61" s="10" t="n"/>
      <c r="L61" s="10" t="n"/>
      <c r="M61" s="10" t="n"/>
      <c r="N61" s="10" t="n"/>
      <c r="P61" s="10" t="n"/>
      <c r="R61" s="10" t="n"/>
      <c r="T61" s="366" t="n"/>
      <c r="U61" s="366" t="n"/>
      <c r="V61" s="10" t="n"/>
      <c r="X61" s="10" t="n"/>
      <c r="Y61" s="495" t="n"/>
      <c r="AD61" s="494" t="n"/>
      <c r="AE61" s="10" t="n"/>
      <c r="AG61" s="10" t="n"/>
      <c r="AI61" s="10" t="n"/>
      <c r="AK61" s="10" t="n"/>
      <c r="AL61" s="10" t="n"/>
      <c r="AM61" s="10" t="n"/>
      <c r="AN61" s="10" t="n"/>
      <c r="AO61" s="10" t="n"/>
      <c r="AQ61" s="10" t="n"/>
      <c r="AS61" s="10" t="n"/>
      <c r="AU61" s="366" t="n"/>
      <c r="AV61" s="366" t="n"/>
      <c r="AW61" s="10" t="n"/>
      <c r="AY61" s="10" t="n"/>
      <c r="AZ61" s="495" t="n"/>
      <c r="BE61" s="57" t="n"/>
      <c r="BF61" s="10" t="n"/>
      <c r="BG61" s="10" t="n"/>
      <c r="BH61" s="10" t="n"/>
      <c r="BI61" s="10" t="n"/>
      <c r="BJ61" s="10" t="n"/>
      <c r="BK61" s="10" t="n"/>
      <c r="BL61" s="58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500" t="n"/>
      <c r="BY61" s="366" t="n"/>
      <c r="BZ61" s="366" t="n"/>
      <c r="CA61" s="10" t="n"/>
      <c r="CB61" s="10" t="n"/>
      <c r="CC61" s="10" t="n"/>
      <c r="CD61" s="10" t="n"/>
    </row>
    <row r="62" ht="3" customHeight="1">
      <c r="B62" s="388" t="n"/>
      <c r="C62" s="494" t="n"/>
      <c r="D62" s="10" t="n"/>
      <c r="F62" s="10" t="n"/>
      <c r="H62" s="10" t="n"/>
      <c r="J62" s="10" t="n"/>
      <c r="K62" s="10" t="n"/>
      <c r="L62" s="10" t="n"/>
      <c r="M62" s="10" t="n"/>
      <c r="N62" s="10" t="n"/>
      <c r="P62" s="10" t="n"/>
      <c r="R62" s="10" t="n"/>
      <c r="T62" s="366" t="n"/>
      <c r="U62" s="366" t="n"/>
      <c r="V62" s="10" t="n"/>
      <c r="X62" s="10" t="n"/>
      <c r="Y62" s="495" t="n"/>
      <c r="AD62" s="494" t="n"/>
      <c r="AE62" s="10" t="n"/>
      <c r="AG62" s="10" t="n"/>
      <c r="AI62" s="10" t="n"/>
      <c r="AK62" s="10" t="n"/>
      <c r="AL62" s="10" t="n"/>
      <c r="AM62" s="10" t="n"/>
      <c r="AN62" s="10" t="n"/>
      <c r="AO62" s="10" t="n"/>
      <c r="AQ62" s="10" t="n"/>
      <c r="AS62" s="10" t="n"/>
      <c r="AU62" s="366" t="n"/>
      <c r="AV62" s="366" t="n"/>
      <c r="AW62" s="10" t="n"/>
      <c r="AY62" s="10" t="n"/>
      <c r="AZ62" s="495" t="n"/>
      <c r="BE62" s="57" t="n"/>
      <c r="BF62" s="10" t="n"/>
      <c r="BG62" s="10" t="n"/>
      <c r="BH62" s="10" t="n"/>
      <c r="BI62" s="10" t="n"/>
      <c r="BJ62" s="10" t="n"/>
      <c r="BK62" s="10" t="n"/>
      <c r="BL62" s="58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500" t="n"/>
      <c r="BY62" s="366" t="n"/>
      <c r="BZ62" s="366" t="n"/>
      <c r="CA62" s="10" t="n"/>
      <c r="CB62" s="10" t="n"/>
      <c r="CC62" s="10" t="n"/>
      <c r="CD62" s="10" t="n"/>
    </row>
    <row r="63" ht="3" customHeight="1">
      <c r="B63" s="388" t="n"/>
      <c r="C63" s="494" t="n"/>
      <c r="D63" s="10" t="n"/>
      <c r="F63" s="10" t="n"/>
      <c r="H63" s="10" t="n"/>
      <c r="J63" s="10" t="n"/>
      <c r="K63" s="10" t="n"/>
      <c r="L63" s="10" t="n"/>
      <c r="M63" s="10" t="n"/>
      <c r="N63" s="366" t="n"/>
      <c r="P63" s="366" t="n"/>
      <c r="R63" s="366" t="n"/>
      <c r="T63" s="366" t="n"/>
      <c r="U63" s="366" t="n"/>
      <c r="V63" s="10" t="n"/>
      <c r="X63" s="10" t="n"/>
      <c r="Y63" s="495" t="n"/>
      <c r="AD63" s="494" t="n"/>
      <c r="AE63" s="10" t="n"/>
      <c r="AG63" s="10" t="n"/>
      <c r="AI63" s="10" t="n"/>
      <c r="AK63" s="10" t="n"/>
      <c r="AL63" s="10" t="n"/>
      <c r="AM63" s="10" t="n"/>
      <c r="AN63" s="10" t="n"/>
      <c r="AO63" s="366" t="n"/>
      <c r="AQ63" s="366" t="n"/>
      <c r="AS63" s="366" t="n"/>
      <c r="AU63" s="366" t="n"/>
      <c r="AV63" s="366" t="n"/>
      <c r="AW63" s="10" t="n"/>
      <c r="AY63" s="10" t="n"/>
      <c r="AZ63" s="495" t="n"/>
      <c r="BE63" s="57" t="n"/>
      <c r="BF63" s="10" t="n"/>
      <c r="BG63" s="10" t="n"/>
      <c r="BH63" s="10" t="n"/>
      <c r="BI63" s="10" t="n"/>
      <c r="BJ63" s="10" t="n"/>
      <c r="BK63" s="10" t="n"/>
      <c r="BL63" s="58" t="n"/>
      <c r="BM63" s="10" t="n"/>
      <c r="BN63" s="10" t="n"/>
      <c r="BO63" s="10" t="n"/>
      <c r="BP63" s="10" t="n"/>
      <c r="BQ63" s="10" t="n"/>
      <c r="BR63" s="10" t="n"/>
      <c r="BS63" s="366" t="n"/>
      <c r="BT63" s="10" t="n"/>
      <c r="BU63" s="366" t="n"/>
      <c r="BV63" s="10" t="n"/>
      <c r="BW63" s="366" t="n"/>
      <c r="BX63" s="500" t="n"/>
      <c r="BY63" s="366" t="n"/>
      <c r="BZ63" s="366" t="n"/>
      <c r="CA63" s="10" t="n"/>
      <c r="CB63" s="10" t="n"/>
      <c r="CC63" s="10" t="n"/>
      <c r="CD63" s="10" t="n"/>
    </row>
    <row r="64" hidden="1" ht="3" customHeight="1">
      <c r="C64" s="494" t="n"/>
      <c r="D64" s="10" t="n"/>
      <c r="F64" s="10" t="n"/>
      <c r="H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8" t="n"/>
      <c r="AD64" s="494" t="n"/>
      <c r="AE64" s="10" t="n"/>
      <c r="AG64" s="10" t="n"/>
      <c r="AI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8" t="n"/>
      <c r="BE64" s="57" t="n"/>
      <c r="BF64" s="10" t="n"/>
      <c r="BG64" s="10" t="n"/>
      <c r="BH64" s="10" t="n"/>
      <c r="BI64" s="10" t="n"/>
      <c r="BJ64" s="10" t="n"/>
      <c r="BK64" s="10" t="n"/>
      <c r="BL64" s="58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</row>
    <row r="65" hidden="1" ht="9" customHeight="1">
      <c r="C65" s="9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8" t="n"/>
      <c r="AD65" s="9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8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</row>
    <row r="66" hidden="1" ht="3" customHeight="1">
      <c r="B66" s="388" t="n"/>
      <c r="C66" s="365" t="inlineStr">
        <is>
          <t>PMT</t>
        </is>
      </c>
      <c r="D66" s="10" t="n"/>
      <c r="E66" s="366" t="inlineStr">
        <is>
          <t>=</t>
        </is>
      </c>
      <c r="F66" s="10" t="n"/>
      <c r="G66" s="391">
        <f>G50</f>
        <v/>
      </c>
      <c r="H66" s="10" t="n"/>
      <c r="I66" s="366" t="inlineStr">
        <is>
          <t>x</t>
        </is>
      </c>
      <c r="J66" s="10" t="n"/>
      <c r="K66" s="10" t="n"/>
      <c r="L66" s="10" t="n"/>
      <c r="M66" s="10" t="n"/>
      <c r="N66" s="366" t="n"/>
      <c r="O66" s="547">
        <f>O50+S50</f>
        <v/>
      </c>
      <c r="T66" s="366" t="n"/>
      <c r="U66" s="382">
        <f>U50</f>
        <v/>
      </c>
      <c r="V66" s="10" t="n"/>
      <c r="W66" s="366" t="inlineStr">
        <is>
          <t>x</t>
        </is>
      </c>
      <c r="X66" s="29" t="n"/>
      <c r="Y66" s="548">
        <f>Y50</f>
        <v/>
      </c>
      <c r="AD66" s="365" t="inlineStr">
        <is>
          <t>PMT</t>
        </is>
      </c>
      <c r="AE66" s="10" t="n"/>
      <c r="AF66" s="366" t="inlineStr">
        <is>
          <t>=</t>
        </is>
      </c>
      <c r="AG66" s="10" t="n"/>
      <c r="AH66" s="391">
        <f>AH50</f>
        <v/>
      </c>
      <c r="AI66" s="10" t="n"/>
      <c r="AJ66" s="366" t="inlineStr">
        <is>
          <t>x</t>
        </is>
      </c>
      <c r="AK66" s="10" t="n"/>
      <c r="AL66" s="10" t="n"/>
      <c r="AM66" s="10" t="n"/>
      <c r="AN66" s="10" t="n"/>
      <c r="AO66" s="366" t="n"/>
      <c r="AP66" s="547">
        <f>AP50+AT50</f>
        <v/>
      </c>
      <c r="AU66" s="366" t="n"/>
      <c r="AV66" s="382">
        <f>AV50</f>
        <v/>
      </c>
      <c r="AW66" s="10" t="n"/>
      <c r="AX66" s="366" t="inlineStr">
        <is>
          <t>x</t>
        </is>
      </c>
      <c r="AY66" s="29" t="n"/>
      <c r="AZ66" s="548">
        <f>AZ50</f>
        <v/>
      </c>
      <c r="BE66" s="57" t="n"/>
      <c r="BF66" s="10" t="n"/>
      <c r="BG66" s="10" t="n"/>
      <c r="BH66" s="10" t="n"/>
      <c r="BI66" s="10" t="n"/>
      <c r="BJ66" s="10" t="n"/>
      <c r="BK66" s="10" t="n"/>
      <c r="BL66" s="58" t="n"/>
      <c r="BM66" s="10" t="n"/>
      <c r="BN66" s="10" t="n"/>
      <c r="BO66" s="10" t="n"/>
      <c r="BP66" s="10" t="n"/>
      <c r="BQ66" s="10" t="n"/>
      <c r="BR66" s="10" t="n"/>
      <c r="BS66" s="366" t="n"/>
      <c r="BT66" s="549" t="n"/>
      <c r="BU66" s="549" t="n"/>
      <c r="BV66" s="549" t="n"/>
      <c r="BW66" s="549" t="n"/>
      <c r="BX66" s="549" t="n"/>
      <c r="BY66" s="366" t="n"/>
      <c r="BZ66" s="60" t="n"/>
      <c r="CA66" s="10" t="n"/>
      <c r="CB66" s="10" t="n"/>
      <c r="CC66" s="29" t="n"/>
      <c r="CD66" s="500" t="n"/>
    </row>
    <row r="67" hidden="1" ht="3" customHeight="1">
      <c r="B67" s="388" t="n"/>
      <c r="C67" s="494" t="n"/>
      <c r="D67" s="10" t="n"/>
      <c r="F67" s="10" t="n"/>
      <c r="H67" s="10" t="n"/>
      <c r="J67" s="10" t="n"/>
      <c r="K67" s="10" t="n"/>
      <c r="L67" s="10" t="n"/>
      <c r="M67" s="10" t="n"/>
      <c r="N67" s="366" t="n"/>
      <c r="T67" s="366" t="n"/>
      <c r="V67" s="10" t="n"/>
      <c r="X67" s="29" t="n"/>
      <c r="Y67" s="495" t="n"/>
      <c r="AD67" s="494" t="n"/>
      <c r="AE67" s="10" t="n"/>
      <c r="AG67" s="10" t="n"/>
      <c r="AI67" s="10" t="n"/>
      <c r="AK67" s="10" t="n"/>
      <c r="AL67" s="10" t="n"/>
      <c r="AM67" s="10" t="n"/>
      <c r="AN67" s="10" t="n"/>
      <c r="AO67" s="366" t="n"/>
      <c r="AU67" s="366" t="n"/>
      <c r="AW67" s="10" t="n"/>
      <c r="AY67" s="29" t="n"/>
      <c r="AZ67" s="495" t="n"/>
      <c r="BE67" s="57" t="n"/>
      <c r="BF67" s="10" t="n"/>
      <c r="BG67" s="10" t="n"/>
      <c r="BH67" s="10" t="n"/>
      <c r="BI67" s="10" t="n"/>
      <c r="BJ67" s="10" t="n"/>
      <c r="BK67" s="10" t="n"/>
      <c r="BL67" s="58" t="n"/>
      <c r="BM67" s="10" t="n"/>
      <c r="BN67" s="10" t="n"/>
      <c r="BO67" s="10" t="n"/>
      <c r="BP67" s="10" t="n"/>
      <c r="BQ67" s="10" t="n"/>
      <c r="BR67" s="10" t="n"/>
      <c r="BS67" s="366" t="n"/>
      <c r="BT67" s="549" t="n"/>
      <c r="BU67" s="549" t="n"/>
      <c r="BV67" s="549" t="n"/>
      <c r="BW67" s="549" t="n"/>
      <c r="BX67" s="549" t="n"/>
      <c r="BY67" s="366" t="n"/>
      <c r="BZ67" s="60" t="n"/>
      <c r="CA67" s="10" t="n"/>
      <c r="CB67" s="10" t="n"/>
      <c r="CC67" s="29" t="n"/>
      <c r="CD67" s="500" t="n"/>
    </row>
    <row r="68" hidden="1" ht="3" customHeight="1">
      <c r="B68" s="388" t="n"/>
      <c r="C68" s="494" t="n"/>
      <c r="D68" s="10" t="n"/>
      <c r="F68" s="10" t="n"/>
      <c r="H68" s="10" t="n"/>
      <c r="J68" s="10" t="n"/>
      <c r="K68" s="10" t="n"/>
      <c r="L68" s="10" t="n"/>
      <c r="M68" s="10" t="n"/>
      <c r="N68" s="366" t="n"/>
      <c r="T68" s="366" t="n"/>
      <c r="V68" s="10" t="n"/>
      <c r="X68" s="29" t="n"/>
      <c r="Y68" s="495" t="n"/>
      <c r="AD68" s="494" t="n"/>
      <c r="AE68" s="10" t="n"/>
      <c r="AG68" s="10" t="n"/>
      <c r="AI68" s="10" t="n"/>
      <c r="AK68" s="10" t="n"/>
      <c r="AL68" s="10" t="n"/>
      <c r="AM68" s="10" t="n"/>
      <c r="AN68" s="10" t="n"/>
      <c r="AO68" s="366" t="n"/>
      <c r="AU68" s="366" t="n"/>
      <c r="AW68" s="10" t="n"/>
      <c r="AY68" s="29" t="n"/>
      <c r="AZ68" s="495" t="n"/>
      <c r="BE68" s="57" t="n"/>
      <c r="BF68" s="10" t="n"/>
      <c r="BG68" s="10" t="n"/>
      <c r="BH68" s="10" t="n"/>
      <c r="BI68" s="10" t="n"/>
      <c r="BJ68" s="10" t="n"/>
      <c r="BK68" s="10" t="n"/>
      <c r="BL68" s="58" t="n"/>
      <c r="BM68" s="10" t="n"/>
      <c r="BN68" s="10" t="n"/>
      <c r="BO68" s="10" t="n"/>
      <c r="BP68" s="10" t="n"/>
      <c r="BQ68" s="10" t="n"/>
      <c r="BR68" s="10" t="n"/>
      <c r="BS68" s="366" t="n"/>
      <c r="BT68" s="549" t="n"/>
      <c r="BU68" s="549" t="n"/>
      <c r="BV68" s="549" t="n"/>
      <c r="BW68" s="549" t="n"/>
      <c r="BX68" s="549" t="n"/>
      <c r="BY68" s="366" t="n"/>
      <c r="BZ68" s="60" t="n"/>
      <c r="CA68" s="10" t="n"/>
      <c r="CB68" s="10" t="n"/>
      <c r="CC68" s="29" t="n"/>
      <c r="CD68" s="500" t="n"/>
    </row>
    <row r="69" hidden="1" ht="3" customHeight="1">
      <c r="B69" s="388" t="n"/>
      <c r="C69" s="494" t="n"/>
      <c r="D69" s="10" t="n"/>
      <c r="F69" s="10" t="n"/>
      <c r="H69" s="10" t="n"/>
      <c r="J69" s="10" t="n"/>
      <c r="K69" s="10" t="n"/>
      <c r="L69" s="10" t="n"/>
      <c r="M69" s="10" t="n"/>
      <c r="N69" s="10" t="n"/>
      <c r="T69" s="366" t="n"/>
      <c r="U69" s="366" t="n"/>
      <c r="V69" s="10" t="n"/>
      <c r="X69" s="10" t="n"/>
      <c r="Y69" s="495" t="n"/>
      <c r="AD69" s="494" t="n"/>
      <c r="AE69" s="10" t="n"/>
      <c r="AG69" s="10" t="n"/>
      <c r="AI69" s="10" t="n"/>
      <c r="AK69" s="10" t="n"/>
      <c r="AL69" s="10" t="n"/>
      <c r="AM69" s="10" t="n"/>
      <c r="AN69" s="10" t="n"/>
      <c r="AO69" s="10" t="n"/>
      <c r="AU69" s="366" t="n"/>
      <c r="AV69" s="366" t="n"/>
      <c r="AW69" s="10" t="n"/>
      <c r="AY69" s="10" t="n"/>
      <c r="AZ69" s="495" t="n"/>
      <c r="BE69" s="57" t="n"/>
      <c r="BF69" s="10" t="n"/>
      <c r="BG69" s="10" t="n"/>
      <c r="BH69" s="10" t="n"/>
      <c r="BI69" s="10" t="n"/>
      <c r="BJ69" s="10" t="n"/>
      <c r="BK69" s="10" t="n"/>
      <c r="BL69" s="58" t="n"/>
      <c r="BM69" s="10" t="n"/>
      <c r="BN69" s="10" t="n"/>
      <c r="BO69" s="10" t="n"/>
      <c r="BP69" s="10" t="n"/>
      <c r="BQ69" s="10" t="n"/>
      <c r="BR69" s="10" t="n"/>
      <c r="BS69" s="10" t="n"/>
      <c r="BT69" s="549" t="n"/>
      <c r="BU69" s="549" t="n"/>
      <c r="BV69" s="549" t="n"/>
      <c r="BW69" s="549" t="n"/>
      <c r="BX69" s="549" t="n"/>
      <c r="BY69" s="366" t="n"/>
      <c r="BZ69" s="366" t="n"/>
      <c r="CA69" s="10" t="n"/>
      <c r="CB69" s="10" t="n"/>
      <c r="CC69" s="10" t="n"/>
      <c r="CD69" s="500" t="n"/>
    </row>
    <row r="70" hidden="1" ht="3" customHeight="1">
      <c r="B70" s="388" t="n"/>
      <c r="C70" s="494" t="n"/>
      <c r="D70" s="10" t="n"/>
      <c r="F70" s="10" t="n"/>
      <c r="H70" s="10" t="n"/>
      <c r="J70" s="10" t="n"/>
      <c r="K70" s="10" t="n"/>
      <c r="L70" s="10" t="n"/>
      <c r="M70" s="10" t="n"/>
      <c r="N70" s="10" t="n"/>
      <c r="T70" s="366" t="n"/>
      <c r="U70" s="366" t="n"/>
      <c r="V70" s="10" t="n"/>
      <c r="X70" s="10" t="n"/>
      <c r="Y70" s="495" t="n"/>
      <c r="AD70" s="494" t="n"/>
      <c r="AE70" s="10" t="n"/>
      <c r="AG70" s="10" t="n"/>
      <c r="AI70" s="10" t="n"/>
      <c r="AK70" s="10" t="n"/>
      <c r="AL70" s="10" t="n"/>
      <c r="AM70" s="10" t="n"/>
      <c r="AN70" s="10" t="n"/>
      <c r="AO70" s="10" t="n"/>
      <c r="AU70" s="366" t="n"/>
      <c r="AV70" s="366" t="n"/>
      <c r="AW70" s="10" t="n"/>
      <c r="AY70" s="10" t="n"/>
      <c r="AZ70" s="495" t="n"/>
      <c r="BE70" s="57" t="n"/>
      <c r="BF70" s="10" t="n"/>
      <c r="BG70" s="10" t="n"/>
      <c r="BH70" s="10" t="n"/>
      <c r="BI70" s="10" t="n"/>
      <c r="BJ70" s="10" t="n"/>
      <c r="BK70" s="10" t="n"/>
      <c r="BL70" s="58" t="n"/>
      <c r="BM70" s="10" t="n"/>
      <c r="BN70" s="10" t="n"/>
      <c r="BO70" s="10" t="n"/>
      <c r="BP70" s="10" t="n"/>
      <c r="BQ70" s="10" t="n"/>
      <c r="BR70" s="10" t="n"/>
      <c r="BS70" s="10" t="n"/>
      <c r="BT70" s="549" t="n"/>
      <c r="BU70" s="549" t="n"/>
      <c r="BV70" s="549" t="n"/>
      <c r="BW70" s="549" t="n"/>
      <c r="BX70" s="549" t="n"/>
      <c r="BY70" s="366" t="n"/>
      <c r="BZ70" s="366" t="n"/>
      <c r="CA70" s="10" t="n"/>
      <c r="CB70" s="10" t="n"/>
      <c r="CC70" s="10" t="n"/>
      <c r="CD70" s="500" t="n"/>
    </row>
    <row r="71" hidden="1" ht="3" customHeight="1">
      <c r="B71" s="388" t="n"/>
      <c r="C71" s="494" t="n"/>
      <c r="D71" s="10" t="n"/>
      <c r="F71" s="10" t="n"/>
      <c r="H71" s="10" t="n"/>
      <c r="J71" s="10" t="n"/>
      <c r="K71" s="10" t="n"/>
      <c r="L71" s="10" t="n"/>
      <c r="M71" s="10" t="n"/>
      <c r="N71" s="366" t="n"/>
      <c r="T71" s="366" t="n"/>
      <c r="U71" s="366" t="n"/>
      <c r="V71" s="10" t="n"/>
      <c r="X71" s="10" t="n"/>
      <c r="Y71" s="495" t="n"/>
      <c r="AD71" s="494" t="n"/>
      <c r="AE71" s="10" t="n"/>
      <c r="AG71" s="10" t="n"/>
      <c r="AI71" s="10" t="n"/>
      <c r="AK71" s="10" t="n"/>
      <c r="AL71" s="10" t="n"/>
      <c r="AM71" s="10" t="n"/>
      <c r="AN71" s="10" t="n"/>
      <c r="AO71" s="366" t="n"/>
      <c r="AU71" s="366" t="n"/>
      <c r="AV71" s="366" t="n"/>
      <c r="AW71" s="10" t="n"/>
      <c r="AY71" s="10" t="n"/>
      <c r="AZ71" s="495" t="n"/>
      <c r="BE71" s="57" t="n"/>
      <c r="BF71" s="10" t="n"/>
      <c r="BG71" s="10" t="n"/>
      <c r="BH71" s="10" t="n"/>
      <c r="BI71" s="10" t="n"/>
      <c r="BJ71" s="10" t="n"/>
      <c r="BK71" s="10" t="n"/>
      <c r="BL71" s="58" t="n"/>
      <c r="BM71" s="10" t="n"/>
      <c r="BN71" s="10" t="n"/>
      <c r="BO71" s="10" t="n"/>
      <c r="BP71" s="10" t="n"/>
      <c r="BQ71" s="10" t="n"/>
      <c r="BR71" s="10" t="n"/>
      <c r="BS71" s="366" t="n"/>
      <c r="BT71" s="549" t="n"/>
      <c r="BU71" s="549" t="n"/>
      <c r="BV71" s="549" t="n"/>
      <c r="BW71" s="549" t="n"/>
      <c r="BX71" s="549" t="n"/>
      <c r="BY71" s="366" t="n"/>
      <c r="BZ71" s="366" t="n"/>
      <c r="CA71" s="10" t="n"/>
      <c r="CB71" s="10" t="n"/>
      <c r="CC71" s="10" t="n"/>
      <c r="CD71" s="500" t="n"/>
    </row>
    <row r="72" hidden="1" ht="3" customHeight="1">
      <c r="B72" s="388" t="n"/>
      <c r="C72" s="494" t="n"/>
      <c r="D72" s="366" t="n"/>
      <c r="F72" s="10" t="n"/>
      <c r="H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8" t="n"/>
      <c r="AD72" s="494" t="n"/>
      <c r="AE72" s="366" t="n"/>
      <c r="AG72" s="10" t="n"/>
      <c r="AI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8" t="n"/>
      <c r="BE72" s="57" t="n"/>
      <c r="BF72" s="366" t="n"/>
      <c r="BG72" s="10" t="n"/>
      <c r="BH72" s="10" t="n"/>
      <c r="BI72" s="10" t="n"/>
      <c r="BJ72" s="10" t="n"/>
      <c r="BK72" s="10" t="n"/>
      <c r="BL72" s="58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</row>
    <row r="73" hidden="1" ht="3" customHeight="1">
      <c r="B73" s="388" t="n"/>
      <c r="C73" s="494" t="n"/>
      <c r="D73" s="366" t="n"/>
      <c r="F73" s="10" t="n"/>
      <c r="H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8" t="n"/>
      <c r="AD73" s="494" t="n"/>
      <c r="AE73" s="366" t="n"/>
      <c r="AG73" s="10" t="n"/>
      <c r="AI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8" t="n"/>
      <c r="BE73" s="57" t="n"/>
      <c r="BF73" s="366" t="n"/>
      <c r="BG73" s="10" t="n"/>
      <c r="BH73" s="10" t="n"/>
      <c r="BI73" s="10" t="n"/>
      <c r="BJ73" s="10" t="n"/>
      <c r="BK73" s="10" t="n"/>
      <c r="BL73" s="58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</row>
    <row r="74" hidden="1" ht="3" customHeight="1">
      <c r="B74" s="388" t="n"/>
      <c r="C74" s="494" t="n"/>
      <c r="D74" s="10" t="n"/>
      <c r="F74" s="10" t="n"/>
      <c r="H74" s="10" t="n"/>
      <c r="J74" s="10" t="n"/>
      <c r="K74" s="10" t="n"/>
      <c r="L74" s="10" t="n"/>
      <c r="M74" s="10" t="n"/>
      <c r="N74" s="366" t="n"/>
      <c r="O74" s="547">
        <f>O66</f>
        <v/>
      </c>
      <c r="T74" s="366" t="n"/>
      <c r="U74" s="382">
        <f>U50</f>
        <v/>
      </c>
      <c r="V74" s="10" t="n"/>
      <c r="W74" s="366" t="inlineStr">
        <is>
          <t>-</t>
        </is>
      </c>
      <c r="X74" s="29" t="n"/>
      <c r="Y74" s="364" t="n">
        <v>1</v>
      </c>
      <c r="AD74" s="494" t="n"/>
      <c r="AE74" s="10" t="n"/>
      <c r="AG74" s="10" t="n"/>
      <c r="AI74" s="10" t="n"/>
      <c r="AK74" s="10" t="n"/>
      <c r="AL74" s="10" t="n"/>
      <c r="AM74" s="10" t="n"/>
      <c r="AN74" s="10" t="n"/>
      <c r="AO74" s="366" t="n"/>
      <c r="AP74" s="547">
        <f>AP66</f>
        <v/>
      </c>
      <c r="AU74" s="366" t="n"/>
      <c r="AV74" s="382">
        <f>AV50</f>
        <v/>
      </c>
      <c r="AW74" s="10" t="n"/>
      <c r="AX74" s="366" t="inlineStr">
        <is>
          <t>-</t>
        </is>
      </c>
      <c r="AY74" s="29" t="n"/>
      <c r="AZ74" s="364" t="n">
        <v>1</v>
      </c>
      <c r="BE74" s="57" t="n"/>
      <c r="BF74" s="10" t="n"/>
      <c r="BG74" s="10" t="n"/>
      <c r="BH74" s="10" t="n"/>
      <c r="BI74" s="10" t="n"/>
      <c r="BJ74" s="10" t="n"/>
      <c r="BK74" s="10" t="n"/>
      <c r="BL74" s="58" t="n"/>
      <c r="BM74" s="10" t="n"/>
      <c r="BN74" s="10" t="n"/>
      <c r="BO74" s="10" t="n"/>
      <c r="BP74" s="10" t="n"/>
      <c r="BQ74" s="10" t="n"/>
      <c r="BR74" s="10" t="n"/>
      <c r="BS74" s="366" t="n"/>
      <c r="BT74" s="549" t="n"/>
      <c r="BU74" s="549" t="n"/>
      <c r="BV74" s="549" t="n"/>
      <c r="BW74" s="549" t="n"/>
      <c r="BX74" s="549" t="n"/>
      <c r="BY74" s="366" t="n"/>
      <c r="BZ74" s="60" t="n"/>
      <c r="CA74" s="10" t="n"/>
      <c r="CB74" s="10" t="n"/>
      <c r="CC74" s="29" t="n"/>
      <c r="CD74" s="10" t="n"/>
    </row>
    <row r="75" hidden="1" ht="3" customHeight="1">
      <c r="B75" s="388" t="n"/>
      <c r="C75" s="494" t="n"/>
      <c r="D75" s="10" t="n"/>
      <c r="F75" s="10" t="n"/>
      <c r="H75" s="10" t="n"/>
      <c r="J75" s="10" t="n"/>
      <c r="K75" s="10" t="n"/>
      <c r="L75" s="10" t="n"/>
      <c r="M75" s="10" t="n"/>
      <c r="N75" s="366" t="n"/>
      <c r="T75" s="366" t="n"/>
      <c r="V75" s="10" t="n"/>
      <c r="X75" s="29" t="n"/>
      <c r="Y75" s="495" t="n"/>
      <c r="AD75" s="494" t="n"/>
      <c r="AE75" s="10" t="n"/>
      <c r="AG75" s="10" t="n"/>
      <c r="AI75" s="10" t="n"/>
      <c r="AK75" s="10" t="n"/>
      <c r="AL75" s="10" t="n"/>
      <c r="AM75" s="10" t="n"/>
      <c r="AN75" s="10" t="n"/>
      <c r="AO75" s="366" t="n"/>
      <c r="AU75" s="366" t="n"/>
      <c r="AW75" s="10" t="n"/>
      <c r="AY75" s="29" t="n"/>
      <c r="AZ75" s="495" t="n"/>
      <c r="BE75" s="57" t="n"/>
      <c r="BF75" s="10" t="n"/>
      <c r="BG75" s="10" t="n"/>
      <c r="BH75" s="10" t="n"/>
      <c r="BI75" s="10" t="n"/>
      <c r="BJ75" s="10" t="n"/>
      <c r="BK75" s="10" t="n"/>
      <c r="BL75" s="58" t="n"/>
      <c r="BM75" s="10" t="n"/>
      <c r="BN75" s="10" t="n"/>
      <c r="BO75" s="10" t="n"/>
      <c r="BP75" s="10" t="n"/>
      <c r="BQ75" s="10" t="n"/>
      <c r="BR75" s="10" t="n"/>
      <c r="BS75" s="366" t="n"/>
      <c r="BT75" s="549" t="n"/>
      <c r="BU75" s="549" t="n"/>
      <c r="BV75" s="549" t="n"/>
      <c r="BW75" s="549" t="n"/>
      <c r="BX75" s="549" t="n"/>
      <c r="BY75" s="366" t="n"/>
      <c r="BZ75" s="60" t="n"/>
      <c r="CA75" s="10" t="n"/>
      <c r="CB75" s="10" t="n"/>
      <c r="CC75" s="29" t="n"/>
      <c r="CD75" s="10" t="n"/>
    </row>
    <row r="76" hidden="1" ht="3" customHeight="1">
      <c r="B76" s="388" t="n"/>
      <c r="C76" s="494" t="n"/>
      <c r="D76" s="10" t="n"/>
      <c r="F76" s="10" t="n"/>
      <c r="H76" s="10" t="n"/>
      <c r="J76" s="10" t="n"/>
      <c r="K76" s="10" t="n"/>
      <c r="L76" s="10" t="n"/>
      <c r="M76" s="10" t="n"/>
      <c r="N76" s="366" t="n"/>
      <c r="T76" s="366" t="n"/>
      <c r="V76" s="10" t="n"/>
      <c r="X76" s="29" t="n"/>
      <c r="Y76" s="495" t="n"/>
      <c r="AD76" s="494" t="n"/>
      <c r="AE76" s="10" t="n"/>
      <c r="AG76" s="10" t="n"/>
      <c r="AI76" s="10" t="n"/>
      <c r="AK76" s="10" t="n"/>
      <c r="AL76" s="10" t="n"/>
      <c r="AM76" s="10" t="n"/>
      <c r="AN76" s="10" t="n"/>
      <c r="AO76" s="366" t="n"/>
      <c r="AU76" s="366" t="n"/>
      <c r="AW76" s="10" t="n"/>
      <c r="AY76" s="29" t="n"/>
      <c r="AZ76" s="495" t="n"/>
      <c r="BE76" s="57" t="n"/>
      <c r="BF76" s="10" t="n"/>
      <c r="BG76" s="10" t="n"/>
      <c r="BH76" s="10" t="n"/>
      <c r="BI76" s="10" t="n"/>
      <c r="BJ76" s="10" t="n"/>
      <c r="BK76" s="10" t="n"/>
      <c r="BL76" s="58" t="n"/>
      <c r="BM76" s="10" t="n"/>
      <c r="BN76" s="10" t="n"/>
      <c r="BO76" s="10" t="n"/>
      <c r="BP76" s="10" t="n"/>
      <c r="BQ76" s="10" t="n"/>
      <c r="BR76" s="10" t="n"/>
      <c r="BS76" s="366" t="n"/>
      <c r="BT76" s="549" t="n"/>
      <c r="BU76" s="549" t="n"/>
      <c r="BV76" s="549" t="n"/>
      <c r="BW76" s="549" t="n"/>
      <c r="BX76" s="549" t="n"/>
      <c r="BY76" s="366" t="n"/>
      <c r="BZ76" s="60" t="n"/>
      <c r="CA76" s="10" t="n"/>
      <c r="CB76" s="10" t="n"/>
      <c r="CC76" s="29" t="n"/>
      <c r="CD76" s="10" t="n"/>
    </row>
    <row r="77" hidden="1" ht="3" customHeight="1">
      <c r="B77" s="388" t="n"/>
      <c r="C77" s="494" t="n"/>
      <c r="D77" s="10" t="n"/>
      <c r="F77" s="10" t="n"/>
      <c r="H77" s="10" t="n"/>
      <c r="J77" s="10" t="n"/>
      <c r="K77" s="10" t="n"/>
      <c r="L77" s="10" t="n"/>
      <c r="M77" s="10" t="n"/>
      <c r="N77" s="10" t="n"/>
      <c r="T77" s="366" t="n"/>
      <c r="U77" s="366" t="n"/>
      <c r="V77" s="10" t="n"/>
      <c r="X77" s="10" t="n"/>
      <c r="Y77" s="495" t="n"/>
      <c r="AD77" s="494" t="n"/>
      <c r="AE77" s="10" t="n"/>
      <c r="AG77" s="10" t="n"/>
      <c r="AI77" s="10" t="n"/>
      <c r="AK77" s="10" t="n"/>
      <c r="AL77" s="10" t="n"/>
      <c r="AM77" s="10" t="n"/>
      <c r="AN77" s="10" t="n"/>
      <c r="AO77" s="10" t="n"/>
      <c r="AU77" s="366" t="n"/>
      <c r="AV77" s="366" t="n"/>
      <c r="AW77" s="10" t="n"/>
      <c r="AY77" s="10" t="n"/>
      <c r="AZ77" s="495" t="n"/>
      <c r="BE77" s="57" t="n"/>
      <c r="BF77" s="10" t="n"/>
      <c r="BG77" s="10" t="n"/>
      <c r="BH77" s="10" t="n"/>
      <c r="BI77" s="10" t="n"/>
      <c r="BJ77" s="10" t="n"/>
      <c r="BK77" s="10" t="n"/>
      <c r="BL77" s="58" t="n"/>
      <c r="BM77" s="10" t="n"/>
      <c r="BN77" s="10" t="n"/>
      <c r="BO77" s="10" t="n"/>
      <c r="BP77" s="10" t="n"/>
      <c r="BQ77" s="10" t="n"/>
      <c r="BR77" s="10" t="n"/>
      <c r="BS77" s="10" t="n"/>
      <c r="BT77" s="549" t="n"/>
      <c r="BU77" s="549" t="n"/>
      <c r="BV77" s="549" t="n"/>
      <c r="BW77" s="549" t="n"/>
      <c r="BX77" s="549" t="n"/>
      <c r="BY77" s="366" t="n"/>
      <c r="BZ77" s="366" t="n"/>
      <c r="CA77" s="10" t="n"/>
      <c r="CB77" s="10" t="n"/>
      <c r="CC77" s="10" t="n"/>
      <c r="CD77" s="10" t="n"/>
    </row>
    <row r="78" hidden="1" ht="3" customHeight="1">
      <c r="B78" s="388" t="n"/>
      <c r="C78" s="494" t="n"/>
      <c r="D78" s="10" t="n"/>
      <c r="F78" s="10" t="n"/>
      <c r="H78" s="10" t="n"/>
      <c r="J78" s="10" t="n"/>
      <c r="K78" s="10" t="n"/>
      <c r="L78" s="10" t="n"/>
      <c r="M78" s="10" t="n"/>
      <c r="N78" s="10" t="n"/>
      <c r="T78" s="366" t="n"/>
      <c r="U78" s="366" t="n"/>
      <c r="V78" s="10" t="n"/>
      <c r="X78" s="10" t="n"/>
      <c r="Y78" s="495" t="n"/>
      <c r="AD78" s="494" t="n"/>
      <c r="AE78" s="10" t="n"/>
      <c r="AG78" s="10" t="n"/>
      <c r="AI78" s="10" t="n"/>
      <c r="AK78" s="10" t="n"/>
      <c r="AL78" s="10" t="n"/>
      <c r="AM78" s="10" t="n"/>
      <c r="AN78" s="10" t="n"/>
      <c r="AO78" s="10" t="n"/>
      <c r="AU78" s="366" t="n"/>
      <c r="AV78" s="366" t="n"/>
      <c r="AW78" s="10" t="n"/>
      <c r="AY78" s="10" t="n"/>
      <c r="AZ78" s="495" t="n"/>
      <c r="BE78" s="57" t="n"/>
      <c r="BF78" s="10" t="n"/>
      <c r="BG78" s="10" t="n"/>
      <c r="BH78" s="10" t="n"/>
      <c r="BI78" s="10" t="n"/>
      <c r="BJ78" s="10" t="n"/>
      <c r="BK78" s="10" t="n"/>
      <c r="BL78" s="58" t="n"/>
      <c r="BM78" s="10" t="n"/>
      <c r="BN78" s="10" t="n"/>
      <c r="BO78" s="10" t="n"/>
      <c r="BP78" s="10" t="n"/>
      <c r="BQ78" s="10" t="n"/>
      <c r="BR78" s="10" t="n"/>
      <c r="BS78" s="10" t="n"/>
      <c r="BT78" s="549" t="n"/>
      <c r="BU78" s="549" t="n"/>
      <c r="BV78" s="549" t="n"/>
      <c r="BW78" s="549" t="n"/>
      <c r="BX78" s="549" t="n"/>
      <c r="BY78" s="366" t="n"/>
      <c r="BZ78" s="366" t="n"/>
      <c r="CA78" s="10" t="n"/>
      <c r="CB78" s="10" t="n"/>
      <c r="CC78" s="10" t="n"/>
      <c r="CD78" s="10" t="n"/>
    </row>
    <row r="79" hidden="1" ht="3" customHeight="1">
      <c r="B79" s="388" t="n"/>
      <c r="C79" s="494" t="n"/>
      <c r="D79" s="10" t="n"/>
      <c r="F79" s="10" t="n"/>
      <c r="H79" s="10" t="n"/>
      <c r="J79" s="10" t="n"/>
      <c r="K79" s="10" t="n"/>
      <c r="L79" s="10" t="n"/>
      <c r="M79" s="10" t="n"/>
      <c r="N79" s="366" t="n"/>
      <c r="T79" s="366" t="n"/>
      <c r="U79" s="366" t="n"/>
      <c r="V79" s="10" t="n"/>
      <c r="X79" s="10" t="n"/>
      <c r="Y79" s="495" t="n"/>
      <c r="AD79" s="494" t="n"/>
      <c r="AE79" s="10" t="n"/>
      <c r="AG79" s="10" t="n"/>
      <c r="AI79" s="10" t="n"/>
      <c r="AK79" s="10" t="n"/>
      <c r="AL79" s="10" t="n"/>
      <c r="AM79" s="10" t="n"/>
      <c r="AN79" s="10" t="n"/>
      <c r="AO79" s="366" t="n"/>
      <c r="AU79" s="366" t="n"/>
      <c r="AV79" s="366" t="n"/>
      <c r="AW79" s="10" t="n"/>
      <c r="AY79" s="10" t="n"/>
      <c r="AZ79" s="495" t="n"/>
      <c r="BE79" s="57" t="n"/>
      <c r="BF79" s="10" t="n"/>
      <c r="BG79" s="10" t="n"/>
      <c r="BH79" s="10" t="n"/>
      <c r="BI79" s="10" t="n"/>
      <c r="BJ79" s="10" t="n"/>
      <c r="BK79" s="10" t="n"/>
      <c r="BL79" s="58" t="n"/>
      <c r="BM79" s="10" t="n"/>
      <c r="BN79" s="10" t="n"/>
      <c r="BO79" s="10" t="n"/>
      <c r="BP79" s="10" t="n"/>
      <c r="BQ79" s="10" t="n"/>
      <c r="BR79" s="10" t="n"/>
      <c r="BS79" s="366" t="n"/>
      <c r="BT79" s="549" t="n"/>
      <c r="BU79" s="549" t="n"/>
      <c r="BV79" s="549" t="n"/>
      <c r="BW79" s="549" t="n"/>
      <c r="BX79" s="549" t="n"/>
      <c r="BY79" s="366" t="n"/>
      <c r="BZ79" s="366" t="n"/>
      <c r="CA79" s="10" t="n"/>
      <c r="CB79" s="10" t="n"/>
      <c r="CC79" s="10" t="n"/>
      <c r="CD79" s="10" t="n"/>
    </row>
    <row r="80" hidden="1" ht="3" customHeight="1">
      <c r="C80" s="494" t="n"/>
      <c r="D80" s="10" t="n"/>
      <c r="F80" s="10" t="n"/>
      <c r="H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8" t="n"/>
      <c r="AD80" s="494" t="n"/>
      <c r="AE80" s="10" t="n"/>
      <c r="AG80" s="10" t="n"/>
      <c r="AI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8" t="n"/>
      <c r="BE80" s="57" t="n"/>
      <c r="BF80" s="10" t="n"/>
      <c r="BG80" s="10" t="n"/>
      <c r="BH80" s="10" t="n"/>
      <c r="BI80" s="10" t="n"/>
      <c r="BJ80" s="10" t="n"/>
      <c r="BK80" s="10" t="n"/>
      <c r="BL80" s="58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</row>
    <row r="81" hidden="1" ht="9" customHeight="1">
      <c r="C81" s="9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8" t="n"/>
      <c r="AD81" s="9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8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</row>
    <row r="82" hidden="1" ht="3" customHeight="1">
      <c r="B82" s="388" t="n"/>
      <c r="C82" s="365" t="inlineStr">
        <is>
          <t>PMT</t>
        </is>
      </c>
      <c r="D82" s="10" t="n"/>
      <c r="E82" s="366" t="inlineStr">
        <is>
          <t>=</t>
        </is>
      </c>
      <c r="F82" s="10" t="n"/>
      <c r="G82" s="391">
        <f>G66</f>
        <v/>
      </c>
      <c r="H82" s="10" t="n"/>
      <c r="I82" s="366" t="inlineStr">
        <is>
          <t>x</t>
        </is>
      </c>
      <c r="J82" s="10" t="n"/>
      <c r="K82" s="10" t="n"/>
      <c r="L82" s="10" t="n"/>
      <c r="M82" s="10" t="n"/>
      <c r="N82" s="366" t="n"/>
      <c r="O82" s="547">
        <f>POWER(O66,U66)</f>
        <v/>
      </c>
      <c r="V82" s="10" t="n"/>
      <c r="W82" s="366" t="inlineStr">
        <is>
          <t>x</t>
        </is>
      </c>
      <c r="X82" s="29" t="n"/>
      <c r="Y82" s="548">
        <f>Y66</f>
        <v/>
      </c>
      <c r="AD82" s="365" t="inlineStr">
        <is>
          <t>PMT</t>
        </is>
      </c>
      <c r="AE82" s="10" t="n"/>
      <c r="AF82" s="366" t="inlineStr">
        <is>
          <t>=</t>
        </is>
      </c>
      <c r="AG82" s="10" t="n"/>
      <c r="AH82" s="391">
        <f>AH66</f>
        <v/>
      </c>
      <c r="AI82" s="10" t="n"/>
      <c r="AJ82" s="366" t="inlineStr">
        <is>
          <t>x</t>
        </is>
      </c>
      <c r="AK82" s="10" t="n"/>
      <c r="AL82" s="10" t="n"/>
      <c r="AM82" s="10" t="n"/>
      <c r="AN82" s="10" t="n"/>
      <c r="AO82" s="366" t="n"/>
      <c r="AP82" s="547">
        <f>POWER(AP66,AV66)</f>
        <v/>
      </c>
      <c r="AW82" s="10" t="n"/>
      <c r="AX82" s="366" t="inlineStr">
        <is>
          <t>x</t>
        </is>
      </c>
      <c r="AY82" s="29" t="n"/>
      <c r="AZ82" s="548">
        <f>AZ66</f>
        <v/>
      </c>
      <c r="BE82" s="57" t="n"/>
      <c r="BF82" s="10" t="n"/>
      <c r="BG82" s="10" t="n"/>
      <c r="BH82" s="10" t="n"/>
      <c r="BI82" s="10" t="n"/>
      <c r="BJ82" s="10" t="n"/>
      <c r="BK82" s="10" t="n"/>
      <c r="BL82" s="58" t="n"/>
      <c r="BM82" s="10" t="n"/>
      <c r="BN82" s="10" t="n"/>
      <c r="BO82" s="10" t="n"/>
      <c r="BP82" s="10" t="n"/>
      <c r="BQ82" s="10" t="n"/>
      <c r="BR82" s="10" t="n"/>
      <c r="BS82" s="366" t="n"/>
      <c r="BT82" s="549" t="n"/>
      <c r="BU82" s="549" t="n"/>
      <c r="BV82" s="549" t="n"/>
      <c r="BW82" s="549" t="n"/>
      <c r="BX82" s="549" t="n"/>
      <c r="BY82" s="549" t="n"/>
      <c r="BZ82" s="549" t="n"/>
      <c r="CA82" s="10" t="n"/>
      <c r="CB82" s="10" t="n"/>
      <c r="CC82" s="29" t="n"/>
      <c r="CD82" s="500" t="n"/>
    </row>
    <row r="83" hidden="1" ht="3" customHeight="1">
      <c r="B83" s="388" t="n"/>
      <c r="C83" s="494" t="n"/>
      <c r="D83" s="10" t="n"/>
      <c r="F83" s="10" t="n"/>
      <c r="H83" s="10" t="n"/>
      <c r="J83" s="10" t="n"/>
      <c r="K83" s="10" t="n"/>
      <c r="L83" s="10" t="n"/>
      <c r="M83" s="10" t="n"/>
      <c r="N83" s="366" t="n"/>
      <c r="V83" s="10" t="n"/>
      <c r="X83" s="29" t="n"/>
      <c r="Y83" s="495" t="n"/>
      <c r="AD83" s="494" t="n"/>
      <c r="AE83" s="10" t="n"/>
      <c r="AG83" s="10" t="n"/>
      <c r="AI83" s="10" t="n"/>
      <c r="AK83" s="10" t="n"/>
      <c r="AL83" s="10" t="n"/>
      <c r="AM83" s="10" t="n"/>
      <c r="AN83" s="10" t="n"/>
      <c r="AO83" s="366" t="n"/>
      <c r="AW83" s="10" t="n"/>
      <c r="AY83" s="29" t="n"/>
      <c r="AZ83" s="495" t="n"/>
      <c r="BE83" s="57" t="n"/>
      <c r="BF83" s="10" t="n"/>
      <c r="BG83" s="10" t="n"/>
      <c r="BH83" s="10" t="n"/>
      <c r="BI83" s="10" t="n"/>
      <c r="BJ83" s="10" t="n"/>
      <c r="BK83" s="10" t="n"/>
      <c r="BL83" s="58" t="n"/>
      <c r="BM83" s="10" t="n"/>
      <c r="BN83" s="10" t="n"/>
      <c r="BO83" s="10" t="n"/>
      <c r="BP83" s="10" t="n"/>
      <c r="BQ83" s="10" t="n"/>
      <c r="BR83" s="10" t="n"/>
      <c r="BS83" s="366" t="n"/>
      <c r="BT83" s="549" t="n"/>
      <c r="BU83" s="549" t="n"/>
      <c r="BV83" s="549" t="n"/>
      <c r="BW83" s="549" t="n"/>
      <c r="BX83" s="549" t="n"/>
      <c r="BY83" s="549" t="n"/>
      <c r="BZ83" s="549" t="n"/>
      <c r="CA83" s="10" t="n"/>
      <c r="CB83" s="10" t="n"/>
      <c r="CC83" s="29" t="n"/>
      <c r="CD83" s="500" t="n"/>
    </row>
    <row r="84" hidden="1" ht="3" customHeight="1">
      <c r="B84" s="388" t="n"/>
      <c r="C84" s="494" t="n"/>
      <c r="D84" s="10" t="n"/>
      <c r="F84" s="10" t="n"/>
      <c r="H84" s="10" t="n"/>
      <c r="J84" s="10" t="n"/>
      <c r="K84" s="10" t="n"/>
      <c r="L84" s="10" t="n"/>
      <c r="M84" s="10" t="n"/>
      <c r="N84" s="366" t="n"/>
      <c r="V84" s="10" t="n"/>
      <c r="X84" s="29" t="n"/>
      <c r="Y84" s="495" t="n"/>
      <c r="AD84" s="494" t="n"/>
      <c r="AE84" s="10" t="n"/>
      <c r="AG84" s="10" t="n"/>
      <c r="AI84" s="10" t="n"/>
      <c r="AK84" s="10" t="n"/>
      <c r="AL84" s="10" t="n"/>
      <c r="AM84" s="10" t="n"/>
      <c r="AN84" s="10" t="n"/>
      <c r="AO84" s="366" t="n"/>
      <c r="AW84" s="10" t="n"/>
      <c r="AY84" s="29" t="n"/>
      <c r="AZ84" s="495" t="n"/>
      <c r="BE84" s="57" t="n"/>
      <c r="BF84" s="10" t="n"/>
      <c r="BG84" s="10" t="n"/>
      <c r="BH84" s="10" t="n"/>
      <c r="BI84" s="10" t="n"/>
      <c r="BJ84" s="10" t="n"/>
      <c r="BK84" s="10" t="n"/>
      <c r="BL84" s="58" t="n"/>
      <c r="BM84" s="10" t="n"/>
      <c r="BN84" s="10" t="n"/>
      <c r="BO84" s="10" t="n"/>
      <c r="BP84" s="10" t="n"/>
      <c r="BQ84" s="10" t="n"/>
      <c r="BR84" s="10" t="n"/>
      <c r="BS84" s="366" t="n"/>
      <c r="BT84" s="549" t="n"/>
      <c r="BU84" s="549" t="n"/>
      <c r="BV84" s="549" t="n"/>
      <c r="BW84" s="549" t="n"/>
      <c r="BX84" s="549" t="n"/>
      <c r="BY84" s="549" t="n"/>
      <c r="BZ84" s="549" t="n"/>
      <c r="CA84" s="10" t="n"/>
      <c r="CB84" s="10" t="n"/>
      <c r="CC84" s="29" t="n"/>
      <c r="CD84" s="500" t="n"/>
    </row>
    <row r="85" hidden="1" ht="3" customHeight="1">
      <c r="B85" s="388" t="n"/>
      <c r="C85" s="494" t="n"/>
      <c r="D85" s="10" t="n"/>
      <c r="F85" s="10" t="n"/>
      <c r="H85" s="10" t="n"/>
      <c r="J85" s="10" t="n"/>
      <c r="K85" s="10" t="n"/>
      <c r="L85" s="10" t="n"/>
      <c r="M85" s="10" t="n"/>
      <c r="N85" s="10" t="n"/>
      <c r="V85" s="10" t="n"/>
      <c r="X85" s="10" t="n"/>
      <c r="Y85" s="495" t="n"/>
      <c r="AD85" s="494" t="n"/>
      <c r="AE85" s="10" t="n"/>
      <c r="AG85" s="10" t="n"/>
      <c r="AI85" s="10" t="n"/>
      <c r="AK85" s="10" t="n"/>
      <c r="AL85" s="10" t="n"/>
      <c r="AM85" s="10" t="n"/>
      <c r="AN85" s="10" t="n"/>
      <c r="AO85" s="10" t="n"/>
      <c r="AW85" s="10" t="n"/>
      <c r="AY85" s="10" t="n"/>
      <c r="AZ85" s="495" t="n"/>
      <c r="BE85" s="57" t="n"/>
      <c r="BF85" s="10" t="n"/>
      <c r="BG85" s="10" t="n"/>
      <c r="BH85" s="10" t="n"/>
      <c r="BI85" s="10" t="n"/>
      <c r="BJ85" s="10" t="n"/>
      <c r="BK85" s="10" t="n"/>
      <c r="BL85" s="58" t="n"/>
      <c r="BM85" s="10" t="n"/>
      <c r="BN85" s="10" t="n"/>
      <c r="BO85" s="10" t="n"/>
      <c r="BP85" s="10" t="n"/>
      <c r="BQ85" s="10" t="n"/>
      <c r="BR85" s="10" t="n"/>
      <c r="BS85" s="10" t="n"/>
      <c r="BT85" s="549" t="n"/>
      <c r="BU85" s="549" t="n"/>
      <c r="BV85" s="549" t="n"/>
      <c r="BW85" s="549" t="n"/>
      <c r="BX85" s="549" t="n"/>
      <c r="BY85" s="549" t="n"/>
      <c r="BZ85" s="549" t="n"/>
      <c r="CA85" s="10" t="n"/>
      <c r="CB85" s="10" t="n"/>
      <c r="CC85" s="10" t="n"/>
      <c r="CD85" s="500" t="n"/>
    </row>
    <row r="86" hidden="1" ht="3" customHeight="1">
      <c r="B86" s="388" t="n"/>
      <c r="C86" s="494" t="n"/>
      <c r="D86" s="10" t="n"/>
      <c r="F86" s="10" t="n"/>
      <c r="H86" s="10" t="n"/>
      <c r="J86" s="10" t="n"/>
      <c r="K86" s="10" t="n"/>
      <c r="L86" s="10" t="n"/>
      <c r="M86" s="10" t="n"/>
      <c r="N86" s="10" t="n"/>
      <c r="V86" s="10" t="n"/>
      <c r="X86" s="10" t="n"/>
      <c r="Y86" s="495" t="n"/>
      <c r="AD86" s="494" t="n"/>
      <c r="AE86" s="10" t="n"/>
      <c r="AG86" s="10" t="n"/>
      <c r="AI86" s="10" t="n"/>
      <c r="AK86" s="10" t="n"/>
      <c r="AL86" s="10" t="n"/>
      <c r="AM86" s="10" t="n"/>
      <c r="AN86" s="10" t="n"/>
      <c r="AO86" s="10" t="n"/>
      <c r="AW86" s="10" t="n"/>
      <c r="AY86" s="10" t="n"/>
      <c r="AZ86" s="495" t="n"/>
      <c r="BE86" s="57" t="n"/>
      <c r="BF86" s="10" t="n"/>
      <c r="BG86" s="10" t="n"/>
      <c r="BH86" s="10" t="n"/>
      <c r="BI86" s="10" t="n"/>
      <c r="BJ86" s="10" t="n"/>
      <c r="BK86" s="10" t="n"/>
      <c r="BL86" s="58" t="n"/>
      <c r="BM86" s="10" t="n"/>
      <c r="BN86" s="10" t="n"/>
      <c r="BO86" s="10" t="n"/>
      <c r="BP86" s="10" t="n"/>
      <c r="BQ86" s="10" t="n"/>
      <c r="BR86" s="10" t="n"/>
      <c r="BS86" s="10" t="n"/>
      <c r="BT86" s="549" t="n"/>
      <c r="BU86" s="549" t="n"/>
      <c r="BV86" s="549" t="n"/>
      <c r="BW86" s="549" t="n"/>
      <c r="BX86" s="549" t="n"/>
      <c r="BY86" s="549" t="n"/>
      <c r="BZ86" s="549" t="n"/>
      <c r="CA86" s="10" t="n"/>
      <c r="CB86" s="10" t="n"/>
      <c r="CC86" s="10" t="n"/>
      <c r="CD86" s="500" t="n"/>
    </row>
    <row r="87" hidden="1" ht="3" customHeight="1">
      <c r="B87" s="388" t="n"/>
      <c r="C87" s="494" t="n"/>
      <c r="D87" s="10" t="n"/>
      <c r="F87" s="10" t="n"/>
      <c r="H87" s="10" t="n"/>
      <c r="J87" s="10" t="n"/>
      <c r="K87" s="10" t="n"/>
      <c r="L87" s="10" t="n"/>
      <c r="M87" s="10" t="n"/>
      <c r="N87" s="366" t="n"/>
      <c r="V87" s="10" t="n"/>
      <c r="X87" s="10" t="n"/>
      <c r="Y87" s="495" t="n"/>
      <c r="AD87" s="494" t="n"/>
      <c r="AE87" s="10" t="n"/>
      <c r="AG87" s="10" t="n"/>
      <c r="AI87" s="10" t="n"/>
      <c r="AK87" s="10" t="n"/>
      <c r="AL87" s="10" t="n"/>
      <c r="AM87" s="10" t="n"/>
      <c r="AN87" s="10" t="n"/>
      <c r="AO87" s="366" t="n"/>
      <c r="AW87" s="10" t="n"/>
      <c r="AY87" s="10" t="n"/>
      <c r="AZ87" s="495" t="n"/>
      <c r="BE87" s="57" t="n"/>
      <c r="BF87" s="10" t="n"/>
      <c r="BG87" s="10" t="n"/>
      <c r="BH87" s="10" t="n"/>
      <c r="BI87" s="10" t="n"/>
      <c r="BJ87" s="10" t="n"/>
      <c r="BK87" s="10" t="n"/>
      <c r="BL87" s="58" t="n"/>
      <c r="BM87" s="10" t="n"/>
      <c r="BN87" s="10" t="n"/>
      <c r="BO87" s="10" t="n"/>
      <c r="BP87" s="10" t="n"/>
      <c r="BQ87" s="10" t="n"/>
      <c r="BR87" s="10" t="n"/>
      <c r="BS87" s="366" t="n"/>
      <c r="BT87" s="549" t="n"/>
      <c r="BU87" s="549" t="n"/>
      <c r="BV87" s="549" t="n"/>
      <c r="BW87" s="549" t="n"/>
      <c r="BX87" s="549" t="n"/>
      <c r="BY87" s="549" t="n"/>
      <c r="BZ87" s="549" t="n"/>
      <c r="CA87" s="10" t="n"/>
      <c r="CB87" s="10" t="n"/>
      <c r="CC87" s="10" t="n"/>
      <c r="CD87" s="500" t="n"/>
    </row>
    <row r="88" hidden="1" ht="3" customHeight="1">
      <c r="B88" s="388" t="n"/>
      <c r="C88" s="494" t="n"/>
      <c r="D88" s="366" t="n"/>
      <c r="F88" s="10" t="n"/>
      <c r="H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8" t="n"/>
      <c r="Z88" s="19" t="n"/>
      <c r="AD88" s="494" t="n"/>
      <c r="AE88" s="366" t="n"/>
      <c r="AG88" s="10" t="n"/>
      <c r="AI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8" t="n"/>
      <c r="BE88" s="57" t="n"/>
      <c r="BF88" s="366" t="n"/>
      <c r="BG88" s="10" t="n"/>
      <c r="BH88" s="10" t="n"/>
      <c r="BI88" s="10" t="n"/>
      <c r="BJ88" s="10" t="n"/>
      <c r="BK88" s="10" t="n"/>
      <c r="BL88" s="58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</row>
    <row r="89" hidden="1" ht="3" customHeight="1">
      <c r="B89" s="388" t="n"/>
      <c r="C89" s="494" t="n"/>
      <c r="D89" s="366" t="n"/>
      <c r="F89" s="10" t="n"/>
      <c r="H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8" t="n"/>
      <c r="Z89" s="20" t="n"/>
      <c r="AD89" s="494" t="n"/>
      <c r="AE89" s="366" t="n"/>
      <c r="AG89" s="10" t="n"/>
      <c r="AI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8" t="n"/>
      <c r="BE89" s="57" t="n"/>
      <c r="BF89" s="366" t="n"/>
      <c r="BG89" s="10" t="n"/>
      <c r="BH89" s="10" t="n"/>
      <c r="BI89" s="10" t="n"/>
      <c r="BJ89" s="10" t="n"/>
      <c r="BK89" s="10" t="n"/>
      <c r="BL89" s="58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</row>
    <row r="90" hidden="1" ht="3" customHeight="1">
      <c r="B90" s="388" t="n"/>
      <c r="C90" s="494" t="n"/>
      <c r="D90" s="10" t="n"/>
      <c r="F90" s="10" t="n"/>
      <c r="H90" s="10" t="n"/>
      <c r="J90" s="10" t="n"/>
      <c r="K90" s="10" t="n"/>
      <c r="L90" s="10" t="n"/>
      <c r="M90" s="10" t="n"/>
      <c r="N90" s="366" t="n"/>
      <c r="O90" s="547">
        <f>O82</f>
        <v/>
      </c>
      <c r="V90" s="10" t="n"/>
      <c r="W90" s="366" t="inlineStr">
        <is>
          <t>-</t>
        </is>
      </c>
      <c r="X90" s="29" t="n"/>
      <c r="Y90" s="364" t="n">
        <v>1</v>
      </c>
      <c r="AD90" s="494" t="n"/>
      <c r="AE90" s="10" t="n"/>
      <c r="AG90" s="10" t="n"/>
      <c r="AI90" s="10" t="n"/>
      <c r="AK90" s="10" t="n"/>
      <c r="AL90" s="10" t="n"/>
      <c r="AM90" s="10" t="n"/>
      <c r="AN90" s="10" t="n"/>
      <c r="AO90" s="366" t="n"/>
      <c r="AP90" s="547">
        <f>AP82</f>
        <v/>
      </c>
      <c r="AW90" s="10" t="n"/>
      <c r="AX90" s="366" t="inlineStr">
        <is>
          <t>-</t>
        </is>
      </c>
      <c r="AY90" s="29" t="n"/>
      <c r="AZ90" s="364" t="n">
        <v>1</v>
      </c>
      <c r="BE90" s="57" t="n"/>
      <c r="BF90" s="10" t="n"/>
      <c r="BG90" s="10" t="n"/>
      <c r="BH90" s="10" t="n"/>
      <c r="BI90" s="10" t="n"/>
      <c r="BJ90" s="10" t="n"/>
      <c r="BK90" s="10" t="n"/>
      <c r="BL90" s="58" t="n"/>
      <c r="BM90" s="10" t="n"/>
      <c r="BN90" s="10" t="n"/>
      <c r="BO90" s="10" t="n"/>
      <c r="BP90" s="10" t="n"/>
      <c r="BQ90" s="10" t="n"/>
      <c r="BR90" s="10" t="n"/>
      <c r="BS90" s="366" t="n"/>
      <c r="BT90" s="549" t="n"/>
      <c r="BU90" s="549" t="n"/>
      <c r="BV90" s="549" t="n"/>
      <c r="BW90" s="549" t="n"/>
      <c r="BX90" s="549" t="n"/>
      <c r="BY90" s="549" t="n"/>
      <c r="BZ90" s="549" t="n"/>
      <c r="CA90" s="10" t="n"/>
      <c r="CB90" s="10" t="n"/>
      <c r="CC90" s="29" t="n"/>
      <c r="CD90" s="10" t="n"/>
    </row>
    <row r="91" hidden="1" ht="3" customHeight="1">
      <c r="B91" s="388" t="n"/>
      <c r="C91" s="494" t="n"/>
      <c r="D91" s="10" t="n"/>
      <c r="F91" s="10" t="n"/>
      <c r="H91" s="10" t="n"/>
      <c r="J91" s="10" t="n"/>
      <c r="K91" s="10" t="n"/>
      <c r="L91" s="10" t="n"/>
      <c r="M91" s="10" t="n"/>
      <c r="N91" s="366" t="n"/>
      <c r="V91" s="10" t="n"/>
      <c r="X91" s="29" t="n"/>
      <c r="Y91" s="495" t="n"/>
      <c r="AD91" s="494" t="n"/>
      <c r="AE91" s="10" t="n"/>
      <c r="AG91" s="10" t="n"/>
      <c r="AI91" s="10" t="n"/>
      <c r="AK91" s="10" t="n"/>
      <c r="AL91" s="10" t="n"/>
      <c r="AM91" s="10" t="n"/>
      <c r="AN91" s="10" t="n"/>
      <c r="AO91" s="366" t="n"/>
      <c r="AW91" s="10" t="n"/>
      <c r="AY91" s="29" t="n"/>
      <c r="AZ91" s="495" t="n"/>
      <c r="BE91" s="57" t="n"/>
      <c r="BF91" s="10" t="n"/>
      <c r="BG91" s="10" t="n"/>
      <c r="BH91" s="10" t="n"/>
      <c r="BI91" s="10" t="n"/>
      <c r="BJ91" s="10" t="n"/>
      <c r="BK91" s="10" t="n"/>
      <c r="BL91" s="58" t="n"/>
      <c r="BM91" s="10" t="n"/>
      <c r="BN91" s="10" t="n"/>
      <c r="BO91" s="10" t="n"/>
      <c r="BP91" s="10" t="n"/>
      <c r="BQ91" s="10" t="n"/>
      <c r="BR91" s="10" t="n"/>
      <c r="BS91" s="366" t="n"/>
      <c r="BT91" s="549" t="n"/>
      <c r="BU91" s="549" t="n"/>
      <c r="BV91" s="549" t="n"/>
      <c r="BW91" s="549" t="n"/>
      <c r="BX91" s="549" t="n"/>
      <c r="BY91" s="549" t="n"/>
      <c r="BZ91" s="549" t="n"/>
      <c r="CA91" s="10" t="n"/>
      <c r="CB91" s="10" t="n"/>
      <c r="CC91" s="29" t="n"/>
      <c r="CD91" s="10" t="n"/>
    </row>
    <row r="92" hidden="1" ht="3" customHeight="1">
      <c r="B92" s="388" t="n"/>
      <c r="C92" s="494" t="n"/>
      <c r="D92" s="10" t="n"/>
      <c r="F92" s="10" t="n"/>
      <c r="H92" s="10" t="n"/>
      <c r="J92" s="10" t="n"/>
      <c r="K92" s="10" t="n"/>
      <c r="L92" s="10" t="n"/>
      <c r="M92" s="10" t="n"/>
      <c r="N92" s="366" t="n"/>
      <c r="V92" s="10" t="n"/>
      <c r="X92" s="29" t="n"/>
      <c r="Y92" s="495" t="n"/>
      <c r="AD92" s="494" t="n"/>
      <c r="AE92" s="10" t="n"/>
      <c r="AG92" s="10" t="n"/>
      <c r="AI92" s="10" t="n"/>
      <c r="AK92" s="10" t="n"/>
      <c r="AL92" s="10" t="n"/>
      <c r="AM92" s="10" t="n"/>
      <c r="AN92" s="10" t="n"/>
      <c r="AO92" s="366" t="n"/>
      <c r="AW92" s="10" t="n"/>
      <c r="AY92" s="29" t="n"/>
      <c r="AZ92" s="495" t="n"/>
      <c r="BE92" s="57" t="n"/>
      <c r="BF92" s="10" t="n"/>
      <c r="BG92" s="10" t="n"/>
      <c r="BH92" s="10" t="n"/>
      <c r="BI92" s="10" t="n"/>
      <c r="BJ92" s="10" t="n"/>
      <c r="BK92" s="10" t="n"/>
      <c r="BL92" s="58" t="n"/>
      <c r="BM92" s="10" t="n"/>
      <c r="BN92" s="10" t="n"/>
      <c r="BO92" s="10" t="n"/>
      <c r="BP92" s="10" t="n"/>
      <c r="BQ92" s="10" t="n"/>
      <c r="BR92" s="10" t="n"/>
      <c r="BS92" s="366" t="n"/>
      <c r="BT92" s="549" t="n"/>
      <c r="BU92" s="549" t="n"/>
      <c r="BV92" s="549" t="n"/>
      <c r="BW92" s="549" t="n"/>
      <c r="BX92" s="549" t="n"/>
      <c r="BY92" s="549" t="n"/>
      <c r="BZ92" s="549" t="n"/>
      <c r="CA92" s="10" t="n"/>
      <c r="CB92" s="10" t="n"/>
      <c r="CC92" s="29" t="n"/>
      <c r="CD92" s="10" t="n"/>
    </row>
    <row r="93" hidden="1" ht="3" customHeight="1">
      <c r="B93" s="388" t="n"/>
      <c r="C93" s="494" t="n"/>
      <c r="D93" s="10" t="n"/>
      <c r="F93" s="10" t="n"/>
      <c r="H93" s="10" t="n"/>
      <c r="J93" s="10" t="n"/>
      <c r="K93" s="10" t="n"/>
      <c r="L93" s="10" t="n"/>
      <c r="M93" s="10" t="n"/>
      <c r="N93" s="10" t="n"/>
      <c r="V93" s="10" t="n"/>
      <c r="X93" s="10" t="n"/>
      <c r="Y93" s="495" t="n"/>
      <c r="AD93" s="494" t="n"/>
      <c r="AE93" s="10" t="n"/>
      <c r="AG93" s="10" t="n"/>
      <c r="AI93" s="10" t="n"/>
      <c r="AK93" s="10" t="n"/>
      <c r="AL93" s="10" t="n"/>
      <c r="AM93" s="10" t="n"/>
      <c r="AN93" s="10" t="n"/>
      <c r="AO93" s="10" t="n"/>
      <c r="AW93" s="10" t="n"/>
      <c r="AY93" s="10" t="n"/>
      <c r="AZ93" s="495" t="n"/>
      <c r="BE93" s="57" t="n"/>
      <c r="BF93" s="10" t="n"/>
      <c r="BG93" s="10" t="n"/>
      <c r="BH93" s="10" t="n"/>
      <c r="BI93" s="10" t="n"/>
      <c r="BJ93" s="10" t="n"/>
      <c r="BK93" s="10" t="n"/>
      <c r="BL93" s="58" t="n"/>
      <c r="BM93" s="10" t="n"/>
      <c r="BN93" s="10" t="n"/>
      <c r="BO93" s="10" t="n"/>
      <c r="BP93" s="10" t="n"/>
      <c r="BQ93" s="10" t="n"/>
      <c r="BR93" s="10" t="n"/>
      <c r="BS93" s="10" t="n"/>
      <c r="BT93" s="549" t="n"/>
      <c r="BU93" s="549" t="n"/>
      <c r="BV93" s="549" t="n"/>
      <c r="BW93" s="549" t="n"/>
      <c r="BX93" s="549" t="n"/>
      <c r="BY93" s="549" t="n"/>
      <c r="BZ93" s="549" t="n"/>
      <c r="CA93" s="10" t="n"/>
      <c r="CB93" s="10" t="n"/>
      <c r="CC93" s="10" t="n"/>
      <c r="CD93" s="10" t="n"/>
    </row>
    <row r="94" hidden="1" ht="3" customHeight="1">
      <c r="B94" s="388" t="n"/>
      <c r="C94" s="494" t="n"/>
      <c r="D94" s="10" t="n"/>
      <c r="F94" s="10" t="n"/>
      <c r="H94" s="10" t="n"/>
      <c r="J94" s="10" t="n"/>
      <c r="K94" s="10" t="n"/>
      <c r="L94" s="10" t="n"/>
      <c r="M94" s="10" t="n"/>
      <c r="N94" s="10" t="n"/>
      <c r="V94" s="10" t="n"/>
      <c r="X94" s="10" t="n"/>
      <c r="Y94" s="495" t="n"/>
      <c r="AD94" s="494" t="n"/>
      <c r="AE94" s="10" t="n"/>
      <c r="AG94" s="10" t="n"/>
      <c r="AI94" s="10" t="n"/>
      <c r="AK94" s="10" t="n"/>
      <c r="AL94" s="10" t="n"/>
      <c r="AM94" s="10" t="n"/>
      <c r="AN94" s="10" t="n"/>
      <c r="AO94" s="10" t="n"/>
      <c r="AW94" s="10" t="n"/>
      <c r="AY94" s="10" t="n"/>
      <c r="AZ94" s="495" t="n"/>
      <c r="BE94" s="57" t="n"/>
      <c r="BF94" s="10" t="n"/>
      <c r="BG94" s="10" t="n"/>
      <c r="BH94" s="10" t="n"/>
      <c r="BI94" s="10" t="n"/>
      <c r="BJ94" s="10" t="n"/>
      <c r="BK94" s="10" t="n"/>
      <c r="BL94" s="58" t="n"/>
      <c r="BM94" s="10" t="n"/>
      <c r="BN94" s="10" t="n"/>
      <c r="BO94" s="10" t="n"/>
      <c r="BP94" s="10" t="n"/>
      <c r="BQ94" s="10" t="n"/>
      <c r="BR94" s="10" t="n"/>
      <c r="BS94" s="10" t="n"/>
      <c r="BT94" s="549" t="n"/>
      <c r="BU94" s="549" t="n"/>
      <c r="BV94" s="549" t="n"/>
      <c r="BW94" s="549" t="n"/>
      <c r="BX94" s="549" t="n"/>
      <c r="BY94" s="549" t="n"/>
      <c r="BZ94" s="549" t="n"/>
      <c r="CA94" s="10" t="n"/>
      <c r="CB94" s="10" t="n"/>
      <c r="CC94" s="10" t="n"/>
      <c r="CD94" s="10" t="n"/>
    </row>
    <row r="95" hidden="1" ht="3" customHeight="1">
      <c r="B95" s="388" t="n"/>
      <c r="C95" s="494" t="n"/>
      <c r="D95" s="10" t="n"/>
      <c r="F95" s="10" t="n"/>
      <c r="H95" s="10" t="n"/>
      <c r="J95" s="10" t="n"/>
      <c r="K95" s="10" t="n"/>
      <c r="L95" s="10" t="n"/>
      <c r="M95" s="10" t="n"/>
      <c r="N95" s="366" t="n"/>
      <c r="V95" s="10" t="n"/>
      <c r="X95" s="10" t="n"/>
      <c r="Y95" s="495" t="n"/>
      <c r="AD95" s="494" t="n"/>
      <c r="AE95" s="10" t="n"/>
      <c r="AG95" s="10" t="n"/>
      <c r="AI95" s="10" t="n"/>
      <c r="AK95" s="10" t="n"/>
      <c r="AL95" s="10" t="n"/>
      <c r="AM95" s="10" t="n"/>
      <c r="AN95" s="10" t="n"/>
      <c r="AO95" s="366" t="n"/>
      <c r="AW95" s="10" t="n"/>
      <c r="AY95" s="10" t="n"/>
      <c r="AZ95" s="495" t="n"/>
      <c r="BE95" s="57" t="n"/>
      <c r="BF95" s="10" t="n"/>
      <c r="BG95" s="10" t="n"/>
      <c r="BH95" s="10" t="n"/>
      <c r="BI95" s="10" t="n"/>
      <c r="BJ95" s="10" t="n"/>
      <c r="BK95" s="10" t="n"/>
      <c r="BL95" s="58" t="n"/>
      <c r="BM95" s="10" t="n"/>
      <c r="BN95" s="10" t="n"/>
      <c r="BO95" s="10" t="n"/>
      <c r="BP95" s="10" t="n"/>
      <c r="BQ95" s="10" t="n"/>
      <c r="BR95" s="10" t="n"/>
      <c r="BS95" s="366" t="n"/>
      <c r="BT95" s="549" t="n"/>
      <c r="BU95" s="549" t="n"/>
      <c r="BV95" s="549" t="n"/>
      <c r="BW95" s="549" t="n"/>
      <c r="BX95" s="549" t="n"/>
      <c r="BY95" s="549" t="n"/>
      <c r="BZ95" s="549" t="n"/>
      <c r="CA95" s="10" t="n"/>
      <c r="CB95" s="10" t="n"/>
      <c r="CC95" s="10" t="n"/>
      <c r="CD95" s="10" t="n"/>
    </row>
    <row r="96" hidden="1" ht="3" customHeight="1">
      <c r="C96" s="494" t="n"/>
      <c r="D96" s="10" t="n"/>
      <c r="F96" s="10" t="n"/>
      <c r="H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8" t="n"/>
      <c r="AD96" s="494" t="n"/>
      <c r="AE96" s="10" t="n"/>
      <c r="AG96" s="10" t="n"/>
      <c r="AI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8" t="n"/>
      <c r="BE96" s="57" t="n"/>
      <c r="BF96" s="10" t="n"/>
      <c r="BG96" s="10" t="n"/>
      <c r="BH96" s="10" t="n"/>
      <c r="BI96" s="10" t="n"/>
      <c r="BJ96" s="10" t="n"/>
      <c r="BK96" s="10" t="n"/>
      <c r="BL96" s="58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</row>
    <row r="97" hidden="1" ht="9" customHeight="1">
      <c r="C97" s="9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8" t="n"/>
      <c r="AD97" s="9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8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</row>
    <row r="98" hidden="1" ht="3" customHeight="1">
      <c r="B98" s="388" t="n"/>
      <c r="C98" s="365" t="inlineStr">
        <is>
          <t>PMT</t>
        </is>
      </c>
      <c r="D98" s="10" t="n"/>
      <c r="E98" s="366" t="inlineStr">
        <is>
          <t>=</t>
        </is>
      </c>
      <c r="F98" s="10" t="n"/>
      <c r="G98" s="391">
        <f>G82</f>
        <v/>
      </c>
      <c r="H98" s="10" t="n"/>
      <c r="I98" s="366" t="inlineStr">
        <is>
          <t>x</t>
        </is>
      </c>
      <c r="J98" s="10" t="n"/>
      <c r="K98" s="10" t="n"/>
      <c r="L98" s="10" t="n"/>
      <c r="M98" s="10" t="n"/>
      <c r="N98" s="366" t="n"/>
      <c r="O98" s="547">
        <f>O82*Y82</f>
        <v/>
      </c>
      <c r="V98" s="10" t="n"/>
      <c r="W98" s="10" t="n"/>
      <c r="X98" s="10" t="n"/>
      <c r="Y98" s="18" t="n"/>
      <c r="AD98" s="365" t="inlineStr">
        <is>
          <t>PMT</t>
        </is>
      </c>
      <c r="AE98" s="10" t="n"/>
      <c r="AF98" s="366" t="inlineStr">
        <is>
          <t>=</t>
        </is>
      </c>
      <c r="AG98" s="10" t="n"/>
      <c r="AH98" s="391">
        <f>AH82</f>
        <v/>
      </c>
      <c r="AI98" s="10" t="n"/>
      <c r="AJ98" s="366" t="inlineStr">
        <is>
          <t>x</t>
        </is>
      </c>
      <c r="AK98" s="10" t="n"/>
      <c r="AL98" s="10" t="n"/>
      <c r="AM98" s="10" t="n"/>
      <c r="AN98" s="10" t="n"/>
      <c r="AO98" s="366" t="n"/>
      <c r="AP98" s="547">
        <f>AP82*AZ82</f>
        <v/>
      </c>
      <c r="AW98" s="10" t="n"/>
      <c r="AX98" s="10" t="n"/>
      <c r="AY98" s="10" t="n"/>
      <c r="AZ98" s="18" t="n"/>
      <c r="BE98" s="57" t="n"/>
      <c r="BF98" s="10" t="n"/>
      <c r="BG98" s="10" t="n"/>
      <c r="BH98" s="10" t="n"/>
      <c r="BI98" s="10" t="n"/>
      <c r="BJ98" s="10" t="n"/>
      <c r="BK98" s="10" t="n"/>
      <c r="BL98" s="58" t="n"/>
      <c r="BM98" s="10" t="n"/>
      <c r="BN98" s="10" t="n"/>
      <c r="BO98" s="10" t="n"/>
      <c r="BP98" s="10" t="n"/>
      <c r="BQ98" s="10" t="n"/>
      <c r="BR98" s="10" t="n"/>
      <c r="BS98" s="366" t="n"/>
      <c r="BT98" s="549" t="n"/>
      <c r="BU98" s="550" t="n"/>
      <c r="BV98" s="550" t="n"/>
      <c r="BW98" s="550" t="n"/>
      <c r="BX98" s="550" t="n"/>
      <c r="BY98" s="550" t="n"/>
      <c r="BZ98" s="550" t="n"/>
      <c r="CA98" s="10" t="n"/>
      <c r="CB98" s="10" t="n"/>
      <c r="CC98" s="10" t="n"/>
      <c r="CD98" s="10" t="n"/>
    </row>
    <row r="99" hidden="1" ht="3" customHeight="1">
      <c r="B99" s="388" t="n"/>
      <c r="C99" s="494" t="n"/>
      <c r="D99" s="10" t="n"/>
      <c r="F99" s="10" t="n"/>
      <c r="H99" s="10" t="n"/>
      <c r="J99" s="10" t="n"/>
      <c r="K99" s="10" t="n"/>
      <c r="L99" s="10" t="n"/>
      <c r="M99" s="10" t="n"/>
      <c r="N99" s="366" t="n"/>
      <c r="V99" s="30" t="n"/>
      <c r="W99" s="30" t="n"/>
      <c r="X99" s="30" t="n"/>
      <c r="Y99" s="21" t="n"/>
      <c r="Z99" s="22" t="n"/>
      <c r="AA99" s="22" t="n"/>
      <c r="AD99" s="494" t="n"/>
      <c r="AE99" s="10" t="n"/>
      <c r="AG99" s="10" t="n"/>
      <c r="AI99" s="10" t="n"/>
      <c r="AK99" s="10" t="n"/>
      <c r="AL99" s="10" t="n"/>
      <c r="AM99" s="10" t="n"/>
      <c r="AN99" s="10" t="n"/>
      <c r="AO99" s="366" t="n"/>
      <c r="AW99" s="30" t="n"/>
      <c r="AX99" s="30" t="n"/>
      <c r="AY99" s="30" t="n"/>
      <c r="AZ99" s="21" t="n"/>
      <c r="BE99" s="57" t="n"/>
      <c r="BF99" s="10" t="n"/>
      <c r="BG99" s="10" t="n"/>
      <c r="BH99" s="10" t="n"/>
      <c r="BI99" s="10" t="n"/>
      <c r="BJ99" s="10" t="n"/>
      <c r="BK99" s="10" t="n"/>
      <c r="BL99" s="58" t="n"/>
      <c r="BM99" s="10" t="n"/>
      <c r="BN99" s="10" t="n"/>
      <c r="BO99" s="10" t="n"/>
      <c r="BP99" s="10" t="n"/>
      <c r="BQ99" s="10" t="n"/>
      <c r="BR99" s="10" t="n"/>
      <c r="BS99" s="366" t="n"/>
      <c r="BT99" s="550" t="n"/>
      <c r="BU99" s="550" t="n"/>
      <c r="BV99" s="550" t="n"/>
      <c r="BW99" s="550" t="n"/>
      <c r="BX99" s="550" t="n"/>
      <c r="BY99" s="550" t="n"/>
      <c r="BZ99" s="550" t="n"/>
      <c r="CA99" s="30" t="n"/>
      <c r="CB99" s="30" t="n"/>
      <c r="CC99" s="30" t="n"/>
      <c r="CD99" s="30" t="n"/>
    </row>
    <row r="100" hidden="1" ht="3" customHeight="1">
      <c r="B100" s="388" t="n"/>
      <c r="C100" s="494" t="n"/>
      <c r="D100" s="10" t="n"/>
      <c r="F100" s="10" t="n"/>
      <c r="H100" s="10" t="n"/>
      <c r="J100" s="10" t="n"/>
      <c r="K100" s="10" t="n"/>
      <c r="L100" s="10" t="n"/>
      <c r="M100" s="10" t="n"/>
      <c r="N100" s="366" t="n"/>
      <c r="V100" s="30" t="n"/>
      <c r="W100" s="30" t="n"/>
      <c r="X100" s="30" t="n"/>
      <c r="Y100" s="21" t="n"/>
      <c r="Z100" s="22" t="n"/>
      <c r="AA100" s="22" t="n"/>
      <c r="AD100" s="494" t="n"/>
      <c r="AE100" s="10" t="n"/>
      <c r="AG100" s="10" t="n"/>
      <c r="AI100" s="10" t="n"/>
      <c r="AK100" s="10" t="n"/>
      <c r="AL100" s="10" t="n"/>
      <c r="AM100" s="10" t="n"/>
      <c r="AN100" s="10" t="n"/>
      <c r="AO100" s="366" t="n"/>
      <c r="AW100" s="30" t="n"/>
      <c r="AX100" s="30" t="n"/>
      <c r="AY100" s="30" t="n"/>
      <c r="AZ100" s="21" t="n"/>
      <c r="BE100" s="57" t="n"/>
      <c r="BF100" s="10" t="n"/>
      <c r="BG100" s="10" t="n"/>
      <c r="BH100" s="10" t="n"/>
      <c r="BI100" s="10" t="n"/>
      <c r="BJ100" s="10" t="n"/>
      <c r="BK100" s="10" t="n"/>
      <c r="BL100" s="58" t="n"/>
      <c r="BM100" s="10" t="n"/>
      <c r="BN100" s="10" t="n"/>
      <c r="BO100" s="10" t="n"/>
      <c r="BP100" s="10" t="n"/>
      <c r="BQ100" s="10" t="n"/>
      <c r="BR100" s="10" t="n"/>
      <c r="BS100" s="366" t="n"/>
      <c r="BT100" s="550" t="n"/>
      <c r="BU100" s="550" t="n"/>
      <c r="BV100" s="550" t="n"/>
      <c r="BW100" s="550" t="n"/>
      <c r="BX100" s="550" t="n"/>
      <c r="BY100" s="550" t="n"/>
      <c r="BZ100" s="550" t="n"/>
      <c r="CA100" s="30" t="n"/>
      <c r="CB100" s="30" t="n"/>
      <c r="CC100" s="30" t="n"/>
      <c r="CD100" s="30" t="n"/>
    </row>
    <row r="101" hidden="1" ht="3" customHeight="1">
      <c r="B101" s="388" t="n"/>
      <c r="C101" s="494" t="n"/>
      <c r="D101" s="10" t="n"/>
      <c r="F101" s="10" t="n"/>
      <c r="H101" s="10" t="n"/>
      <c r="J101" s="10" t="n"/>
      <c r="K101" s="10" t="n"/>
      <c r="L101" s="10" t="n"/>
      <c r="M101" s="10" t="n"/>
      <c r="N101" s="10" t="n"/>
      <c r="V101" s="30" t="n"/>
      <c r="W101" s="30" t="n"/>
      <c r="X101" s="30" t="n"/>
      <c r="Y101" s="21" t="n"/>
      <c r="Z101" s="22" t="n"/>
      <c r="AA101" s="22" t="n"/>
      <c r="AD101" s="494" t="n"/>
      <c r="AE101" s="10" t="n"/>
      <c r="AG101" s="10" t="n"/>
      <c r="AI101" s="10" t="n"/>
      <c r="AK101" s="10" t="n"/>
      <c r="AL101" s="10" t="n"/>
      <c r="AM101" s="10" t="n"/>
      <c r="AN101" s="10" t="n"/>
      <c r="AO101" s="10" t="n"/>
      <c r="AW101" s="30" t="n"/>
      <c r="AX101" s="30" t="n"/>
      <c r="AY101" s="30" t="n"/>
      <c r="AZ101" s="21" t="n"/>
      <c r="BE101" s="57" t="n"/>
      <c r="BF101" s="10" t="n"/>
      <c r="BG101" s="10" t="n"/>
      <c r="BH101" s="10" t="n"/>
      <c r="BI101" s="10" t="n"/>
      <c r="BJ101" s="10" t="n"/>
      <c r="BK101" s="10" t="n"/>
      <c r="BL101" s="58" t="n"/>
      <c r="BM101" s="10" t="n"/>
      <c r="BN101" s="10" t="n"/>
      <c r="BO101" s="10" t="n"/>
      <c r="BP101" s="10" t="n"/>
      <c r="BQ101" s="10" t="n"/>
      <c r="BR101" s="10" t="n"/>
      <c r="BS101" s="10" t="n"/>
      <c r="BT101" s="550" t="n"/>
      <c r="BU101" s="550" t="n"/>
      <c r="BV101" s="550" t="n"/>
      <c r="BW101" s="550" t="n"/>
      <c r="BX101" s="550" t="n"/>
      <c r="BY101" s="550" t="n"/>
      <c r="BZ101" s="550" t="n"/>
      <c r="CA101" s="30" t="n"/>
      <c r="CB101" s="30" t="n"/>
      <c r="CC101" s="30" t="n"/>
      <c r="CD101" s="30" t="n"/>
    </row>
    <row r="102" hidden="1" ht="3" customHeight="1">
      <c r="B102" s="388" t="n"/>
      <c r="C102" s="494" t="n"/>
      <c r="D102" s="10" t="n"/>
      <c r="F102" s="10" t="n"/>
      <c r="H102" s="10" t="n"/>
      <c r="J102" s="10" t="n"/>
      <c r="K102" s="10" t="n"/>
      <c r="L102" s="10" t="n"/>
      <c r="M102" s="10" t="n"/>
      <c r="N102" s="10" t="n"/>
      <c r="V102" s="30" t="n"/>
      <c r="W102" s="30" t="n"/>
      <c r="X102" s="30" t="n"/>
      <c r="Y102" s="21" t="n"/>
      <c r="Z102" s="22" t="n"/>
      <c r="AA102" s="22" t="n"/>
      <c r="AD102" s="494" t="n"/>
      <c r="AE102" s="10" t="n"/>
      <c r="AG102" s="10" t="n"/>
      <c r="AI102" s="10" t="n"/>
      <c r="AK102" s="10" t="n"/>
      <c r="AL102" s="10" t="n"/>
      <c r="AM102" s="10" t="n"/>
      <c r="AN102" s="10" t="n"/>
      <c r="AO102" s="10" t="n"/>
      <c r="AW102" s="30" t="n"/>
      <c r="AX102" s="30" t="n"/>
      <c r="AY102" s="30" t="n"/>
      <c r="AZ102" s="21" t="n"/>
      <c r="BE102" s="57" t="n"/>
      <c r="BF102" s="10" t="n"/>
      <c r="BG102" s="10" t="n"/>
      <c r="BH102" s="10" t="n"/>
      <c r="BI102" s="10" t="n"/>
      <c r="BJ102" s="10" t="n"/>
      <c r="BK102" s="10" t="n"/>
      <c r="BL102" s="58" t="n"/>
      <c r="BM102" s="10" t="n"/>
      <c r="BN102" s="10" t="n"/>
      <c r="BO102" s="10" t="n"/>
      <c r="BP102" s="10" t="n"/>
      <c r="BQ102" s="10" t="n"/>
      <c r="BR102" s="10" t="n"/>
      <c r="BS102" s="10" t="n"/>
      <c r="BT102" s="550" t="n"/>
      <c r="BU102" s="550" t="n"/>
      <c r="BV102" s="550" t="n"/>
      <c r="BW102" s="550" t="n"/>
      <c r="BX102" s="550" t="n"/>
      <c r="BY102" s="550" t="n"/>
      <c r="BZ102" s="550" t="n"/>
      <c r="CA102" s="30" t="n"/>
      <c r="CB102" s="30" t="n"/>
      <c r="CC102" s="30" t="n"/>
      <c r="CD102" s="30" t="n"/>
    </row>
    <row r="103" hidden="1" ht="3" customHeight="1">
      <c r="B103" s="388" t="n"/>
      <c r="C103" s="494" t="n"/>
      <c r="D103" s="10" t="n"/>
      <c r="F103" s="10" t="n"/>
      <c r="H103" s="10" t="n"/>
      <c r="J103" s="10" t="n"/>
      <c r="K103" s="10" t="n"/>
      <c r="L103" s="10" t="n"/>
      <c r="M103" s="10" t="n"/>
      <c r="N103" s="366" t="n"/>
      <c r="V103" s="30" t="n"/>
      <c r="W103" s="30" t="n"/>
      <c r="X103" s="30" t="n"/>
      <c r="Y103" s="21" t="n"/>
      <c r="Z103" s="22" t="n"/>
      <c r="AA103" s="22" t="n"/>
      <c r="AD103" s="494" t="n"/>
      <c r="AE103" s="10" t="n"/>
      <c r="AG103" s="10" t="n"/>
      <c r="AI103" s="10" t="n"/>
      <c r="AK103" s="10" t="n"/>
      <c r="AL103" s="10" t="n"/>
      <c r="AM103" s="10" t="n"/>
      <c r="AN103" s="10" t="n"/>
      <c r="AO103" s="366" t="n"/>
      <c r="AW103" s="30" t="n"/>
      <c r="AX103" s="30" t="n"/>
      <c r="AY103" s="30" t="n"/>
      <c r="AZ103" s="21" t="n"/>
      <c r="BE103" s="57" t="n"/>
      <c r="BF103" s="10" t="n"/>
      <c r="BG103" s="10" t="n"/>
      <c r="BH103" s="10" t="n"/>
      <c r="BI103" s="10" t="n"/>
      <c r="BJ103" s="10" t="n"/>
      <c r="BK103" s="10" t="n"/>
      <c r="BL103" s="58" t="n"/>
      <c r="BM103" s="10" t="n"/>
      <c r="BN103" s="10" t="n"/>
      <c r="BO103" s="10" t="n"/>
      <c r="BP103" s="10" t="n"/>
      <c r="BQ103" s="10" t="n"/>
      <c r="BR103" s="10" t="n"/>
      <c r="BS103" s="366" t="n"/>
      <c r="BT103" s="550" t="n"/>
      <c r="BU103" s="550" t="n"/>
      <c r="BV103" s="550" t="n"/>
      <c r="BW103" s="550" t="n"/>
      <c r="BX103" s="550" t="n"/>
      <c r="BY103" s="550" t="n"/>
      <c r="BZ103" s="550" t="n"/>
      <c r="CA103" s="30" t="n"/>
      <c r="CB103" s="30" t="n"/>
      <c r="CC103" s="30" t="n"/>
      <c r="CD103" s="30" t="n"/>
    </row>
    <row r="104" hidden="1" ht="3" customHeight="1">
      <c r="B104" s="388" t="n"/>
      <c r="C104" s="494" t="n"/>
      <c r="D104" s="366" t="n"/>
      <c r="F104" s="10" t="n"/>
      <c r="H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30" t="n"/>
      <c r="W104" s="30" t="n"/>
      <c r="X104" s="30" t="n"/>
      <c r="Y104" s="21" t="n"/>
      <c r="Z104" s="22" t="n"/>
      <c r="AA104" s="22" t="n"/>
      <c r="AD104" s="494" t="n"/>
      <c r="AE104" s="366" t="n"/>
      <c r="AG104" s="10" t="n"/>
      <c r="AI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30" t="n"/>
      <c r="AX104" s="30" t="n"/>
      <c r="AY104" s="30" t="n"/>
      <c r="AZ104" s="21" t="n"/>
      <c r="BE104" s="57" t="n"/>
      <c r="BF104" s="366" t="n"/>
      <c r="BG104" s="10" t="n"/>
      <c r="BH104" s="10" t="n"/>
      <c r="BI104" s="10" t="n"/>
      <c r="BJ104" s="10" t="n"/>
      <c r="BK104" s="10" t="n"/>
      <c r="BL104" s="58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30" t="n"/>
      <c r="CB104" s="30" t="n"/>
      <c r="CC104" s="30" t="n"/>
      <c r="CD104" s="30" t="n"/>
    </row>
    <row r="105" hidden="1" ht="3" customHeight="1">
      <c r="B105" s="388" t="n"/>
      <c r="C105" s="494" t="n"/>
      <c r="D105" s="366" t="n"/>
      <c r="F105" s="10" t="n"/>
      <c r="H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30" t="n"/>
      <c r="W105" s="30" t="n"/>
      <c r="X105" s="30" t="n"/>
      <c r="Y105" s="21" t="n"/>
      <c r="Z105" s="22" t="n"/>
      <c r="AA105" s="22" t="n"/>
      <c r="AD105" s="494" t="n"/>
      <c r="AE105" s="366" t="n"/>
      <c r="AG105" s="10" t="n"/>
      <c r="AI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30" t="n"/>
      <c r="AX105" s="30" t="n"/>
      <c r="AY105" s="30" t="n"/>
      <c r="AZ105" s="21" t="n"/>
      <c r="BE105" s="57" t="n"/>
      <c r="BF105" s="366" t="n"/>
      <c r="BG105" s="10" t="n"/>
      <c r="BH105" s="10" t="n"/>
      <c r="BI105" s="10" t="n"/>
      <c r="BJ105" s="10" t="n"/>
      <c r="BK105" s="10" t="n"/>
      <c r="BL105" s="58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30" t="n"/>
      <c r="CB105" s="30" t="n"/>
      <c r="CC105" s="30" t="n"/>
      <c r="CD105" s="30" t="n"/>
    </row>
    <row r="106" hidden="1" ht="3" customHeight="1">
      <c r="B106" s="388" t="n"/>
      <c r="C106" s="494" t="n"/>
      <c r="D106" s="10" t="n"/>
      <c r="F106" s="10" t="n"/>
      <c r="H106" s="10" t="n"/>
      <c r="J106" s="10" t="n"/>
      <c r="K106" s="10" t="n"/>
      <c r="L106" s="10" t="n"/>
      <c r="M106" s="10" t="n"/>
      <c r="N106" s="366" t="n"/>
      <c r="O106" s="547">
        <f>O90-Y90</f>
        <v/>
      </c>
      <c r="V106" s="30" t="n"/>
      <c r="W106" s="30" t="n"/>
      <c r="X106" s="30" t="n"/>
      <c r="Y106" s="21" t="n"/>
      <c r="Z106" s="22" t="n"/>
      <c r="AA106" s="22" t="n"/>
      <c r="AD106" s="494" t="n"/>
      <c r="AE106" s="10" t="n"/>
      <c r="AG106" s="10" t="n"/>
      <c r="AI106" s="10" t="n"/>
      <c r="AK106" s="10" t="n"/>
      <c r="AL106" s="10" t="n"/>
      <c r="AM106" s="10" t="n"/>
      <c r="AN106" s="10" t="n"/>
      <c r="AO106" s="366" t="n"/>
      <c r="AP106" s="547">
        <f>AP90-AZ90</f>
        <v/>
      </c>
      <c r="AW106" s="30" t="n"/>
      <c r="AX106" s="30" t="n"/>
      <c r="AY106" s="30" t="n"/>
      <c r="AZ106" s="21" t="n"/>
      <c r="BE106" s="57" t="n"/>
      <c r="BF106" s="10" t="n"/>
      <c r="BG106" s="10" t="n"/>
      <c r="BH106" s="10" t="n"/>
      <c r="BI106" s="10" t="n"/>
      <c r="BJ106" s="10" t="n"/>
      <c r="BK106" s="10" t="n"/>
      <c r="BL106" s="58" t="n"/>
      <c r="BM106" s="10" t="n"/>
      <c r="BN106" s="10" t="n"/>
      <c r="BO106" s="10" t="n"/>
      <c r="BP106" s="10" t="n"/>
      <c r="BQ106" s="10" t="n"/>
      <c r="BR106" s="10" t="n"/>
      <c r="BS106" s="366" t="n"/>
      <c r="BT106" s="549" t="n"/>
      <c r="BU106" s="550" t="n"/>
      <c r="BV106" s="550" t="n"/>
      <c r="BW106" s="550" t="n"/>
      <c r="BX106" s="550" t="n"/>
      <c r="BY106" s="550" t="n"/>
      <c r="BZ106" s="550" t="n"/>
      <c r="CA106" s="30" t="n"/>
      <c r="CB106" s="30" t="n"/>
      <c r="CC106" s="30" t="n"/>
      <c r="CD106" s="30" t="n"/>
    </row>
    <row r="107" hidden="1" ht="3" customHeight="1">
      <c r="B107" s="388" t="n"/>
      <c r="C107" s="494" t="n"/>
      <c r="D107" s="10" t="n"/>
      <c r="F107" s="10" t="n"/>
      <c r="H107" s="10" t="n"/>
      <c r="J107" s="10" t="n"/>
      <c r="K107" s="10" t="n"/>
      <c r="L107" s="10" t="n"/>
      <c r="M107" s="10" t="n"/>
      <c r="N107" s="366" t="n"/>
      <c r="V107" s="30" t="n"/>
      <c r="W107" s="30" t="n"/>
      <c r="X107" s="30" t="n"/>
      <c r="Y107" s="21" t="n"/>
      <c r="Z107" s="22" t="n"/>
      <c r="AA107" s="22" t="n"/>
      <c r="AD107" s="494" t="n"/>
      <c r="AE107" s="10" t="n"/>
      <c r="AG107" s="10" t="n"/>
      <c r="AI107" s="10" t="n"/>
      <c r="AK107" s="10" t="n"/>
      <c r="AL107" s="10" t="n"/>
      <c r="AM107" s="10" t="n"/>
      <c r="AN107" s="10" t="n"/>
      <c r="AO107" s="366" t="n"/>
      <c r="AW107" s="30" t="n"/>
      <c r="AX107" s="30" t="n"/>
      <c r="AY107" s="30" t="n"/>
      <c r="AZ107" s="21" t="n"/>
      <c r="BE107" s="57" t="n"/>
      <c r="BF107" s="10" t="n"/>
      <c r="BG107" s="10" t="n"/>
      <c r="BH107" s="10" t="n"/>
      <c r="BI107" s="10" t="n"/>
      <c r="BJ107" s="10" t="n"/>
      <c r="BK107" s="10" t="n"/>
      <c r="BL107" s="58" t="n"/>
      <c r="BM107" s="10" t="n"/>
      <c r="BN107" s="10" t="n"/>
      <c r="BO107" s="10" t="n"/>
      <c r="BP107" s="10" t="n"/>
      <c r="BQ107" s="10" t="n"/>
      <c r="BR107" s="10" t="n"/>
      <c r="BS107" s="366" t="n"/>
      <c r="BT107" s="550" t="n"/>
      <c r="BU107" s="550" t="n"/>
      <c r="BV107" s="550" t="n"/>
      <c r="BW107" s="550" t="n"/>
      <c r="BX107" s="550" t="n"/>
      <c r="BY107" s="550" t="n"/>
      <c r="BZ107" s="550" t="n"/>
      <c r="CA107" s="30" t="n"/>
      <c r="CB107" s="30" t="n"/>
      <c r="CC107" s="30" t="n"/>
      <c r="CD107" s="30" t="n"/>
    </row>
    <row r="108" hidden="1" ht="3" customHeight="1">
      <c r="B108" s="388" t="n"/>
      <c r="C108" s="494" t="n"/>
      <c r="D108" s="10" t="n"/>
      <c r="F108" s="10" t="n"/>
      <c r="H108" s="10" t="n"/>
      <c r="J108" s="10" t="n"/>
      <c r="K108" s="10" t="n"/>
      <c r="L108" s="10" t="n"/>
      <c r="M108" s="10" t="n"/>
      <c r="N108" s="366" t="n"/>
      <c r="V108" s="30" t="n"/>
      <c r="W108" s="30" t="n"/>
      <c r="X108" s="30" t="n"/>
      <c r="Y108" s="21" t="n"/>
      <c r="Z108" s="22" t="n"/>
      <c r="AA108" s="22" t="n"/>
      <c r="AD108" s="494" t="n"/>
      <c r="AE108" s="10" t="n"/>
      <c r="AG108" s="10" t="n"/>
      <c r="AI108" s="10" t="n"/>
      <c r="AK108" s="10" t="n"/>
      <c r="AL108" s="10" t="n"/>
      <c r="AM108" s="10" t="n"/>
      <c r="AN108" s="10" t="n"/>
      <c r="AO108" s="366" t="n"/>
      <c r="AW108" s="30" t="n"/>
      <c r="AX108" s="30" t="n"/>
      <c r="AY108" s="30" t="n"/>
      <c r="AZ108" s="21" t="n"/>
      <c r="BE108" s="57" t="n"/>
      <c r="BF108" s="10" t="n"/>
      <c r="BG108" s="10" t="n"/>
      <c r="BH108" s="10" t="n"/>
      <c r="BI108" s="10" t="n"/>
      <c r="BJ108" s="10" t="n"/>
      <c r="BK108" s="10" t="n"/>
      <c r="BL108" s="58" t="n"/>
      <c r="BM108" s="10" t="n"/>
      <c r="BN108" s="10" t="n"/>
      <c r="BO108" s="10" t="n"/>
      <c r="BP108" s="10" t="n"/>
      <c r="BQ108" s="10" t="n"/>
      <c r="BR108" s="10" t="n"/>
      <c r="BS108" s="366" t="n"/>
      <c r="BT108" s="550" t="n"/>
      <c r="BU108" s="550" t="n"/>
      <c r="BV108" s="550" t="n"/>
      <c r="BW108" s="550" t="n"/>
      <c r="BX108" s="550" t="n"/>
      <c r="BY108" s="550" t="n"/>
      <c r="BZ108" s="550" t="n"/>
      <c r="CA108" s="30" t="n"/>
      <c r="CB108" s="30" t="n"/>
      <c r="CC108" s="30" t="n"/>
      <c r="CD108" s="30" t="n"/>
    </row>
    <row r="109" hidden="1" ht="3" customHeight="1">
      <c r="B109" s="388" t="n"/>
      <c r="C109" s="494" t="n"/>
      <c r="D109" s="10" t="n"/>
      <c r="F109" s="10" t="n"/>
      <c r="H109" s="10" t="n"/>
      <c r="J109" s="10" t="n"/>
      <c r="K109" s="10" t="n"/>
      <c r="L109" s="10" t="n"/>
      <c r="M109" s="10" t="n"/>
      <c r="N109" s="10" t="n"/>
      <c r="V109" s="30" t="n"/>
      <c r="W109" s="30" t="n"/>
      <c r="X109" s="30" t="n"/>
      <c r="Y109" s="21" t="n"/>
      <c r="Z109" s="22" t="n"/>
      <c r="AA109" s="22" t="n"/>
      <c r="AD109" s="494" t="n"/>
      <c r="AE109" s="10" t="n"/>
      <c r="AG109" s="10" t="n"/>
      <c r="AI109" s="10" t="n"/>
      <c r="AK109" s="10" t="n"/>
      <c r="AL109" s="10" t="n"/>
      <c r="AM109" s="10" t="n"/>
      <c r="AN109" s="10" t="n"/>
      <c r="AO109" s="10" t="n"/>
      <c r="AW109" s="30" t="n"/>
      <c r="AX109" s="30" t="n"/>
      <c r="AY109" s="30" t="n"/>
      <c r="AZ109" s="21" t="n"/>
      <c r="BE109" s="57" t="n"/>
      <c r="BF109" s="10" t="n"/>
      <c r="BG109" s="10" t="n"/>
      <c r="BH109" s="10" t="n"/>
      <c r="BI109" s="10" t="n"/>
      <c r="BJ109" s="10" t="n"/>
      <c r="BK109" s="10" t="n"/>
      <c r="BL109" s="58" t="n"/>
      <c r="BM109" s="10" t="n"/>
      <c r="BN109" s="10" t="n"/>
      <c r="BO109" s="10" t="n"/>
      <c r="BP109" s="10" t="n"/>
      <c r="BQ109" s="10" t="n"/>
      <c r="BR109" s="10" t="n"/>
      <c r="BS109" s="10" t="n"/>
      <c r="BT109" s="550" t="n"/>
      <c r="BU109" s="550" t="n"/>
      <c r="BV109" s="550" t="n"/>
      <c r="BW109" s="550" t="n"/>
      <c r="BX109" s="550" t="n"/>
      <c r="BY109" s="550" t="n"/>
      <c r="BZ109" s="550" t="n"/>
      <c r="CA109" s="30" t="n"/>
      <c r="CB109" s="30" t="n"/>
      <c r="CC109" s="30" t="n"/>
      <c r="CD109" s="30" t="n"/>
    </row>
    <row r="110" hidden="1" ht="3" customHeight="1">
      <c r="B110" s="388" t="n"/>
      <c r="C110" s="494" t="n"/>
      <c r="D110" s="10" t="n"/>
      <c r="F110" s="10" t="n"/>
      <c r="H110" s="10" t="n"/>
      <c r="J110" s="10" t="n"/>
      <c r="K110" s="10" t="n"/>
      <c r="L110" s="10" t="n"/>
      <c r="M110" s="10" t="n"/>
      <c r="N110" s="10" t="n"/>
      <c r="V110" s="30" t="n"/>
      <c r="W110" s="30" t="n"/>
      <c r="X110" s="30" t="n"/>
      <c r="Y110" s="21" t="n"/>
      <c r="Z110" s="22" t="n"/>
      <c r="AA110" s="22" t="n"/>
      <c r="AD110" s="494" t="n"/>
      <c r="AE110" s="10" t="n"/>
      <c r="AG110" s="10" t="n"/>
      <c r="AI110" s="10" t="n"/>
      <c r="AK110" s="10" t="n"/>
      <c r="AL110" s="10" t="n"/>
      <c r="AM110" s="10" t="n"/>
      <c r="AN110" s="10" t="n"/>
      <c r="AO110" s="10" t="n"/>
      <c r="AW110" s="30" t="n"/>
      <c r="AX110" s="30" t="n"/>
      <c r="AY110" s="30" t="n"/>
      <c r="AZ110" s="21" t="n"/>
      <c r="BE110" s="57" t="n"/>
      <c r="BF110" s="10" t="n"/>
      <c r="BG110" s="10" t="n"/>
      <c r="BH110" s="10" t="n"/>
      <c r="BI110" s="10" t="n"/>
      <c r="BJ110" s="10" t="n"/>
      <c r="BK110" s="10" t="n"/>
      <c r="BL110" s="58" t="n"/>
      <c r="BM110" s="10" t="n"/>
      <c r="BN110" s="10" t="n"/>
      <c r="BO110" s="10" t="n"/>
      <c r="BP110" s="10" t="n"/>
      <c r="BQ110" s="10" t="n"/>
      <c r="BR110" s="10" t="n"/>
      <c r="BS110" s="10" t="n"/>
      <c r="BT110" s="550" t="n"/>
      <c r="BU110" s="550" t="n"/>
      <c r="BV110" s="550" t="n"/>
      <c r="BW110" s="550" t="n"/>
      <c r="BX110" s="550" t="n"/>
      <c r="BY110" s="550" t="n"/>
      <c r="BZ110" s="550" t="n"/>
      <c r="CA110" s="30" t="n"/>
      <c r="CB110" s="30" t="n"/>
      <c r="CC110" s="30" t="n"/>
      <c r="CD110" s="30" t="n"/>
    </row>
    <row r="111" hidden="1" ht="3" customHeight="1">
      <c r="B111" s="388" t="n"/>
      <c r="C111" s="494" t="n"/>
      <c r="D111" s="10" t="n"/>
      <c r="F111" s="10" t="n"/>
      <c r="H111" s="10" t="n"/>
      <c r="J111" s="10" t="n"/>
      <c r="K111" s="10" t="n"/>
      <c r="L111" s="10" t="n"/>
      <c r="M111" s="10" t="n"/>
      <c r="N111" s="366" t="n"/>
      <c r="V111" s="10" t="n"/>
      <c r="W111" s="10" t="n"/>
      <c r="X111" s="10" t="n"/>
      <c r="Y111" s="18" t="n"/>
      <c r="AD111" s="494" t="n"/>
      <c r="AE111" s="10" t="n"/>
      <c r="AG111" s="10" t="n"/>
      <c r="AI111" s="10" t="n"/>
      <c r="AK111" s="10" t="n"/>
      <c r="AL111" s="10" t="n"/>
      <c r="AM111" s="10" t="n"/>
      <c r="AN111" s="10" t="n"/>
      <c r="AO111" s="366" t="n"/>
      <c r="AW111" s="10" t="n"/>
      <c r="AX111" s="10" t="n"/>
      <c r="AY111" s="10" t="n"/>
      <c r="AZ111" s="18" t="n"/>
      <c r="BE111" s="57" t="n"/>
      <c r="BF111" s="10" t="n"/>
      <c r="BG111" s="10" t="n"/>
      <c r="BH111" s="10" t="n"/>
      <c r="BI111" s="10" t="n"/>
      <c r="BJ111" s="10" t="n"/>
      <c r="BK111" s="10" t="n"/>
      <c r="BL111" s="58" t="n"/>
      <c r="BM111" s="10" t="n"/>
      <c r="BN111" s="10" t="n"/>
      <c r="BO111" s="10" t="n"/>
      <c r="BP111" s="10" t="n"/>
      <c r="BQ111" s="10" t="n"/>
      <c r="BR111" s="10" t="n"/>
      <c r="BS111" s="366" t="n"/>
      <c r="BT111" s="550" t="n"/>
      <c r="BU111" s="550" t="n"/>
      <c r="BV111" s="550" t="n"/>
      <c r="BW111" s="550" t="n"/>
      <c r="BX111" s="550" t="n"/>
      <c r="BY111" s="550" t="n"/>
      <c r="BZ111" s="550" t="n"/>
      <c r="CA111" s="10" t="n"/>
      <c r="CB111" s="10" t="n"/>
      <c r="CC111" s="10" t="n"/>
      <c r="CD111" s="10" t="n"/>
    </row>
    <row r="112" hidden="1" ht="3" customHeight="1">
      <c r="C112" s="494" t="n"/>
      <c r="D112" s="10" t="n"/>
      <c r="F112" s="10" t="n"/>
      <c r="H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8" t="n"/>
      <c r="AD112" s="494" t="n"/>
      <c r="AE112" s="10" t="n"/>
      <c r="AG112" s="10" t="n"/>
      <c r="AI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8" t="n"/>
      <c r="BE112" s="57" t="n"/>
      <c r="BF112" s="10" t="n"/>
      <c r="BG112" s="10" t="n"/>
      <c r="BH112" s="10" t="n"/>
      <c r="BI112" s="10" t="n"/>
      <c r="BJ112" s="10" t="n"/>
      <c r="BK112" s="10" t="n"/>
      <c r="BL112" s="58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</row>
    <row r="113" hidden="1" ht="9" customHeight="1">
      <c r="C113" s="9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8" t="n"/>
      <c r="AD113" s="9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8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</row>
    <row r="114" hidden="1" ht="3" customHeight="1">
      <c r="B114" s="388" t="n"/>
      <c r="C114" s="365" t="inlineStr">
        <is>
          <t>PMT</t>
        </is>
      </c>
      <c r="E114" s="388" t="inlineStr">
        <is>
          <t>=</t>
        </is>
      </c>
      <c r="G114" s="391">
        <f>G98</f>
        <v/>
      </c>
      <c r="I114" s="388" t="inlineStr">
        <is>
          <t>x</t>
        </is>
      </c>
      <c r="K114" s="547">
        <f>O98/O106</f>
        <v/>
      </c>
      <c r="T114" s="551" t="n"/>
      <c r="U114" s="551" t="n"/>
      <c r="Y114" s="7" t="n"/>
      <c r="AD114" s="365" t="inlineStr">
        <is>
          <t>PMT</t>
        </is>
      </c>
      <c r="AF114" s="388" t="inlineStr">
        <is>
          <t>=</t>
        </is>
      </c>
      <c r="AH114" s="391">
        <f>AH98</f>
        <v/>
      </c>
      <c r="AJ114" s="388" t="inlineStr">
        <is>
          <t>x</t>
        </is>
      </c>
      <c r="AL114" s="547">
        <f>AP98/AP106</f>
        <v/>
      </c>
      <c r="AU114" s="551" t="n"/>
      <c r="AV114" s="551" t="n"/>
      <c r="AZ114" s="7" t="n"/>
      <c r="BE114" s="57" t="n"/>
      <c r="BL114" s="58" t="n"/>
      <c r="BP114" s="549" t="n"/>
      <c r="BQ114" s="549" t="n"/>
      <c r="BR114" s="549" t="n"/>
      <c r="BS114" s="549" t="n"/>
      <c r="BT114" s="549" t="n"/>
      <c r="BU114" s="549" t="n"/>
      <c r="BV114" s="549" t="n"/>
      <c r="BW114" s="549" t="n"/>
      <c r="BX114" s="549" t="n"/>
      <c r="BY114" s="551" t="n"/>
      <c r="BZ114" s="551" t="n"/>
    </row>
    <row r="115" hidden="1" ht="3" customHeight="1">
      <c r="B115" s="388" t="n"/>
      <c r="C115" s="494" t="n"/>
      <c r="T115" s="551" t="n"/>
      <c r="U115" s="551" t="n"/>
      <c r="Y115" s="7" t="n"/>
      <c r="AD115" s="494" t="n"/>
      <c r="AU115" s="551" t="n"/>
      <c r="AV115" s="551" t="n"/>
      <c r="AZ115" s="7" t="n"/>
      <c r="BE115" s="57" t="n"/>
      <c r="BL115" s="58" t="n"/>
      <c r="BP115" s="549" t="n"/>
      <c r="BQ115" s="549" t="n"/>
      <c r="BR115" s="549" t="n"/>
      <c r="BS115" s="549" t="n"/>
      <c r="BT115" s="549" t="n"/>
      <c r="BU115" s="549" t="n"/>
      <c r="BV115" s="549" t="n"/>
      <c r="BW115" s="549" t="n"/>
      <c r="BX115" s="549" t="n"/>
      <c r="BY115" s="551" t="n"/>
      <c r="BZ115" s="551" t="n"/>
    </row>
    <row r="116" hidden="1" ht="3" customHeight="1">
      <c r="B116" s="388" t="n"/>
      <c r="C116" s="494" t="n"/>
      <c r="T116" s="551" t="n"/>
      <c r="U116" s="551" t="n"/>
      <c r="Y116" s="7" t="n"/>
      <c r="AD116" s="494" t="n"/>
      <c r="AU116" s="551" t="n"/>
      <c r="AV116" s="551" t="n"/>
      <c r="AZ116" s="7" t="n"/>
      <c r="BE116" s="57" t="n"/>
      <c r="BL116" s="58" t="n"/>
      <c r="BP116" s="549" t="n"/>
      <c r="BQ116" s="549" t="n"/>
      <c r="BR116" s="549" t="n"/>
      <c r="BS116" s="549" t="n"/>
      <c r="BT116" s="549" t="n"/>
      <c r="BU116" s="549" t="n"/>
      <c r="BV116" s="549" t="n"/>
      <c r="BW116" s="549" t="n"/>
      <c r="BX116" s="549" t="n"/>
      <c r="BY116" s="551" t="n"/>
      <c r="BZ116" s="551" t="n"/>
    </row>
    <row r="117" hidden="1" ht="3" customHeight="1">
      <c r="B117" s="388" t="n"/>
      <c r="C117" s="494" t="n"/>
      <c r="T117" s="551" t="n"/>
      <c r="U117" s="551" t="n"/>
      <c r="Y117" s="7" t="n"/>
      <c r="AD117" s="494" t="n"/>
      <c r="AU117" s="551" t="n"/>
      <c r="AV117" s="551" t="n"/>
      <c r="AZ117" s="7" t="n"/>
      <c r="BE117" s="57" t="n"/>
      <c r="BL117" s="58" t="n"/>
      <c r="BP117" s="549" t="n"/>
      <c r="BQ117" s="549" t="n"/>
      <c r="BR117" s="549" t="n"/>
      <c r="BS117" s="549" t="n"/>
      <c r="BT117" s="549" t="n"/>
      <c r="BU117" s="549" t="n"/>
      <c r="BV117" s="549" t="n"/>
      <c r="BW117" s="549" t="n"/>
      <c r="BX117" s="549" t="n"/>
      <c r="BY117" s="551" t="n"/>
      <c r="BZ117" s="551" t="n"/>
    </row>
    <row r="118" hidden="1" ht="3" customHeight="1">
      <c r="B118" s="388" t="n"/>
      <c r="C118" s="494" t="n"/>
      <c r="T118" s="551" t="n"/>
      <c r="U118" s="551" t="n"/>
      <c r="Y118" s="7" t="n"/>
      <c r="AD118" s="494" t="n"/>
      <c r="AU118" s="551" t="n"/>
      <c r="AV118" s="551" t="n"/>
      <c r="AZ118" s="7" t="n"/>
      <c r="BE118" s="57" t="n"/>
      <c r="BL118" s="58" t="n"/>
      <c r="BP118" s="549" t="n"/>
      <c r="BQ118" s="549" t="n"/>
      <c r="BR118" s="549" t="n"/>
      <c r="BS118" s="549" t="n"/>
      <c r="BT118" s="549" t="n"/>
      <c r="BU118" s="549" t="n"/>
      <c r="BV118" s="549" t="n"/>
      <c r="BW118" s="549" t="n"/>
      <c r="BX118" s="549" t="n"/>
      <c r="BY118" s="551" t="n"/>
      <c r="BZ118" s="551" t="n"/>
    </row>
    <row r="119" hidden="1" ht="3" customHeight="1">
      <c r="B119" s="388" t="n"/>
      <c r="C119" s="494" t="n"/>
      <c r="T119" s="551" t="n"/>
      <c r="U119" s="551" t="n"/>
      <c r="Y119" s="7" t="n"/>
      <c r="AD119" s="494" t="n"/>
      <c r="AU119" s="551" t="n"/>
      <c r="AV119" s="551" t="n"/>
      <c r="AZ119" s="7" t="n"/>
      <c r="BE119" s="57" t="n"/>
      <c r="BL119" s="58" t="n"/>
      <c r="BP119" s="549" t="n"/>
      <c r="BQ119" s="549" t="n"/>
      <c r="BR119" s="549" t="n"/>
      <c r="BS119" s="549" t="n"/>
      <c r="BT119" s="549" t="n"/>
      <c r="BU119" s="549" t="n"/>
      <c r="BV119" s="549" t="n"/>
      <c r="BW119" s="549" t="n"/>
      <c r="BX119" s="549" t="n"/>
      <c r="BY119" s="551" t="n"/>
      <c r="BZ119" s="551" t="n"/>
    </row>
    <row r="120" hidden="1" ht="3" customHeight="1">
      <c r="B120" s="388" t="n"/>
      <c r="C120" s="494" t="n"/>
      <c r="D120" s="388" t="n"/>
      <c r="Y120" s="7" t="n"/>
      <c r="AD120" s="494" t="n"/>
      <c r="AE120" s="388" t="n"/>
      <c r="AZ120" s="7" t="n"/>
      <c r="BE120" s="57" t="n"/>
      <c r="BF120" s="388" t="n"/>
      <c r="BL120" s="58" t="n"/>
      <c r="BP120" s="549" t="n"/>
      <c r="BQ120" s="549" t="n"/>
      <c r="BR120" s="549" t="n"/>
      <c r="BS120" s="549" t="n"/>
      <c r="BT120" s="549" t="n"/>
      <c r="BU120" s="549" t="n"/>
      <c r="BV120" s="549" t="n"/>
      <c r="BW120" s="549" t="n"/>
      <c r="BX120" s="549" t="n"/>
    </row>
    <row r="121" hidden="1" ht="9" customHeight="1">
      <c r="C121" s="6" t="n"/>
      <c r="Y121" s="7" t="n"/>
      <c r="AD121" s="6" t="n"/>
      <c r="AZ121" s="7" t="n"/>
    </row>
    <row r="122" ht="3" customHeight="1">
      <c r="B122" s="388" t="n"/>
      <c r="C122" s="389" t="inlineStr">
        <is>
          <t>Valor da parcela</t>
        </is>
      </c>
      <c r="E122" s="390" t="inlineStr">
        <is>
          <t>=</t>
        </is>
      </c>
      <c r="G122" s="392">
        <f>(G114*K114)</f>
        <v/>
      </c>
      <c r="I122" s="388" t="n"/>
      <c r="K122" s="552" t="n"/>
      <c r="L122" s="552" t="n"/>
      <c r="M122" s="552" t="n"/>
      <c r="N122" s="552" t="n"/>
      <c r="O122" s="552" t="n"/>
      <c r="P122" s="552" t="n"/>
      <c r="Q122" s="552" t="n"/>
      <c r="R122" s="552" t="n"/>
      <c r="S122" s="552" t="n"/>
      <c r="T122" s="551" t="n"/>
      <c r="U122" s="551" t="n"/>
      <c r="Y122" s="7" t="n"/>
      <c r="AD122" s="389" t="inlineStr">
        <is>
          <t>Valor da parcela</t>
        </is>
      </c>
      <c r="AF122" s="390" t="inlineStr">
        <is>
          <t>=</t>
        </is>
      </c>
      <c r="AH122" s="392">
        <f>(AH114*AL114)</f>
        <v/>
      </c>
      <c r="AJ122" s="388" t="n"/>
      <c r="AL122" s="552" t="n"/>
      <c r="AM122" s="552" t="n"/>
      <c r="AN122" s="552" t="n"/>
      <c r="AO122" s="552" t="n"/>
      <c r="AP122" s="552" t="n"/>
      <c r="AQ122" s="552" t="n"/>
      <c r="AR122" s="552" t="n"/>
      <c r="AS122" s="552" t="n"/>
      <c r="AT122" s="552" t="n"/>
      <c r="AU122" s="551" t="n"/>
      <c r="AV122" s="551" t="n"/>
      <c r="AZ122" s="7" t="n"/>
      <c r="BE122" s="57" t="n"/>
      <c r="BG122" s="10" t="n"/>
      <c r="BL122" s="58" t="n"/>
      <c r="BN122" s="388" t="n"/>
      <c r="BP122" s="552" t="n"/>
      <c r="BQ122" s="552" t="n"/>
      <c r="BR122" s="552" t="n"/>
      <c r="BS122" s="552" t="n"/>
      <c r="BT122" s="552" t="n"/>
      <c r="BU122" s="552" t="n"/>
      <c r="BV122" s="552" t="n"/>
      <c r="BW122" s="552" t="n"/>
      <c r="BX122" s="552" t="n"/>
      <c r="BY122" s="551" t="n"/>
      <c r="BZ122" s="551" t="n"/>
    </row>
    <row r="123" ht="3" customHeight="1">
      <c r="B123" s="388" t="n"/>
      <c r="C123" s="494" t="n"/>
      <c r="I123" s="388" t="n"/>
      <c r="K123" s="552" t="n"/>
      <c r="L123" s="552" t="n"/>
      <c r="M123" s="552" t="n"/>
      <c r="N123" s="552" t="n"/>
      <c r="O123" s="552" t="n"/>
      <c r="P123" s="552" t="n"/>
      <c r="Q123" s="552" t="n"/>
      <c r="R123" s="552" t="n"/>
      <c r="S123" s="552" t="n"/>
      <c r="T123" s="551" t="n"/>
      <c r="U123" s="551" t="n"/>
      <c r="Y123" s="7" t="n"/>
      <c r="AD123" s="494" t="n"/>
      <c r="AJ123" s="388" t="n"/>
      <c r="AL123" s="552" t="n"/>
      <c r="AM123" s="552" t="n"/>
      <c r="AN123" s="552" t="n"/>
      <c r="AO123" s="552" t="n"/>
      <c r="AP123" s="552" t="n"/>
      <c r="AQ123" s="552" t="n"/>
      <c r="AR123" s="552" t="n"/>
      <c r="AS123" s="552" t="n"/>
      <c r="AT123" s="552" t="n"/>
      <c r="AU123" s="551" t="n"/>
      <c r="AV123" s="551" t="n"/>
      <c r="AZ123" s="7" t="n"/>
      <c r="BE123" s="57" t="n"/>
      <c r="BG123" s="10" t="n"/>
      <c r="BL123" s="58" t="n"/>
      <c r="BN123" s="388" t="n"/>
      <c r="BP123" s="552" t="n"/>
      <c r="BQ123" s="552" t="n"/>
      <c r="BR123" s="552" t="n"/>
      <c r="BS123" s="552" t="n"/>
      <c r="BT123" s="552" t="n"/>
      <c r="BU123" s="552" t="n"/>
      <c r="BV123" s="552" t="n"/>
      <c r="BW123" s="552" t="n"/>
      <c r="BX123" s="552" t="n"/>
      <c r="BY123" s="551" t="n"/>
      <c r="BZ123" s="551" t="n"/>
    </row>
    <row r="124" ht="3" customHeight="1">
      <c r="B124" s="388" t="n"/>
      <c r="C124" s="494" t="n"/>
      <c r="I124" s="388" t="n"/>
      <c r="K124" s="552" t="n"/>
      <c r="L124" s="552" t="n"/>
      <c r="M124" s="552" t="n"/>
      <c r="N124" s="552" t="n"/>
      <c r="O124" s="552" t="n"/>
      <c r="P124" s="552" t="n"/>
      <c r="Q124" s="552" t="n"/>
      <c r="R124" s="552" t="n"/>
      <c r="S124" s="552" t="n"/>
      <c r="T124" s="551" t="n"/>
      <c r="U124" s="551" t="n"/>
      <c r="Y124" s="7" t="n"/>
      <c r="AD124" s="494" t="n"/>
      <c r="AJ124" s="388" t="n"/>
      <c r="AL124" s="552" t="n"/>
      <c r="AM124" s="552" t="n"/>
      <c r="AN124" s="552" t="n"/>
      <c r="AO124" s="552" t="n"/>
      <c r="AP124" s="552" t="n"/>
      <c r="AQ124" s="552" t="n"/>
      <c r="AR124" s="552" t="n"/>
      <c r="AS124" s="552" t="n"/>
      <c r="AT124" s="552" t="n"/>
      <c r="AU124" s="551" t="n"/>
      <c r="AV124" s="551" t="n"/>
      <c r="AZ124" s="7" t="n"/>
      <c r="BE124" s="57" t="n"/>
      <c r="BG124" s="10" t="n"/>
      <c r="BL124" s="58" t="n"/>
      <c r="BN124" s="388" t="n"/>
      <c r="BP124" s="552" t="n"/>
      <c r="BQ124" s="552" t="n"/>
      <c r="BR124" s="552" t="n"/>
      <c r="BS124" s="552" t="n"/>
      <c r="BT124" s="552" t="n"/>
      <c r="BU124" s="552" t="n"/>
      <c r="BV124" s="552" t="n"/>
      <c r="BW124" s="552" t="n"/>
      <c r="BX124" s="552" t="n"/>
      <c r="BY124" s="551" t="n"/>
      <c r="BZ124" s="551" t="n"/>
    </row>
    <row r="125" ht="3" customHeight="1">
      <c r="B125" s="388" t="n"/>
      <c r="C125" s="494" t="n"/>
      <c r="I125" s="388" t="n"/>
      <c r="K125" s="552" t="n"/>
      <c r="L125" s="552" t="n"/>
      <c r="M125" s="552" t="n"/>
      <c r="N125" s="552" t="n"/>
      <c r="O125" s="552" t="n"/>
      <c r="P125" s="552" t="n"/>
      <c r="Q125" s="552" t="n"/>
      <c r="R125" s="552" t="n"/>
      <c r="S125" s="552" t="n"/>
      <c r="T125" s="551" t="n"/>
      <c r="U125" s="551" t="n"/>
      <c r="Y125" s="7" t="n"/>
      <c r="AD125" s="494" t="n"/>
      <c r="AJ125" s="388" t="n"/>
      <c r="AL125" s="552" t="n"/>
      <c r="AM125" s="552" t="n"/>
      <c r="AN125" s="552" t="n"/>
      <c r="AO125" s="552" t="n"/>
      <c r="AP125" s="552" t="n"/>
      <c r="AQ125" s="552" t="n"/>
      <c r="AR125" s="552" t="n"/>
      <c r="AS125" s="552" t="n"/>
      <c r="AT125" s="552" t="n"/>
      <c r="AU125" s="551" t="n"/>
      <c r="AV125" s="551" t="n"/>
      <c r="AZ125" s="7" t="n"/>
      <c r="BE125" s="57" t="n"/>
      <c r="BG125" s="10" t="n"/>
      <c r="BL125" s="58" t="n"/>
      <c r="BN125" s="388" t="n"/>
      <c r="BP125" s="552" t="n"/>
      <c r="BQ125" s="552" t="n"/>
      <c r="BR125" s="552" t="n"/>
      <c r="BS125" s="552" t="n"/>
      <c r="BT125" s="552" t="n"/>
      <c r="BU125" s="552" t="n"/>
      <c r="BV125" s="552" t="n"/>
      <c r="BW125" s="552" t="n"/>
      <c r="BX125" s="552" t="n"/>
      <c r="BY125" s="551" t="n"/>
      <c r="BZ125" s="551" t="n"/>
    </row>
    <row r="126" ht="3" customHeight="1">
      <c r="B126" s="388" t="n"/>
      <c r="C126" s="494" t="n"/>
      <c r="I126" s="388" t="n"/>
      <c r="K126" s="552" t="n"/>
      <c r="L126" s="552" t="n"/>
      <c r="M126" s="552" t="n"/>
      <c r="N126" s="552" t="n"/>
      <c r="O126" s="552" t="n"/>
      <c r="P126" s="552" t="n"/>
      <c r="Q126" s="552" t="n"/>
      <c r="R126" s="552" t="n"/>
      <c r="S126" s="552" t="n"/>
      <c r="T126" s="551" t="n"/>
      <c r="U126" s="551" t="n"/>
      <c r="Y126" s="7" t="n"/>
      <c r="AD126" s="494" t="n"/>
      <c r="AJ126" s="388" t="n"/>
      <c r="AL126" s="552" t="n"/>
      <c r="AM126" s="552" t="n"/>
      <c r="AN126" s="552" t="n"/>
      <c r="AO126" s="552" t="n"/>
      <c r="AP126" s="552" t="n"/>
      <c r="AQ126" s="552" t="n"/>
      <c r="AR126" s="552" t="n"/>
      <c r="AS126" s="552" t="n"/>
      <c r="AT126" s="552" t="n"/>
      <c r="AU126" s="551" t="n"/>
      <c r="AV126" s="551" t="n"/>
      <c r="AZ126" s="7" t="n"/>
      <c r="BE126" s="57" t="n"/>
      <c r="BG126" s="10" t="n"/>
      <c r="BL126" s="58" t="n"/>
      <c r="BN126" s="388" t="n"/>
      <c r="BP126" s="552" t="n"/>
      <c r="BQ126" s="552" t="n"/>
      <c r="BR126" s="552" t="n"/>
      <c r="BS126" s="552" t="n"/>
      <c r="BT126" s="552" t="n"/>
      <c r="BU126" s="552" t="n"/>
      <c r="BV126" s="552" t="n"/>
      <c r="BW126" s="552" t="n"/>
      <c r="BX126" s="552" t="n"/>
      <c r="BY126" s="551" t="n"/>
      <c r="BZ126" s="551" t="n"/>
    </row>
    <row r="127" ht="2.25" customHeight="1">
      <c r="B127" s="388" t="n"/>
      <c r="C127" s="494" t="n"/>
      <c r="I127" s="388" t="n"/>
      <c r="K127" s="552" t="n"/>
      <c r="L127" s="552" t="n"/>
      <c r="M127" s="552" t="n"/>
      <c r="N127" s="552" t="n"/>
      <c r="O127" s="552" t="n"/>
      <c r="P127" s="552" t="n"/>
      <c r="Q127" s="552" t="n"/>
      <c r="R127" s="552" t="n"/>
      <c r="S127" s="552" t="n"/>
      <c r="T127" s="551" t="n"/>
      <c r="U127" s="551" t="n"/>
      <c r="Y127" s="7" t="n"/>
      <c r="AD127" s="494" t="n"/>
      <c r="AJ127" s="388" t="n"/>
      <c r="AL127" s="552" t="n"/>
      <c r="AM127" s="552" t="n"/>
      <c r="AN127" s="552" t="n"/>
      <c r="AO127" s="552" t="n"/>
      <c r="AP127" s="552" t="n"/>
      <c r="AQ127" s="552" t="n"/>
      <c r="AR127" s="552" t="n"/>
      <c r="AS127" s="552" t="n"/>
      <c r="AT127" s="552" t="n"/>
      <c r="AU127" s="551" t="n"/>
      <c r="AV127" s="551" t="n"/>
      <c r="AZ127" s="7" t="n"/>
      <c r="BE127" s="57" t="n"/>
      <c r="BG127" s="10" t="n"/>
      <c r="BL127" s="58" t="n"/>
      <c r="BN127" s="388" t="n"/>
      <c r="BP127" s="552" t="n"/>
      <c r="BQ127" s="552" t="n"/>
      <c r="BR127" s="552" t="n"/>
      <c r="BS127" s="552" t="n"/>
      <c r="BT127" s="552" t="n"/>
      <c r="BU127" s="552" t="n"/>
      <c r="BV127" s="552" t="n"/>
      <c r="BW127" s="552" t="n"/>
      <c r="BX127" s="552" t="n"/>
      <c r="BY127" s="551" t="n"/>
      <c r="BZ127" s="551" t="n"/>
    </row>
    <row r="128" hidden="1" ht="3" customHeight="1">
      <c r="B128" s="388" t="n"/>
      <c r="C128" s="494" t="n"/>
      <c r="I128" s="388" t="n"/>
      <c r="K128" s="552" t="n"/>
      <c r="L128" s="552" t="n"/>
      <c r="M128" s="552" t="n"/>
      <c r="N128" s="552" t="n"/>
      <c r="O128" s="552" t="n"/>
      <c r="P128" s="552" t="n"/>
      <c r="Q128" s="552" t="n"/>
      <c r="R128" s="552" t="n"/>
      <c r="S128" s="552" t="n"/>
      <c r="T128" s="551" t="n"/>
      <c r="U128" s="551" t="n"/>
      <c r="Y128" s="7" t="n"/>
      <c r="AD128" s="494" t="n"/>
      <c r="AJ128" s="388" t="n"/>
      <c r="AL128" s="552" t="n"/>
      <c r="AM128" s="552" t="n"/>
      <c r="AN128" s="552" t="n"/>
      <c r="AO128" s="552" t="n"/>
      <c r="AP128" s="552" t="n"/>
      <c r="AQ128" s="552" t="n"/>
      <c r="AR128" s="552" t="n"/>
      <c r="AS128" s="552" t="n"/>
      <c r="AT128" s="552" t="n"/>
      <c r="AU128" s="551" t="n"/>
      <c r="AV128" s="551" t="n"/>
      <c r="AZ128" s="7" t="n"/>
      <c r="BE128" s="57" t="n"/>
      <c r="BG128" s="10" t="n"/>
      <c r="BL128" s="58" t="n"/>
      <c r="BN128" s="388" t="n"/>
      <c r="BP128" s="552" t="n"/>
      <c r="BQ128" s="552" t="n"/>
      <c r="BR128" s="552" t="n"/>
      <c r="BS128" s="552" t="n"/>
      <c r="BT128" s="552" t="n"/>
      <c r="BU128" s="552" t="n"/>
      <c r="BV128" s="552" t="n"/>
      <c r="BW128" s="552" t="n"/>
      <c r="BX128" s="552" t="n"/>
      <c r="BY128" s="551" t="n"/>
      <c r="BZ128" s="551" t="n"/>
    </row>
    <row r="129" ht="3" customHeight="1">
      <c r="B129" s="388" t="n"/>
      <c r="C129" s="507" t="n"/>
      <c r="D129" s="25" t="n"/>
      <c r="E129" s="448" t="n"/>
      <c r="F129" s="19" t="n"/>
      <c r="G129" s="448" t="n"/>
      <c r="H129" s="19" t="n"/>
      <c r="I129" s="25" t="n"/>
      <c r="J129" s="19" t="n"/>
      <c r="K129" s="553" t="n"/>
      <c r="L129" s="553" t="n"/>
      <c r="M129" s="553" t="n"/>
      <c r="N129" s="553" t="n"/>
      <c r="O129" s="553" t="n"/>
      <c r="P129" s="553" t="n"/>
      <c r="Q129" s="553" t="n"/>
      <c r="R129" s="553" t="n"/>
      <c r="S129" s="553" t="n"/>
      <c r="T129" s="19" t="n"/>
      <c r="U129" s="19" t="n"/>
      <c r="V129" s="19" t="n"/>
      <c r="W129" s="19" t="n"/>
      <c r="X129" s="19" t="n"/>
      <c r="Y129" s="27" t="n"/>
      <c r="AD129" s="507" t="n"/>
      <c r="AE129" s="25" t="n"/>
      <c r="AF129" s="448" t="n"/>
      <c r="AG129" s="19" t="n"/>
      <c r="AH129" s="448" t="n"/>
      <c r="AI129" s="19" t="n"/>
      <c r="AJ129" s="25" t="n"/>
      <c r="AK129" s="19" t="n"/>
      <c r="AL129" s="553" t="n"/>
      <c r="AM129" s="553" t="n"/>
      <c r="AN129" s="553" t="n"/>
      <c r="AO129" s="553" t="n"/>
      <c r="AP129" s="553" t="n"/>
      <c r="AQ129" s="553" t="n"/>
      <c r="AR129" s="553" t="n"/>
      <c r="AS129" s="553" t="n"/>
      <c r="AT129" s="553" t="n"/>
      <c r="AU129" s="19" t="n"/>
      <c r="AV129" s="19" t="n"/>
      <c r="AW129" s="19" t="n"/>
      <c r="AX129" s="19" t="n"/>
      <c r="AY129" s="19" t="n"/>
      <c r="AZ129" s="27" t="n"/>
      <c r="BE129" s="57" t="n"/>
      <c r="BF129" s="388" t="n"/>
      <c r="BG129" s="10" t="n"/>
      <c r="BL129" s="58" t="n"/>
      <c r="BN129" s="388" t="n"/>
      <c r="BP129" s="552" t="n"/>
      <c r="BQ129" s="552" t="n"/>
      <c r="BR129" s="552" t="n"/>
      <c r="BS129" s="552" t="n"/>
      <c r="BT129" s="552" t="n"/>
      <c r="BU129" s="552" t="n"/>
      <c r="BV129" s="552" t="n"/>
      <c r="BW129" s="552" t="n"/>
      <c r="BX129" s="552" t="n"/>
    </row>
    <row r="130" ht="15" customHeight="1" thickBot="1">
      <c r="B130" s="388" t="n"/>
      <c r="C130" s="28" t="n"/>
      <c r="D130" s="388" t="n"/>
      <c r="E130" s="10" t="n"/>
      <c r="G130" s="391" t="n"/>
      <c r="I130" s="388" t="n"/>
      <c r="K130" s="552" t="n"/>
      <c r="L130" s="552" t="n"/>
      <c r="M130" s="552" t="n"/>
      <c r="N130" s="552" t="n"/>
      <c r="O130" s="552" t="n"/>
      <c r="P130" s="552" t="n"/>
      <c r="Q130" s="552" t="n"/>
      <c r="R130" s="552" t="n"/>
      <c r="S130" s="552" t="n"/>
      <c r="AD130" s="28" t="n"/>
      <c r="AE130" s="388" t="n"/>
      <c r="AF130" s="10" t="n"/>
      <c r="AH130" s="391" t="n"/>
      <c r="AJ130" s="388" t="n"/>
      <c r="AL130" s="552" t="n"/>
      <c r="AM130" s="552" t="n"/>
      <c r="AN130" s="552" t="n"/>
      <c r="AO130" s="552" t="n"/>
      <c r="AP130" s="552" t="n"/>
      <c r="AQ130" s="552" t="n"/>
      <c r="AR130" s="552" t="n"/>
      <c r="AS130" s="552" t="n"/>
      <c r="AT130" s="552" t="n"/>
      <c r="BE130" s="28" t="n"/>
      <c r="BF130" s="388" t="n"/>
      <c r="BG130" s="10" t="n"/>
      <c r="BL130" s="391" t="n"/>
      <c r="BN130" s="388" t="n"/>
      <c r="BP130" s="552" t="n"/>
      <c r="BQ130" s="552" t="n"/>
      <c r="BR130" s="552" t="n"/>
      <c r="BS130" s="552" t="n"/>
      <c r="BT130" s="552" t="n"/>
      <c r="BU130" s="552" t="n"/>
      <c r="BV130" s="552" t="n"/>
      <c r="BW130" s="552" t="n"/>
      <c r="BX130" s="552" t="n"/>
    </row>
    <row r="131" ht="12.95" customHeight="1" thickBot="1">
      <c r="C131" s="554" t="inlineStr">
        <is>
          <t>PARCELAS CONFORME O CONTRATO</t>
        </is>
      </c>
      <c r="D131" s="441" t="n"/>
      <c r="E131" s="441" t="n"/>
      <c r="F131" s="441" t="n"/>
      <c r="G131" s="441" t="n"/>
      <c r="H131" s="441" t="n"/>
      <c r="I131" s="441" t="n"/>
      <c r="J131" s="441" t="n"/>
      <c r="K131" s="441" t="n"/>
      <c r="L131" s="441" t="n"/>
      <c r="M131" s="441" t="n"/>
      <c r="N131" s="441" t="n"/>
      <c r="O131" s="441" t="n"/>
      <c r="P131" s="441" t="n"/>
      <c r="Q131" s="441" t="n"/>
      <c r="R131" s="441" t="n"/>
      <c r="S131" s="441" t="n"/>
      <c r="T131" s="441" t="n"/>
      <c r="U131" s="441" t="n"/>
      <c r="V131" s="441" t="n"/>
      <c r="W131" s="441" t="n"/>
      <c r="X131" s="441" t="n"/>
      <c r="Y131" s="444" t="n"/>
      <c r="Z131" s="65" t="n"/>
      <c r="AA131" s="65" t="n"/>
      <c r="AB131" s="65" t="n"/>
      <c r="AC131" s="65" t="n"/>
      <c r="AD131" s="555" t="inlineStr">
        <is>
          <t>PARCELAS RECALCULADAS</t>
        </is>
      </c>
      <c r="AE131" s="437" t="n"/>
      <c r="AF131" s="437" t="n"/>
      <c r="AG131" s="437" t="n"/>
      <c r="AH131" s="437" t="n"/>
      <c r="AI131" s="437" t="n"/>
      <c r="AJ131" s="437" t="n"/>
      <c r="AK131" s="437" t="n"/>
      <c r="AL131" s="437" t="n"/>
      <c r="AM131" s="437" t="n"/>
      <c r="AN131" s="437" t="n"/>
      <c r="AO131" s="437" t="n"/>
      <c r="AP131" s="437" t="n"/>
      <c r="AQ131" s="437" t="n"/>
      <c r="AR131" s="437" t="n"/>
      <c r="AS131" s="437" t="n"/>
      <c r="AT131" s="437" t="n"/>
      <c r="AU131" s="437" t="n"/>
      <c r="AV131" s="437" t="n"/>
      <c r="AW131" s="437" t="n"/>
      <c r="AX131" s="437" t="n"/>
      <c r="AY131" s="437" t="n"/>
      <c r="AZ131" s="438" t="n"/>
      <c r="BA131" s="65" t="n"/>
      <c r="BB131" s="65" t="n"/>
      <c r="BC131" s="65" t="n"/>
      <c r="BD131" s="65" t="n"/>
      <c r="BE131" s="555" t="inlineStr">
        <is>
          <t>VALORES PAGOS PELO CLIENTE</t>
        </is>
      </c>
      <c r="BF131" s="437" t="n"/>
      <c r="BG131" s="437" t="n"/>
      <c r="BH131" s="437" t="n"/>
      <c r="BI131" s="437" t="n"/>
      <c r="BJ131" s="437" t="n"/>
      <c r="BK131" s="437" t="n"/>
      <c r="BL131" s="437" t="n"/>
      <c r="BM131" s="437" t="n"/>
      <c r="BN131" s="437" t="n"/>
      <c r="BO131" s="437" t="n"/>
      <c r="BP131" s="437" t="n"/>
      <c r="BQ131" s="437" t="n"/>
      <c r="BR131" s="437" t="n"/>
      <c r="BS131" s="437" t="n"/>
      <c r="BT131" s="437" t="n"/>
      <c r="BU131" s="437" t="n"/>
      <c r="BV131" s="437" t="n"/>
      <c r="BW131" s="437" t="n"/>
      <c r="BX131" s="437" t="n"/>
      <c r="BY131" s="437" t="n"/>
      <c r="BZ131" s="437" t="n"/>
      <c r="CA131" s="437" t="n"/>
      <c r="CB131" s="437" t="n"/>
      <c r="CC131" s="438" t="n"/>
      <c r="CI131" s="481" t="n"/>
    </row>
    <row r="132" ht="12.95" customHeight="1" thickBot="1">
      <c r="C132" s="69" t="inlineStr">
        <is>
          <t xml:space="preserve">Parcela </t>
        </is>
      </c>
      <c r="D132" s="399" t="inlineStr">
        <is>
          <t>Vencimento</t>
        </is>
      </c>
      <c r="E132" s="437" t="n"/>
      <c r="F132" s="437" t="n"/>
      <c r="G132" s="437" t="n"/>
      <c r="H132" s="437" t="n"/>
      <c r="I132" s="437" t="n"/>
      <c r="J132" s="437" t="n"/>
      <c r="K132" s="437" t="n"/>
      <c r="L132" s="437" t="n"/>
      <c r="M132" s="440" t="n"/>
      <c r="N132" s="400" t="inlineStr">
        <is>
          <t>Parcela cobrada</t>
        </is>
      </c>
      <c r="O132" s="437" t="n"/>
      <c r="P132" s="437" t="n"/>
      <c r="Q132" s="437" t="n"/>
      <c r="R132" s="437" t="n"/>
      <c r="S132" s="437" t="n"/>
      <c r="T132" s="437" t="n"/>
      <c r="U132" s="437" t="n"/>
      <c r="V132" s="437" t="n"/>
      <c r="W132" s="437" t="n"/>
      <c r="X132" s="437" t="n"/>
      <c r="Y132" s="440" t="n"/>
      <c r="Z132" s="65" t="n"/>
      <c r="AA132" s="65" t="n"/>
      <c r="AB132" s="65" t="n"/>
      <c r="AC132" s="65" t="n"/>
      <c r="AD132" s="69" t="inlineStr">
        <is>
          <t xml:space="preserve">Parcela </t>
        </is>
      </c>
      <c r="AE132" s="399" t="inlineStr">
        <is>
          <t>Vencimento</t>
        </is>
      </c>
      <c r="AF132" s="437" t="n"/>
      <c r="AG132" s="437" t="n"/>
      <c r="AH132" s="437" t="n"/>
      <c r="AI132" s="437" t="n"/>
      <c r="AJ132" s="437" t="n"/>
      <c r="AK132" s="437" t="n"/>
      <c r="AL132" s="437" t="n"/>
      <c r="AM132" s="437" t="n"/>
      <c r="AN132" s="440" t="n"/>
      <c r="AO132" s="400" t="inlineStr">
        <is>
          <t>Parcela recalculada</t>
        </is>
      </c>
      <c r="AP132" s="437" t="n"/>
      <c r="AQ132" s="437" t="n"/>
      <c r="AR132" s="437" t="n"/>
      <c r="AS132" s="437" t="n"/>
      <c r="AT132" s="437" t="n"/>
      <c r="AU132" s="437" t="n"/>
      <c r="AV132" s="437" t="n"/>
      <c r="AW132" s="437" t="n"/>
      <c r="AX132" s="437" t="n"/>
      <c r="AY132" s="437" t="n"/>
      <c r="AZ132" s="440" t="n"/>
      <c r="BA132" s="65" t="n"/>
      <c r="BB132" s="65" t="n"/>
      <c r="BC132" s="65" t="n"/>
      <c r="BD132" s="65" t="n"/>
      <c r="BE132" s="69" t="inlineStr">
        <is>
          <t xml:space="preserve">Parcela </t>
        </is>
      </c>
      <c r="BF132" s="399" t="inlineStr">
        <is>
          <t>Vencimento</t>
        </is>
      </c>
      <c r="BG132" s="437" t="n"/>
      <c r="BH132" s="437" t="n"/>
      <c r="BI132" s="437" t="n"/>
      <c r="BJ132" s="437" t="n"/>
      <c r="BK132" s="437" t="n"/>
      <c r="BL132" s="437" t="n"/>
      <c r="BM132" s="437" t="n"/>
      <c r="BN132" s="437" t="n"/>
      <c r="BO132" s="440" t="n"/>
      <c r="BP132" s="401" t="inlineStr">
        <is>
          <t>Valor pago</t>
        </is>
      </c>
      <c r="BQ132" s="437" t="n"/>
      <c r="BR132" s="437" t="n"/>
      <c r="BS132" s="437" t="n"/>
      <c r="BT132" s="437" t="n"/>
      <c r="BU132" s="437" t="n"/>
      <c r="BV132" s="437" t="n"/>
      <c r="BW132" s="437" t="n"/>
      <c r="BX132" s="437" t="n"/>
      <c r="BY132" s="437" t="n"/>
      <c r="BZ132" s="437" t="n"/>
      <c r="CA132" s="437" t="n"/>
      <c r="CB132" s="437" t="n"/>
      <c r="CC132" s="438" t="n"/>
      <c r="CI132" s="481" t="n"/>
    </row>
    <row r="133" ht="12.95" customHeight="1">
      <c r="C133" s="68" t="n">
        <v>1</v>
      </c>
      <c r="D133" s="556">
        <f>IF(C133&lt;=$I$16, $D$6, "")</f>
        <v/>
      </c>
      <c r="E133" s="448" t="n"/>
      <c r="F133" s="448" t="n"/>
      <c r="G133" s="448" t="n"/>
      <c r="H133" s="448" t="n"/>
      <c r="I133" s="448" t="n"/>
      <c r="J133" s="448" t="n"/>
      <c r="K133" s="448" t="n"/>
      <c r="L133" s="448" t="n"/>
      <c r="M133" s="449" t="n"/>
      <c r="N133" s="557">
        <f>IF(C133&lt;=$I$16, $I$17, "")</f>
        <v/>
      </c>
      <c r="O133" s="448" t="n"/>
      <c r="P133" s="448" t="n"/>
      <c r="Q133" s="448" t="n"/>
      <c r="R133" s="448" t="n"/>
      <c r="S133" s="448" t="n"/>
      <c r="T133" s="448" t="n"/>
      <c r="U133" s="448" t="n"/>
      <c r="V133" s="448" t="n"/>
      <c r="W133" s="448" t="n"/>
      <c r="X133" s="448" t="n"/>
      <c r="Y133" s="449" t="n"/>
      <c r="Z133" s="65" t="n"/>
      <c r="AA133" s="65" t="n"/>
      <c r="AB133" s="65" t="n"/>
      <c r="AC133" s="65" t="n"/>
      <c r="AD133" s="68" t="n">
        <v>1</v>
      </c>
      <c r="AE133" s="556">
        <f>D133</f>
        <v/>
      </c>
      <c r="AF133" s="448" t="n"/>
      <c r="AG133" s="448" t="n"/>
      <c r="AH133" s="448" t="n"/>
      <c r="AI133" s="448" t="n"/>
      <c r="AJ133" s="448" t="n"/>
      <c r="AK133" s="448" t="n"/>
      <c r="AL133" s="448" t="n"/>
      <c r="AM133" s="448" t="n"/>
      <c r="AN133" s="449" t="n"/>
      <c r="AO133" s="557">
        <f>AH122</f>
        <v/>
      </c>
      <c r="AP133" s="448" t="n"/>
      <c r="AQ133" s="448" t="n"/>
      <c r="AR133" s="448" t="n"/>
      <c r="AS133" s="448" t="n"/>
      <c r="AT133" s="448" t="n"/>
      <c r="AU133" s="448" t="n"/>
      <c r="AV133" s="448" t="n"/>
      <c r="AW133" s="448" t="n"/>
      <c r="AX133" s="448" t="n"/>
      <c r="AY133" s="448" t="n"/>
      <c r="AZ133" s="449" t="n"/>
      <c r="BA133" s="65" t="n"/>
      <c r="BB133" s="65" t="n"/>
      <c r="BC133" s="65" t="n"/>
      <c r="BD133" s="65" t="n"/>
      <c r="BE133" s="68" t="n">
        <v>1</v>
      </c>
      <c r="BF133" s="556">
        <f>AE133</f>
        <v/>
      </c>
      <c r="BG133" s="448" t="n"/>
      <c r="BH133" s="448" t="n"/>
      <c r="BI133" s="448" t="n"/>
      <c r="BJ133" s="448" t="n"/>
      <c r="BK133" s="448" t="n"/>
      <c r="BL133" s="448" t="n"/>
      <c r="BM133" s="448" t="n"/>
      <c r="BN133" s="448" t="n"/>
      <c r="BO133" s="449" t="n"/>
      <c r="BP133" s="557">
        <f>N133</f>
        <v/>
      </c>
      <c r="BQ133" s="448" t="n"/>
      <c r="BR133" s="448" t="n"/>
      <c r="BS133" s="448" t="n"/>
      <c r="BT133" s="448" t="n"/>
      <c r="BU133" s="448" t="n"/>
      <c r="BV133" s="448" t="n"/>
      <c r="BW133" s="448" t="n"/>
      <c r="BX133" s="448" t="n"/>
      <c r="BY133" s="448" t="n"/>
      <c r="BZ133" s="448" t="n"/>
      <c r="CA133" s="448" t="n"/>
      <c r="CB133" s="448" t="n"/>
      <c r="CC133" s="449" t="n"/>
      <c r="CI133" s="481" t="n"/>
    </row>
    <row r="134" ht="12.95" customHeight="1">
      <c r="C134" s="66" t="n">
        <v>2</v>
      </c>
      <c r="D134" s="558">
        <f>IF(C134&lt;=$I$16, EDATE($D$6, C134-1), "")</f>
        <v/>
      </c>
      <c r="E134" s="453" t="n"/>
      <c r="F134" s="453" t="n"/>
      <c r="G134" s="453" t="n"/>
      <c r="H134" s="453" t="n"/>
      <c r="I134" s="453" t="n"/>
      <c r="J134" s="453" t="n"/>
      <c r="K134" s="453" t="n"/>
      <c r="L134" s="453" t="n"/>
      <c r="M134" s="454" t="n"/>
      <c r="N134" s="559">
        <f>IF(C134&lt;=$I$16, $I$17, "")</f>
        <v/>
      </c>
      <c r="O134" s="453" t="n"/>
      <c r="P134" s="453" t="n"/>
      <c r="Q134" s="453" t="n"/>
      <c r="R134" s="453" t="n"/>
      <c r="S134" s="453" t="n"/>
      <c r="T134" s="453" t="n"/>
      <c r="U134" s="453" t="n"/>
      <c r="V134" s="453" t="n"/>
      <c r="W134" s="453" t="n"/>
      <c r="X134" s="453" t="n"/>
      <c r="Y134" s="454" t="n"/>
      <c r="Z134" s="65" t="n"/>
      <c r="AA134" s="65" t="n"/>
      <c r="AB134" s="65" t="n"/>
      <c r="AC134" s="65" t="n"/>
      <c r="AD134" s="66" t="n">
        <v>2</v>
      </c>
      <c r="AE134" s="558">
        <f>D134</f>
        <v/>
      </c>
      <c r="AF134" s="453" t="n"/>
      <c r="AG134" s="453" t="n"/>
      <c r="AH134" s="453" t="n"/>
      <c r="AI134" s="453" t="n"/>
      <c r="AJ134" s="453" t="n"/>
      <c r="AK134" s="453" t="n"/>
      <c r="AL134" s="453" t="n"/>
      <c r="AM134" s="453" t="n"/>
      <c r="AN134" s="454" t="n"/>
      <c r="AO134" s="559">
        <f>AO133</f>
        <v/>
      </c>
      <c r="AP134" s="453" t="n"/>
      <c r="AQ134" s="453" t="n"/>
      <c r="AR134" s="453" t="n"/>
      <c r="AS134" s="453" t="n"/>
      <c r="AT134" s="453" t="n"/>
      <c r="AU134" s="453" t="n"/>
      <c r="AV134" s="453" t="n"/>
      <c r="AW134" s="453" t="n"/>
      <c r="AX134" s="453" t="n"/>
      <c r="AY134" s="453" t="n"/>
      <c r="AZ134" s="454" t="n"/>
      <c r="BA134" s="65" t="n"/>
      <c r="BB134" s="65" t="n"/>
      <c r="BC134" s="65" t="n"/>
      <c r="BD134" s="65" t="n"/>
      <c r="BE134" s="66" t="n">
        <v>2</v>
      </c>
      <c r="BF134" s="558">
        <f>AE134</f>
        <v/>
      </c>
      <c r="BG134" s="453" t="n"/>
      <c r="BH134" s="453" t="n"/>
      <c r="BI134" s="453" t="n"/>
      <c r="BJ134" s="453" t="n"/>
      <c r="BK134" s="453" t="n"/>
      <c r="BL134" s="453" t="n"/>
      <c r="BM134" s="453" t="n"/>
      <c r="BN134" s="453" t="n"/>
      <c r="BO134" s="454" t="n"/>
      <c r="BP134" s="559">
        <f>BP133</f>
        <v/>
      </c>
      <c r="BQ134" s="453" t="n"/>
      <c r="BR134" s="453" t="n"/>
      <c r="BS134" s="453" t="n"/>
      <c r="BT134" s="453" t="n"/>
      <c r="BU134" s="453" t="n"/>
      <c r="BV134" s="453" t="n"/>
      <c r="BW134" s="453" t="n"/>
      <c r="BX134" s="453" t="n"/>
      <c r="BY134" s="453" t="n"/>
      <c r="BZ134" s="453" t="n"/>
      <c r="CA134" s="453" t="n"/>
      <c r="CB134" s="453" t="n"/>
      <c r="CC134" s="454" t="n"/>
      <c r="CI134" s="481" t="n"/>
    </row>
    <row r="135" ht="12.95" customHeight="1">
      <c r="C135" s="66" t="n">
        <v>3</v>
      </c>
      <c r="D135" s="558">
        <f>IF(C135&lt;=$I$16, EDATE($D$6, C135-1), "")</f>
        <v/>
      </c>
      <c r="E135" s="453" t="n"/>
      <c r="F135" s="453" t="n"/>
      <c r="G135" s="453" t="n"/>
      <c r="H135" s="453" t="n"/>
      <c r="I135" s="453" t="n"/>
      <c r="J135" s="453" t="n"/>
      <c r="K135" s="453" t="n"/>
      <c r="L135" s="453" t="n"/>
      <c r="M135" s="454" t="n"/>
      <c r="N135" s="559">
        <f>IF(C135&lt;=$I$16, $I$17, "")</f>
        <v/>
      </c>
      <c r="O135" s="453" t="n"/>
      <c r="P135" s="453" t="n"/>
      <c r="Q135" s="453" t="n"/>
      <c r="R135" s="453" t="n"/>
      <c r="S135" s="453" t="n"/>
      <c r="T135" s="453" t="n"/>
      <c r="U135" s="453" t="n"/>
      <c r="V135" s="453" t="n"/>
      <c r="W135" s="453" t="n"/>
      <c r="X135" s="453" t="n"/>
      <c r="Y135" s="454" t="n"/>
      <c r="Z135" s="65" t="n"/>
      <c r="AA135" s="65" t="n"/>
      <c r="AB135" s="65" t="n"/>
      <c r="AC135" s="65" t="n"/>
      <c r="AD135" s="66" t="n">
        <v>3</v>
      </c>
      <c r="AE135" s="558">
        <f>D135</f>
        <v/>
      </c>
      <c r="AF135" s="453" t="n"/>
      <c r="AG135" s="453" t="n"/>
      <c r="AH135" s="453" t="n"/>
      <c r="AI135" s="453" t="n"/>
      <c r="AJ135" s="453" t="n"/>
      <c r="AK135" s="453" t="n"/>
      <c r="AL135" s="453" t="n"/>
      <c r="AM135" s="453" t="n"/>
      <c r="AN135" s="454" t="n"/>
      <c r="AO135" s="559">
        <f>AO134</f>
        <v/>
      </c>
      <c r="AP135" s="453" t="n"/>
      <c r="AQ135" s="453" t="n"/>
      <c r="AR135" s="453" t="n"/>
      <c r="AS135" s="453" t="n"/>
      <c r="AT135" s="453" t="n"/>
      <c r="AU135" s="453" t="n"/>
      <c r="AV135" s="453" t="n"/>
      <c r="AW135" s="453" t="n"/>
      <c r="AX135" s="453" t="n"/>
      <c r="AY135" s="453" t="n"/>
      <c r="AZ135" s="454" t="n"/>
      <c r="BA135" s="65" t="n"/>
      <c r="BB135" s="65" t="n"/>
      <c r="BC135" s="65" t="n"/>
      <c r="BD135" s="65" t="n"/>
      <c r="BE135" s="66" t="n">
        <v>3</v>
      </c>
      <c r="BF135" s="558">
        <f>AE135</f>
        <v/>
      </c>
      <c r="BG135" s="453" t="n"/>
      <c r="BH135" s="453" t="n"/>
      <c r="BI135" s="453" t="n"/>
      <c r="BJ135" s="453" t="n"/>
      <c r="BK135" s="453" t="n"/>
      <c r="BL135" s="453" t="n"/>
      <c r="BM135" s="453" t="n"/>
      <c r="BN135" s="453" t="n"/>
      <c r="BO135" s="454" t="n"/>
      <c r="BP135" s="407" t="n"/>
      <c r="BQ135" s="453" t="n"/>
      <c r="BR135" s="453" t="n"/>
      <c r="BS135" s="453" t="n"/>
      <c r="BT135" s="453" t="n"/>
      <c r="BU135" s="453" t="n"/>
      <c r="BV135" s="453" t="n"/>
      <c r="BW135" s="453" t="n"/>
      <c r="BX135" s="453" t="n"/>
      <c r="BY135" s="453" t="n"/>
      <c r="BZ135" s="453" t="n"/>
      <c r="CA135" s="453" t="n"/>
      <c r="CB135" s="453" t="n"/>
      <c r="CC135" s="454" t="n"/>
      <c r="CI135" s="481" t="n"/>
    </row>
    <row r="136" ht="12.95" customHeight="1">
      <c r="C136" s="66" t="n">
        <v>4</v>
      </c>
      <c r="D136" s="558">
        <f>IF(C136&lt;=$I$16, EDATE($D$6, C136-1), "")</f>
        <v/>
      </c>
      <c r="E136" s="453" t="n"/>
      <c r="F136" s="453" t="n"/>
      <c r="G136" s="453" t="n"/>
      <c r="H136" s="453" t="n"/>
      <c r="I136" s="453" t="n"/>
      <c r="J136" s="453" t="n"/>
      <c r="K136" s="453" t="n"/>
      <c r="L136" s="453" t="n"/>
      <c r="M136" s="454" t="n"/>
      <c r="N136" s="559">
        <f>IF(C136&lt;=$I$16, $I$17, "")</f>
        <v/>
      </c>
      <c r="O136" s="453" t="n"/>
      <c r="P136" s="453" t="n"/>
      <c r="Q136" s="453" t="n"/>
      <c r="R136" s="453" t="n"/>
      <c r="S136" s="453" t="n"/>
      <c r="T136" s="453" t="n"/>
      <c r="U136" s="453" t="n"/>
      <c r="V136" s="453" t="n"/>
      <c r="W136" s="453" t="n"/>
      <c r="X136" s="453" t="n"/>
      <c r="Y136" s="454" t="n"/>
      <c r="Z136" s="65" t="n"/>
      <c r="AA136" s="65" t="n"/>
      <c r="AB136" s="65" t="n"/>
      <c r="AC136" s="65" t="n"/>
      <c r="AD136" s="66" t="n">
        <v>4</v>
      </c>
      <c r="AE136" s="558">
        <f>D136</f>
        <v/>
      </c>
      <c r="AF136" s="453" t="n"/>
      <c r="AG136" s="453" t="n"/>
      <c r="AH136" s="453" t="n"/>
      <c r="AI136" s="453" t="n"/>
      <c r="AJ136" s="453" t="n"/>
      <c r="AK136" s="453" t="n"/>
      <c r="AL136" s="453" t="n"/>
      <c r="AM136" s="453" t="n"/>
      <c r="AN136" s="454" t="n"/>
      <c r="AO136" s="559">
        <f>AO135</f>
        <v/>
      </c>
      <c r="AP136" s="453" t="n"/>
      <c r="AQ136" s="453" t="n"/>
      <c r="AR136" s="453" t="n"/>
      <c r="AS136" s="453" t="n"/>
      <c r="AT136" s="453" t="n"/>
      <c r="AU136" s="453" t="n"/>
      <c r="AV136" s="453" t="n"/>
      <c r="AW136" s="453" t="n"/>
      <c r="AX136" s="453" t="n"/>
      <c r="AY136" s="453" t="n"/>
      <c r="AZ136" s="454" t="n"/>
      <c r="BA136" s="65" t="n"/>
      <c r="BB136" s="65" t="n"/>
      <c r="BC136" s="65" t="n"/>
      <c r="BD136" s="65" t="n"/>
      <c r="BE136" s="66" t="n">
        <v>4</v>
      </c>
      <c r="BF136" s="558">
        <f>AE136</f>
        <v/>
      </c>
      <c r="BG136" s="453" t="n"/>
      <c r="BH136" s="453" t="n"/>
      <c r="BI136" s="453" t="n"/>
      <c r="BJ136" s="453" t="n"/>
      <c r="BK136" s="453" t="n"/>
      <c r="BL136" s="453" t="n"/>
      <c r="BM136" s="453" t="n"/>
      <c r="BN136" s="453" t="n"/>
      <c r="BO136" s="454" t="n"/>
      <c r="BP136" s="407" t="n"/>
      <c r="BQ136" s="453" t="n"/>
      <c r="BR136" s="453" t="n"/>
      <c r="BS136" s="453" t="n"/>
      <c r="BT136" s="453" t="n"/>
      <c r="BU136" s="453" t="n"/>
      <c r="BV136" s="453" t="n"/>
      <c r="BW136" s="453" t="n"/>
      <c r="BX136" s="453" t="n"/>
      <c r="BY136" s="453" t="n"/>
      <c r="BZ136" s="453" t="n"/>
      <c r="CA136" s="453" t="n"/>
      <c r="CB136" s="453" t="n"/>
      <c r="CC136" s="454" t="n"/>
      <c r="CI136" s="481" t="n"/>
    </row>
    <row r="137" ht="12.95" customHeight="1">
      <c r="C137" s="66" t="n">
        <v>5</v>
      </c>
      <c r="D137" s="558">
        <f>IF(C137&lt;=$I$16, EDATE($D$6, C137-1), "")</f>
        <v/>
      </c>
      <c r="E137" s="453" t="n"/>
      <c r="F137" s="453" t="n"/>
      <c r="G137" s="453" t="n"/>
      <c r="H137" s="453" t="n"/>
      <c r="I137" s="453" t="n"/>
      <c r="J137" s="453" t="n"/>
      <c r="K137" s="453" t="n"/>
      <c r="L137" s="453" t="n"/>
      <c r="M137" s="454" t="n"/>
      <c r="N137" s="559">
        <f>IF(C137&lt;=$I$16, $I$17, "")</f>
        <v/>
      </c>
      <c r="O137" s="453" t="n"/>
      <c r="P137" s="453" t="n"/>
      <c r="Q137" s="453" t="n"/>
      <c r="R137" s="453" t="n"/>
      <c r="S137" s="453" t="n"/>
      <c r="T137" s="453" t="n"/>
      <c r="U137" s="453" t="n"/>
      <c r="V137" s="453" t="n"/>
      <c r="W137" s="453" t="n"/>
      <c r="X137" s="453" t="n"/>
      <c r="Y137" s="454" t="n"/>
      <c r="Z137" s="65" t="n"/>
      <c r="AA137" s="65" t="n"/>
      <c r="AB137" s="65" t="n"/>
      <c r="AC137" s="65" t="n"/>
      <c r="AD137" s="66" t="n">
        <v>5</v>
      </c>
      <c r="AE137" s="558">
        <f>D137</f>
        <v/>
      </c>
      <c r="AF137" s="453" t="n"/>
      <c r="AG137" s="453" t="n"/>
      <c r="AH137" s="453" t="n"/>
      <c r="AI137" s="453" t="n"/>
      <c r="AJ137" s="453" t="n"/>
      <c r="AK137" s="453" t="n"/>
      <c r="AL137" s="453" t="n"/>
      <c r="AM137" s="453" t="n"/>
      <c r="AN137" s="454" t="n"/>
      <c r="AO137" s="559">
        <f>AO136</f>
        <v/>
      </c>
      <c r="AP137" s="453" t="n"/>
      <c r="AQ137" s="453" t="n"/>
      <c r="AR137" s="453" t="n"/>
      <c r="AS137" s="453" t="n"/>
      <c r="AT137" s="453" t="n"/>
      <c r="AU137" s="453" t="n"/>
      <c r="AV137" s="453" t="n"/>
      <c r="AW137" s="453" t="n"/>
      <c r="AX137" s="453" t="n"/>
      <c r="AY137" s="453" t="n"/>
      <c r="AZ137" s="454" t="n"/>
      <c r="BA137" s="65" t="n"/>
      <c r="BB137" s="65" t="n"/>
      <c r="BC137" s="65" t="n"/>
      <c r="BD137" s="65" t="n"/>
      <c r="BE137" s="66" t="n">
        <v>5</v>
      </c>
      <c r="BF137" s="558">
        <f>AE137</f>
        <v/>
      </c>
      <c r="BG137" s="453" t="n"/>
      <c r="BH137" s="453" t="n"/>
      <c r="BI137" s="453" t="n"/>
      <c r="BJ137" s="453" t="n"/>
      <c r="BK137" s="453" t="n"/>
      <c r="BL137" s="453" t="n"/>
      <c r="BM137" s="453" t="n"/>
      <c r="BN137" s="453" t="n"/>
      <c r="BO137" s="454" t="n"/>
      <c r="BP137" s="407" t="n"/>
      <c r="BQ137" s="453" t="n"/>
      <c r="BR137" s="453" t="n"/>
      <c r="BS137" s="453" t="n"/>
      <c r="BT137" s="453" t="n"/>
      <c r="BU137" s="453" t="n"/>
      <c r="BV137" s="453" t="n"/>
      <c r="BW137" s="453" t="n"/>
      <c r="BX137" s="453" t="n"/>
      <c r="BY137" s="453" t="n"/>
      <c r="BZ137" s="453" t="n"/>
      <c r="CA137" s="453" t="n"/>
      <c r="CB137" s="453" t="n"/>
      <c r="CC137" s="454" t="n"/>
      <c r="CI137" s="481" t="n"/>
    </row>
    <row r="138" ht="12.95" customHeight="1">
      <c r="C138" s="66" t="n">
        <v>6</v>
      </c>
      <c r="D138" s="558">
        <f>IF(C138&lt;=$I$16, EDATE($D$6, C138-1), "")</f>
        <v/>
      </c>
      <c r="E138" s="453" t="n"/>
      <c r="F138" s="453" t="n"/>
      <c r="G138" s="453" t="n"/>
      <c r="H138" s="453" t="n"/>
      <c r="I138" s="453" t="n"/>
      <c r="J138" s="453" t="n"/>
      <c r="K138" s="453" t="n"/>
      <c r="L138" s="453" t="n"/>
      <c r="M138" s="454" t="n"/>
      <c r="N138" s="559">
        <f>IF(C138&lt;=$I$16, $I$17, "")</f>
        <v/>
      </c>
      <c r="O138" s="453" t="n"/>
      <c r="P138" s="453" t="n"/>
      <c r="Q138" s="453" t="n"/>
      <c r="R138" s="453" t="n"/>
      <c r="S138" s="453" t="n"/>
      <c r="T138" s="453" t="n"/>
      <c r="U138" s="453" t="n"/>
      <c r="V138" s="453" t="n"/>
      <c r="W138" s="453" t="n"/>
      <c r="X138" s="453" t="n"/>
      <c r="Y138" s="454" t="n"/>
      <c r="Z138" s="65" t="n"/>
      <c r="AA138" s="65" t="n"/>
      <c r="AB138" s="65" t="n"/>
      <c r="AC138" s="65" t="n"/>
      <c r="AD138" s="66" t="n">
        <v>6</v>
      </c>
      <c r="AE138" s="558">
        <f>D138</f>
        <v/>
      </c>
      <c r="AF138" s="453" t="n"/>
      <c r="AG138" s="453" t="n"/>
      <c r="AH138" s="453" t="n"/>
      <c r="AI138" s="453" t="n"/>
      <c r="AJ138" s="453" t="n"/>
      <c r="AK138" s="453" t="n"/>
      <c r="AL138" s="453" t="n"/>
      <c r="AM138" s="453" t="n"/>
      <c r="AN138" s="454" t="n"/>
      <c r="AO138" s="559">
        <f>AO137</f>
        <v/>
      </c>
      <c r="AP138" s="453" t="n"/>
      <c r="AQ138" s="453" t="n"/>
      <c r="AR138" s="453" t="n"/>
      <c r="AS138" s="453" t="n"/>
      <c r="AT138" s="453" t="n"/>
      <c r="AU138" s="453" t="n"/>
      <c r="AV138" s="453" t="n"/>
      <c r="AW138" s="453" t="n"/>
      <c r="AX138" s="453" t="n"/>
      <c r="AY138" s="453" t="n"/>
      <c r="AZ138" s="454" t="n"/>
      <c r="BA138" s="65" t="n"/>
      <c r="BB138" s="65" t="n"/>
      <c r="BC138" s="65" t="n"/>
      <c r="BD138" s="65" t="n"/>
      <c r="BE138" s="66" t="n">
        <v>6</v>
      </c>
      <c r="BF138" s="558">
        <f>AE138</f>
        <v/>
      </c>
      <c r="BG138" s="453" t="n"/>
      <c r="BH138" s="453" t="n"/>
      <c r="BI138" s="453" t="n"/>
      <c r="BJ138" s="453" t="n"/>
      <c r="BK138" s="453" t="n"/>
      <c r="BL138" s="453" t="n"/>
      <c r="BM138" s="453" t="n"/>
      <c r="BN138" s="453" t="n"/>
      <c r="BO138" s="454" t="n"/>
      <c r="BP138" s="407" t="n"/>
      <c r="BQ138" s="453" t="n"/>
      <c r="BR138" s="453" t="n"/>
      <c r="BS138" s="453" t="n"/>
      <c r="BT138" s="453" t="n"/>
      <c r="BU138" s="453" t="n"/>
      <c r="BV138" s="453" t="n"/>
      <c r="BW138" s="453" t="n"/>
      <c r="BX138" s="453" t="n"/>
      <c r="BY138" s="453" t="n"/>
      <c r="BZ138" s="453" t="n"/>
      <c r="CA138" s="453" t="n"/>
      <c r="CB138" s="453" t="n"/>
      <c r="CC138" s="454" t="n"/>
      <c r="CI138" s="481" t="n"/>
    </row>
    <row r="139" ht="12.95" customHeight="1">
      <c r="C139" s="66" t="n">
        <v>7</v>
      </c>
      <c r="D139" s="558">
        <f>IF(C139&lt;=$I$16, EDATE($D$6, C139-1), "")</f>
        <v/>
      </c>
      <c r="E139" s="453" t="n"/>
      <c r="F139" s="453" t="n"/>
      <c r="G139" s="453" t="n"/>
      <c r="H139" s="453" t="n"/>
      <c r="I139" s="453" t="n"/>
      <c r="J139" s="453" t="n"/>
      <c r="K139" s="453" t="n"/>
      <c r="L139" s="453" t="n"/>
      <c r="M139" s="454" t="n"/>
      <c r="N139" s="559">
        <f>IF(C139&lt;=$I$16, $I$17, "")</f>
        <v/>
      </c>
      <c r="O139" s="453" t="n"/>
      <c r="P139" s="453" t="n"/>
      <c r="Q139" s="453" t="n"/>
      <c r="R139" s="453" t="n"/>
      <c r="S139" s="453" t="n"/>
      <c r="T139" s="453" t="n"/>
      <c r="U139" s="453" t="n"/>
      <c r="V139" s="453" t="n"/>
      <c r="W139" s="453" t="n"/>
      <c r="X139" s="453" t="n"/>
      <c r="Y139" s="454" t="n"/>
      <c r="Z139" s="65" t="n"/>
      <c r="AA139" s="65" t="n"/>
      <c r="AB139" s="65" t="n"/>
      <c r="AC139" s="65" t="n"/>
      <c r="AD139" s="66" t="n">
        <v>7</v>
      </c>
      <c r="AE139" s="558">
        <f>D139</f>
        <v/>
      </c>
      <c r="AF139" s="453" t="n"/>
      <c r="AG139" s="453" t="n"/>
      <c r="AH139" s="453" t="n"/>
      <c r="AI139" s="453" t="n"/>
      <c r="AJ139" s="453" t="n"/>
      <c r="AK139" s="453" t="n"/>
      <c r="AL139" s="453" t="n"/>
      <c r="AM139" s="453" t="n"/>
      <c r="AN139" s="454" t="n"/>
      <c r="AO139" s="559">
        <f>AO138</f>
        <v/>
      </c>
      <c r="AP139" s="453" t="n"/>
      <c r="AQ139" s="453" t="n"/>
      <c r="AR139" s="453" t="n"/>
      <c r="AS139" s="453" t="n"/>
      <c r="AT139" s="453" t="n"/>
      <c r="AU139" s="453" t="n"/>
      <c r="AV139" s="453" t="n"/>
      <c r="AW139" s="453" t="n"/>
      <c r="AX139" s="453" t="n"/>
      <c r="AY139" s="453" t="n"/>
      <c r="AZ139" s="454" t="n"/>
      <c r="BA139" s="65" t="n"/>
      <c r="BB139" s="65" t="n"/>
      <c r="BC139" s="65" t="n"/>
      <c r="BD139" s="65" t="n"/>
      <c r="BE139" s="66" t="n">
        <v>7</v>
      </c>
      <c r="BF139" s="558">
        <f>AE139</f>
        <v/>
      </c>
      <c r="BG139" s="453" t="n"/>
      <c r="BH139" s="453" t="n"/>
      <c r="BI139" s="453" t="n"/>
      <c r="BJ139" s="453" t="n"/>
      <c r="BK139" s="453" t="n"/>
      <c r="BL139" s="453" t="n"/>
      <c r="BM139" s="453" t="n"/>
      <c r="BN139" s="453" t="n"/>
      <c r="BO139" s="454" t="n"/>
      <c r="BP139" s="407" t="n"/>
      <c r="BQ139" s="453" t="n"/>
      <c r="BR139" s="453" t="n"/>
      <c r="BS139" s="453" t="n"/>
      <c r="BT139" s="453" t="n"/>
      <c r="BU139" s="453" t="n"/>
      <c r="BV139" s="453" t="n"/>
      <c r="BW139" s="453" t="n"/>
      <c r="BX139" s="453" t="n"/>
      <c r="BY139" s="453" t="n"/>
      <c r="BZ139" s="453" t="n"/>
      <c r="CA139" s="453" t="n"/>
      <c r="CB139" s="453" t="n"/>
      <c r="CC139" s="454" t="n"/>
      <c r="CI139" s="481" t="n"/>
    </row>
    <row r="140" ht="12.95" customHeight="1">
      <c r="C140" s="66" t="n">
        <v>8</v>
      </c>
      <c r="D140" s="558">
        <f>IF(C140&lt;=$I$16, EDATE($D$6, C140-1), "")</f>
        <v/>
      </c>
      <c r="E140" s="453" t="n"/>
      <c r="F140" s="453" t="n"/>
      <c r="G140" s="453" t="n"/>
      <c r="H140" s="453" t="n"/>
      <c r="I140" s="453" t="n"/>
      <c r="J140" s="453" t="n"/>
      <c r="K140" s="453" t="n"/>
      <c r="L140" s="453" t="n"/>
      <c r="M140" s="454" t="n"/>
      <c r="N140" s="559">
        <f>IF(C140&lt;=$I$16, $I$17, "")</f>
        <v/>
      </c>
      <c r="O140" s="453" t="n"/>
      <c r="P140" s="453" t="n"/>
      <c r="Q140" s="453" t="n"/>
      <c r="R140" s="453" t="n"/>
      <c r="S140" s="453" t="n"/>
      <c r="T140" s="453" t="n"/>
      <c r="U140" s="453" t="n"/>
      <c r="V140" s="453" t="n"/>
      <c r="W140" s="453" t="n"/>
      <c r="X140" s="453" t="n"/>
      <c r="Y140" s="454" t="n"/>
      <c r="Z140" s="65" t="n"/>
      <c r="AA140" s="65" t="n"/>
      <c r="AB140" s="65" t="n"/>
      <c r="AC140" s="65" t="n"/>
      <c r="AD140" s="66" t="n">
        <v>8</v>
      </c>
      <c r="AE140" s="558">
        <f>D140</f>
        <v/>
      </c>
      <c r="AF140" s="453" t="n"/>
      <c r="AG140" s="453" t="n"/>
      <c r="AH140" s="453" t="n"/>
      <c r="AI140" s="453" t="n"/>
      <c r="AJ140" s="453" t="n"/>
      <c r="AK140" s="453" t="n"/>
      <c r="AL140" s="453" t="n"/>
      <c r="AM140" s="453" t="n"/>
      <c r="AN140" s="454" t="n"/>
      <c r="AO140" s="559">
        <f>AO139</f>
        <v/>
      </c>
      <c r="AP140" s="453" t="n"/>
      <c r="AQ140" s="453" t="n"/>
      <c r="AR140" s="453" t="n"/>
      <c r="AS140" s="453" t="n"/>
      <c r="AT140" s="453" t="n"/>
      <c r="AU140" s="453" t="n"/>
      <c r="AV140" s="453" t="n"/>
      <c r="AW140" s="453" t="n"/>
      <c r="AX140" s="453" t="n"/>
      <c r="AY140" s="453" t="n"/>
      <c r="AZ140" s="454" t="n"/>
      <c r="BA140" s="65" t="n"/>
      <c r="BB140" s="65" t="n"/>
      <c r="BC140" s="65" t="n"/>
      <c r="BD140" s="65" t="n"/>
      <c r="BE140" s="66" t="n">
        <v>8</v>
      </c>
      <c r="BF140" s="558">
        <f>AE140</f>
        <v/>
      </c>
      <c r="BG140" s="453" t="n"/>
      <c r="BH140" s="453" t="n"/>
      <c r="BI140" s="453" t="n"/>
      <c r="BJ140" s="453" t="n"/>
      <c r="BK140" s="453" t="n"/>
      <c r="BL140" s="453" t="n"/>
      <c r="BM140" s="453" t="n"/>
      <c r="BN140" s="453" t="n"/>
      <c r="BO140" s="454" t="n"/>
      <c r="BP140" s="407" t="n"/>
      <c r="BQ140" s="453" t="n"/>
      <c r="BR140" s="453" t="n"/>
      <c r="BS140" s="453" t="n"/>
      <c r="BT140" s="453" t="n"/>
      <c r="BU140" s="453" t="n"/>
      <c r="BV140" s="453" t="n"/>
      <c r="BW140" s="453" t="n"/>
      <c r="BX140" s="453" t="n"/>
      <c r="BY140" s="453" t="n"/>
      <c r="BZ140" s="453" t="n"/>
      <c r="CA140" s="453" t="n"/>
      <c r="CB140" s="453" t="n"/>
      <c r="CC140" s="454" t="n"/>
      <c r="CI140" s="481" t="n"/>
    </row>
    <row r="141" ht="12.95" customHeight="1">
      <c r="C141" s="66" t="n">
        <v>9</v>
      </c>
      <c r="D141" s="558">
        <f>IF(C141&lt;=$I$16, EDATE($D$6, C141-1), "")</f>
        <v/>
      </c>
      <c r="E141" s="453" t="n"/>
      <c r="F141" s="453" t="n"/>
      <c r="G141" s="453" t="n"/>
      <c r="H141" s="453" t="n"/>
      <c r="I141" s="453" t="n"/>
      <c r="J141" s="453" t="n"/>
      <c r="K141" s="453" t="n"/>
      <c r="L141" s="453" t="n"/>
      <c r="M141" s="454" t="n"/>
      <c r="N141" s="559">
        <f>IF(C141&lt;=$I$16, $I$17, "")</f>
        <v/>
      </c>
      <c r="O141" s="453" t="n"/>
      <c r="P141" s="453" t="n"/>
      <c r="Q141" s="453" t="n"/>
      <c r="R141" s="453" t="n"/>
      <c r="S141" s="453" t="n"/>
      <c r="T141" s="453" t="n"/>
      <c r="U141" s="453" t="n"/>
      <c r="V141" s="453" t="n"/>
      <c r="W141" s="453" t="n"/>
      <c r="X141" s="453" t="n"/>
      <c r="Y141" s="454" t="n"/>
      <c r="Z141" s="65" t="n"/>
      <c r="AA141" s="65" t="n"/>
      <c r="AB141" s="65" t="n"/>
      <c r="AC141" s="65" t="n"/>
      <c r="AD141" s="66" t="n">
        <v>9</v>
      </c>
      <c r="AE141" s="558">
        <f>D141</f>
        <v/>
      </c>
      <c r="AF141" s="453" t="n"/>
      <c r="AG141" s="453" t="n"/>
      <c r="AH141" s="453" t="n"/>
      <c r="AI141" s="453" t="n"/>
      <c r="AJ141" s="453" t="n"/>
      <c r="AK141" s="453" t="n"/>
      <c r="AL141" s="453" t="n"/>
      <c r="AM141" s="453" t="n"/>
      <c r="AN141" s="454" t="n"/>
      <c r="AO141" s="559">
        <f>AO140</f>
        <v/>
      </c>
      <c r="AP141" s="453" t="n"/>
      <c r="AQ141" s="453" t="n"/>
      <c r="AR141" s="453" t="n"/>
      <c r="AS141" s="453" t="n"/>
      <c r="AT141" s="453" t="n"/>
      <c r="AU141" s="453" t="n"/>
      <c r="AV141" s="453" t="n"/>
      <c r="AW141" s="453" t="n"/>
      <c r="AX141" s="453" t="n"/>
      <c r="AY141" s="453" t="n"/>
      <c r="AZ141" s="454" t="n"/>
      <c r="BA141" s="65" t="n"/>
      <c r="BB141" s="65" t="n"/>
      <c r="BC141" s="65" t="n"/>
      <c r="BD141" s="65" t="n"/>
      <c r="BE141" s="66" t="n">
        <v>9</v>
      </c>
      <c r="BF141" s="558">
        <f>AE141</f>
        <v/>
      </c>
      <c r="BG141" s="453" t="n"/>
      <c r="BH141" s="453" t="n"/>
      <c r="BI141" s="453" t="n"/>
      <c r="BJ141" s="453" t="n"/>
      <c r="BK141" s="453" t="n"/>
      <c r="BL141" s="453" t="n"/>
      <c r="BM141" s="453" t="n"/>
      <c r="BN141" s="453" t="n"/>
      <c r="BO141" s="454" t="n"/>
      <c r="BP141" s="407" t="n"/>
      <c r="BQ141" s="453" t="n"/>
      <c r="BR141" s="453" t="n"/>
      <c r="BS141" s="453" t="n"/>
      <c r="BT141" s="453" t="n"/>
      <c r="BU141" s="453" t="n"/>
      <c r="BV141" s="453" t="n"/>
      <c r="BW141" s="453" t="n"/>
      <c r="BX141" s="453" t="n"/>
      <c r="BY141" s="453" t="n"/>
      <c r="BZ141" s="453" t="n"/>
      <c r="CA141" s="453" t="n"/>
      <c r="CB141" s="453" t="n"/>
      <c r="CC141" s="454" t="n"/>
      <c r="CI141" s="481" t="n"/>
    </row>
    <row r="142" ht="12.95" customHeight="1">
      <c r="C142" s="66" t="n">
        <v>10</v>
      </c>
      <c r="D142" s="558">
        <f>IF(C142&lt;=$I$16, EDATE($D$6, C142-1), "")</f>
        <v/>
      </c>
      <c r="E142" s="453" t="n"/>
      <c r="F142" s="453" t="n"/>
      <c r="G142" s="453" t="n"/>
      <c r="H142" s="453" t="n"/>
      <c r="I142" s="453" t="n"/>
      <c r="J142" s="453" t="n"/>
      <c r="K142" s="453" t="n"/>
      <c r="L142" s="453" t="n"/>
      <c r="M142" s="454" t="n"/>
      <c r="N142" s="559">
        <f>IF(C142&lt;=$I$16, $I$17, "")</f>
        <v/>
      </c>
      <c r="O142" s="453" t="n"/>
      <c r="P142" s="453" t="n"/>
      <c r="Q142" s="453" t="n"/>
      <c r="R142" s="453" t="n"/>
      <c r="S142" s="453" t="n"/>
      <c r="T142" s="453" t="n"/>
      <c r="U142" s="453" t="n"/>
      <c r="V142" s="453" t="n"/>
      <c r="W142" s="453" t="n"/>
      <c r="X142" s="453" t="n"/>
      <c r="Y142" s="454" t="n"/>
      <c r="Z142" s="65" t="n"/>
      <c r="AA142" s="65" t="n"/>
      <c r="AB142" s="65" t="n"/>
      <c r="AC142" s="65" t="n"/>
      <c r="AD142" s="66" t="n">
        <v>10</v>
      </c>
      <c r="AE142" s="558">
        <f>D142</f>
        <v/>
      </c>
      <c r="AF142" s="453" t="n"/>
      <c r="AG142" s="453" t="n"/>
      <c r="AH142" s="453" t="n"/>
      <c r="AI142" s="453" t="n"/>
      <c r="AJ142" s="453" t="n"/>
      <c r="AK142" s="453" t="n"/>
      <c r="AL142" s="453" t="n"/>
      <c r="AM142" s="453" t="n"/>
      <c r="AN142" s="454" t="n"/>
      <c r="AO142" s="559">
        <f>AO141</f>
        <v/>
      </c>
      <c r="AP142" s="453" t="n"/>
      <c r="AQ142" s="453" t="n"/>
      <c r="AR142" s="453" t="n"/>
      <c r="AS142" s="453" t="n"/>
      <c r="AT142" s="453" t="n"/>
      <c r="AU142" s="453" t="n"/>
      <c r="AV142" s="453" t="n"/>
      <c r="AW142" s="453" t="n"/>
      <c r="AX142" s="453" t="n"/>
      <c r="AY142" s="453" t="n"/>
      <c r="AZ142" s="454" t="n"/>
      <c r="BA142" s="65" t="n"/>
      <c r="BB142" s="65" t="n"/>
      <c r="BC142" s="65" t="n"/>
      <c r="BD142" s="65" t="n"/>
      <c r="BE142" s="66" t="n">
        <v>10</v>
      </c>
      <c r="BF142" s="558">
        <f>AE142</f>
        <v/>
      </c>
      <c r="BG142" s="453" t="n"/>
      <c r="BH142" s="453" t="n"/>
      <c r="BI142" s="453" t="n"/>
      <c r="BJ142" s="453" t="n"/>
      <c r="BK142" s="453" t="n"/>
      <c r="BL142" s="453" t="n"/>
      <c r="BM142" s="453" t="n"/>
      <c r="BN142" s="453" t="n"/>
      <c r="BO142" s="454" t="n"/>
      <c r="BP142" s="407" t="n"/>
      <c r="BQ142" s="453" t="n"/>
      <c r="BR142" s="453" t="n"/>
      <c r="BS142" s="453" t="n"/>
      <c r="BT142" s="453" t="n"/>
      <c r="BU142" s="453" t="n"/>
      <c r="BV142" s="453" t="n"/>
      <c r="BW142" s="453" t="n"/>
      <c r="BX142" s="453" t="n"/>
      <c r="BY142" s="453" t="n"/>
      <c r="BZ142" s="453" t="n"/>
      <c r="CA142" s="453" t="n"/>
      <c r="CB142" s="453" t="n"/>
      <c r="CC142" s="454" t="n"/>
      <c r="CI142" s="481" t="n"/>
    </row>
    <row r="143" ht="12.95" customHeight="1">
      <c r="C143" s="66" t="n">
        <v>11</v>
      </c>
      <c r="D143" s="558">
        <f>IF(C143&lt;=$I$16, EDATE($D$6, C143-1), "")</f>
        <v/>
      </c>
      <c r="E143" s="453" t="n"/>
      <c r="F143" s="453" t="n"/>
      <c r="G143" s="453" t="n"/>
      <c r="H143" s="453" t="n"/>
      <c r="I143" s="453" t="n"/>
      <c r="J143" s="453" t="n"/>
      <c r="K143" s="453" t="n"/>
      <c r="L143" s="453" t="n"/>
      <c r="M143" s="454" t="n"/>
      <c r="N143" s="559">
        <f>IF(C143&lt;=$I$16, $I$17, "")</f>
        <v/>
      </c>
      <c r="O143" s="453" t="n"/>
      <c r="P143" s="453" t="n"/>
      <c r="Q143" s="453" t="n"/>
      <c r="R143" s="453" t="n"/>
      <c r="S143" s="453" t="n"/>
      <c r="T143" s="453" t="n"/>
      <c r="U143" s="453" t="n"/>
      <c r="V143" s="453" t="n"/>
      <c r="W143" s="453" t="n"/>
      <c r="X143" s="453" t="n"/>
      <c r="Y143" s="454" t="n"/>
      <c r="Z143" s="65" t="n"/>
      <c r="AA143" s="65" t="n"/>
      <c r="AB143" s="65" t="n"/>
      <c r="AC143" s="65" t="n"/>
      <c r="AD143" s="66" t="n">
        <v>11</v>
      </c>
      <c r="AE143" s="558">
        <f>D143</f>
        <v/>
      </c>
      <c r="AF143" s="453" t="n"/>
      <c r="AG143" s="453" t="n"/>
      <c r="AH143" s="453" t="n"/>
      <c r="AI143" s="453" t="n"/>
      <c r="AJ143" s="453" t="n"/>
      <c r="AK143" s="453" t="n"/>
      <c r="AL143" s="453" t="n"/>
      <c r="AM143" s="453" t="n"/>
      <c r="AN143" s="454" t="n"/>
      <c r="AO143" s="559">
        <f>AO142</f>
        <v/>
      </c>
      <c r="AP143" s="453" t="n"/>
      <c r="AQ143" s="453" t="n"/>
      <c r="AR143" s="453" t="n"/>
      <c r="AS143" s="453" t="n"/>
      <c r="AT143" s="453" t="n"/>
      <c r="AU143" s="453" t="n"/>
      <c r="AV143" s="453" t="n"/>
      <c r="AW143" s="453" t="n"/>
      <c r="AX143" s="453" t="n"/>
      <c r="AY143" s="453" t="n"/>
      <c r="AZ143" s="454" t="n"/>
      <c r="BA143" s="65" t="n"/>
      <c r="BB143" s="65" t="n"/>
      <c r="BC143" s="65" t="n"/>
      <c r="BD143" s="65" t="n"/>
      <c r="BE143" s="66" t="n">
        <v>11</v>
      </c>
      <c r="BF143" s="558">
        <f>AE143</f>
        <v/>
      </c>
      <c r="BG143" s="453" t="n"/>
      <c r="BH143" s="453" t="n"/>
      <c r="BI143" s="453" t="n"/>
      <c r="BJ143" s="453" t="n"/>
      <c r="BK143" s="453" t="n"/>
      <c r="BL143" s="453" t="n"/>
      <c r="BM143" s="453" t="n"/>
      <c r="BN143" s="453" t="n"/>
      <c r="BO143" s="454" t="n"/>
      <c r="BP143" s="407" t="n"/>
      <c r="BQ143" s="453" t="n"/>
      <c r="BR143" s="453" t="n"/>
      <c r="BS143" s="453" t="n"/>
      <c r="BT143" s="453" t="n"/>
      <c r="BU143" s="453" t="n"/>
      <c r="BV143" s="453" t="n"/>
      <c r="BW143" s="453" t="n"/>
      <c r="BX143" s="453" t="n"/>
      <c r="BY143" s="453" t="n"/>
      <c r="BZ143" s="453" t="n"/>
      <c r="CA143" s="453" t="n"/>
      <c r="CB143" s="453" t="n"/>
      <c r="CC143" s="454" t="n"/>
      <c r="CI143" s="481" t="n"/>
    </row>
    <row r="144" ht="12.95" customHeight="1">
      <c r="C144" s="66" t="n">
        <v>12</v>
      </c>
      <c r="D144" s="558">
        <f>IF(C144&lt;=$I$16, EDATE($D$6, C144-1), "")</f>
        <v/>
      </c>
      <c r="E144" s="453" t="n"/>
      <c r="F144" s="453" t="n"/>
      <c r="G144" s="453" t="n"/>
      <c r="H144" s="453" t="n"/>
      <c r="I144" s="453" t="n"/>
      <c r="J144" s="453" t="n"/>
      <c r="K144" s="453" t="n"/>
      <c r="L144" s="453" t="n"/>
      <c r="M144" s="454" t="n"/>
      <c r="N144" s="559">
        <f>IF(C144&lt;=$I$16, $I$17, "")</f>
        <v/>
      </c>
      <c r="O144" s="453" t="n"/>
      <c r="P144" s="453" t="n"/>
      <c r="Q144" s="453" t="n"/>
      <c r="R144" s="453" t="n"/>
      <c r="S144" s="453" t="n"/>
      <c r="T144" s="453" t="n"/>
      <c r="U144" s="453" t="n"/>
      <c r="V144" s="453" t="n"/>
      <c r="W144" s="453" t="n"/>
      <c r="X144" s="453" t="n"/>
      <c r="Y144" s="454" t="n"/>
      <c r="Z144" s="65" t="n"/>
      <c r="AA144" s="65" t="n"/>
      <c r="AB144" s="65" t="n"/>
      <c r="AC144" s="65" t="n"/>
      <c r="AD144" s="66" t="n">
        <v>12</v>
      </c>
      <c r="AE144" s="558">
        <f>D144</f>
        <v/>
      </c>
      <c r="AF144" s="453" t="n"/>
      <c r="AG144" s="453" t="n"/>
      <c r="AH144" s="453" t="n"/>
      <c r="AI144" s="453" t="n"/>
      <c r="AJ144" s="453" t="n"/>
      <c r="AK144" s="453" t="n"/>
      <c r="AL144" s="453" t="n"/>
      <c r="AM144" s="453" t="n"/>
      <c r="AN144" s="454" t="n"/>
      <c r="AO144" s="559">
        <f>AO143</f>
        <v/>
      </c>
      <c r="AP144" s="453" t="n"/>
      <c r="AQ144" s="453" t="n"/>
      <c r="AR144" s="453" t="n"/>
      <c r="AS144" s="453" t="n"/>
      <c r="AT144" s="453" t="n"/>
      <c r="AU144" s="453" t="n"/>
      <c r="AV144" s="453" t="n"/>
      <c r="AW144" s="453" t="n"/>
      <c r="AX144" s="453" t="n"/>
      <c r="AY144" s="453" t="n"/>
      <c r="AZ144" s="454" t="n"/>
      <c r="BA144" s="65" t="n"/>
      <c r="BB144" s="65" t="n"/>
      <c r="BC144" s="65" t="n"/>
      <c r="BD144" s="65" t="n"/>
      <c r="BE144" s="66" t="n">
        <v>12</v>
      </c>
      <c r="BF144" s="558">
        <f>AE144</f>
        <v/>
      </c>
      <c r="BG144" s="453" t="n"/>
      <c r="BH144" s="453" t="n"/>
      <c r="BI144" s="453" t="n"/>
      <c r="BJ144" s="453" t="n"/>
      <c r="BK144" s="453" t="n"/>
      <c r="BL144" s="453" t="n"/>
      <c r="BM144" s="453" t="n"/>
      <c r="BN144" s="453" t="n"/>
      <c r="BO144" s="454" t="n"/>
      <c r="BP144" s="407" t="n"/>
      <c r="BQ144" s="453" t="n"/>
      <c r="BR144" s="453" t="n"/>
      <c r="BS144" s="453" t="n"/>
      <c r="BT144" s="453" t="n"/>
      <c r="BU144" s="453" t="n"/>
      <c r="BV144" s="453" t="n"/>
      <c r="BW144" s="453" t="n"/>
      <c r="BX144" s="453" t="n"/>
      <c r="BY144" s="453" t="n"/>
      <c r="BZ144" s="453" t="n"/>
      <c r="CA144" s="453" t="n"/>
      <c r="CB144" s="453" t="n"/>
      <c r="CC144" s="454" t="n"/>
      <c r="CI144" s="481" t="n"/>
    </row>
    <row r="145" ht="12.95" customHeight="1">
      <c r="C145" s="66" t="n">
        <v>13</v>
      </c>
      <c r="D145" s="558">
        <f>IF(C145&lt;=$I$16, EDATE($D$6, C145-1), "")</f>
        <v/>
      </c>
      <c r="E145" s="453" t="n"/>
      <c r="F145" s="453" t="n"/>
      <c r="G145" s="453" t="n"/>
      <c r="H145" s="453" t="n"/>
      <c r="I145" s="453" t="n"/>
      <c r="J145" s="453" t="n"/>
      <c r="K145" s="453" t="n"/>
      <c r="L145" s="453" t="n"/>
      <c r="M145" s="454" t="n"/>
      <c r="N145" s="559">
        <f>IF(C145&lt;=$I$16, $I$17, "")</f>
        <v/>
      </c>
      <c r="O145" s="453" t="n"/>
      <c r="P145" s="453" t="n"/>
      <c r="Q145" s="453" t="n"/>
      <c r="R145" s="453" t="n"/>
      <c r="S145" s="453" t="n"/>
      <c r="T145" s="453" t="n"/>
      <c r="U145" s="453" t="n"/>
      <c r="V145" s="453" t="n"/>
      <c r="W145" s="453" t="n"/>
      <c r="X145" s="453" t="n"/>
      <c r="Y145" s="454" t="n"/>
      <c r="Z145" s="65" t="n"/>
      <c r="AA145" s="65" t="n"/>
      <c r="AB145" s="65" t="n"/>
      <c r="AC145" s="65" t="n"/>
      <c r="AD145" s="66" t="n">
        <v>13</v>
      </c>
      <c r="AE145" s="558">
        <f>D145</f>
        <v/>
      </c>
      <c r="AF145" s="453" t="n"/>
      <c r="AG145" s="453" t="n"/>
      <c r="AH145" s="453" t="n"/>
      <c r="AI145" s="453" t="n"/>
      <c r="AJ145" s="453" t="n"/>
      <c r="AK145" s="453" t="n"/>
      <c r="AL145" s="453" t="n"/>
      <c r="AM145" s="453" t="n"/>
      <c r="AN145" s="454" t="n"/>
      <c r="AO145" s="559">
        <f>AO144</f>
        <v/>
      </c>
      <c r="AP145" s="453" t="n"/>
      <c r="AQ145" s="453" t="n"/>
      <c r="AR145" s="453" t="n"/>
      <c r="AS145" s="453" t="n"/>
      <c r="AT145" s="453" t="n"/>
      <c r="AU145" s="453" t="n"/>
      <c r="AV145" s="453" t="n"/>
      <c r="AW145" s="453" t="n"/>
      <c r="AX145" s="453" t="n"/>
      <c r="AY145" s="453" t="n"/>
      <c r="AZ145" s="454" t="n"/>
      <c r="BA145" s="65" t="n"/>
      <c r="BB145" s="65" t="n"/>
      <c r="BC145" s="65" t="n"/>
      <c r="BD145" s="65" t="n"/>
      <c r="BE145" s="66" t="n">
        <v>13</v>
      </c>
      <c r="BF145" s="558">
        <f>AE145</f>
        <v/>
      </c>
      <c r="BG145" s="453" t="n"/>
      <c r="BH145" s="453" t="n"/>
      <c r="BI145" s="453" t="n"/>
      <c r="BJ145" s="453" t="n"/>
      <c r="BK145" s="453" t="n"/>
      <c r="BL145" s="453" t="n"/>
      <c r="BM145" s="453" t="n"/>
      <c r="BN145" s="453" t="n"/>
      <c r="BO145" s="454" t="n"/>
      <c r="BP145" s="407" t="n"/>
      <c r="BQ145" s="453" t="n"/>
      <c r="BR145" s="453" t="n"/>
      <c r="BS145" s="453" t="n"/>
      <c r="BT145" s="453" t="n"/>
      <c r="BU145" s="453" t="n"/>
      <c r="BV145" s="453" t="n"/>
      <c r="BW145" s="453" t="n"/>
      <c r="BX145" s="453" t="n"/>
      <c r="BY145" s="453" t="n"/>
      <c r="BZ145" s="453" t="n"/>
      <c r="CA145" s="453" t="n"/>
      <c r="CB145" s="453" t="n"/>
      <c r="CC145" s="454" t="n"/>
      <c r="CI145" s="481" t="n"/>
    </row>
    <row r="146" ht="12.95" customHeight="1">
      <c r="C146" s="66" t="n">
        <v>14</v>
      </c>
      <c r="D146" s="558">
        <f>IF(C146&lt;=$I$16, EDATE($D$6, C146-1), "")</f>
        <v/>
      </c>
      <c r="E146" s="453" t="n"/>
      <c r="F146" s="453" t="n"/>
      <c r="G146" s="453" t="n"/>
      <c r="H146" s="453" t="n"/>
      <c r="I146" s="453" t="n"/>
      <c r="J146" s="453" t="n"/>
      <c r="K146" s="453" t="n"/>
      <c r="L146" s="453" t="n"/>
      <c r="M146" s="454" t="n"/>
      <c r="N146" s="559">
        <f>IF(C146&lt;=$I$16, $I$17, "")</f>
        <v/>
      </c>
      <c r="O146" s="453" t="n"/>
      <c r="P146" s="453" t="n"/>
      <c r="Q146" s="453" t="n"/>
      <c r="R146" s="453" t="n"/>
      <c r="S146" s="453" t="n"/>
      <c r="T146" s="453" t="n"/>
      <c r="U146" s="453" t="n"/>
      <c r="V146" s="453" t="n"/>
      <c r="W146" s="453" t="n"/>
      <c r="X146" s="453" t="n"/>
      <c r="Y146" s="454" t="n"/>
      <c r="Z146" s="65" t="n"/>
      <c r="AA146" s="65" t="n"/>
      <c r="AB146" s="65" t="n"/>
      <c r="AC146" s="65" t="n"/>
      <c r="AD146" s="66" t="n">
        <v>14</v>
      </c>
      <c r="AE146" s="558">
        <f>D146</f>
        <v/>
      </c>
      <c r="AF146" s="453" t="n"/>
      <c r="AG146" s="453" t="n"/>
      <c r="AH146" s="453" t="n"/>
      <c r="AI146" s="453" t="n"/>
      <c r="AJ146" s="453" t="n"/>
      <c r="AK146" s="453" t="n"/>
      <c r="AL146" s="453" t="n"/>
      <c r="AM146" s="453" t="n"/>
      <c r="AN146" s="454" t="n"/>
      <c r="AO146" s="559">
        <f>AO145</f>
        <v/>
      </c>
      <c r="AP146" s="453" t="n"/>
      <c r="AQ146" s="453" t="n"/>
      <c r="AR146" s="453" t="n"/>
      <c r="AS146" s="453" t="n"/>
      <c r="AT146" s="453" t="n"/>
      <c r="AU146" s="453" t="n"/>
      <c r="AV146" s="453" t="n"/>
      <c r="AW146" s="453" t="n"/>
      <c r="AX146" s="453" t="n"/>
      <c r="AY146" s="453" t="n"/>
      <c r="AZ146" s="454" t="n"/>
      <c r="BA146" s="65" t="n"/>
      <c r="BB146" s="65" t="n"/>
      <c r="BC146" s="65" t="n"/>
      <c r="BD146" s="65" t="n"/>
      <c r="BE146" s="66" t="n">
        <v>14</v>
      </c>
      <c r="BF146" s="558">
        <f>AE146</f>
        <v/>
      </c>
      <c r="BG146" s="453" t="n"/>
      <c r="BH146" s="453" t="n"/>
      <c r="BI146" s="453" t="n"/>
      <c r="BJ146" s="453" t="n"/>
      <c r="BK146" s="453" t="n"/>
      <c r="BL146" s="453" t="n"/>
      <c r="BM146" s="453" t="n"/>
      <c r="BN146" s="453" t="n"/>
      <c r="BO146" s="454" t="n"/>
      <c r="BP146" s="407" t="n"/>
      <c r="BQ146" s="453" t="n"/>
      <c r="BR146" s="453" t="n"/>
      <c r="BS146" s="453" t="n"/>
      <c r="BT146" s="453" t="n"/>
      <c r="BU146" s="453" t="n"/>
      <c r="BV146" s="453" t="n"/>
      <c r="BW146" s="453" t="n"/>
      <c r="BX146" s="453" t="n"/>
      <c r="BY146" s="453" t="n"/>
      <c r="BZ146" s="453" t="n"/>
      <c r="CA146" s="453" t="n"/>
      <c r="CB146" s="453" t="n"/>
      <c r="CC146" s="454" t="n"/>
      <c r="CI146" s="481" t="n"/>
    </row>
    <row r="147" ht="12.95" customHeight="1">
      <c r="C147" s="66" t="n">
        <v>15</v>
      </c>
      <c r="D147" s="558">
        <f>IF(C147&lt;=$I$16, EDATE($D$6, C147-1), "")</f>
        <v/>
      </c>
      <c r="E147" s="453" t="n"/>
      <c r="F147" s="453" t="n"/>
      <c r="G147" s="453" t="n"/>
      <c r="H147" s="453" t="n"/>
      <c r="I147" s="453" t="n"/>
      <c r="J147" s="453" t="n"/>
      <c r="K147" s="453" t="n"/>
      <c r="L147" s="453" t="n"/>
      <c r="M147" s="454" t="n"/>
      <c r="N147" s="559">
        <f>IF(C147&lt;=$I$16, $I$17, "")</f>
        <v/>
      </c>
      <c r="O147" s="453" t="n"/>
      <c r="P147" s="453" t="n"/>
      <c r="Q147" s="453" t="n"/>
      <c r="R147" s="453" t="n"/>
      <c r="S147" s="453" t="n"/>
      <c r="T147" s="453" t="n"/>
      <c r="U147" s="453" t="n"/>
      <c r="V147" s="453" t="n"/>
      <c r="W147" s="453" t="n"/>
      <c r="X147" s="453" t="n"/>
      <c r="Y147" s="454" t="n"/>
      <c r="Z147" s="65" t="n"/>
      <c r="AA147" s="65" t="n"/>
      <c r="AB147" s="65" t="n"/>
      <c r="AC147" s="65" t="n"/>
      <c r="AD147" s="66" t="n">
        <v>15</v>
      </c>
      <c r="AE147" s="558">
        <f>D147</f>
        <v/>
      </c>
      <c r="AF147" s="453" t="n"/>
      <c r="AG147" s="453" t="n"/>
      <c r="AH147" s="453" t="n"/>
      <c r="AI147" s="453" t="n"/>
      <c r="AJ147" s="453" t="n"/>
      <c r="AK147" s="453" t="n"/>
      <c r="AL147" s="453" t="n"/>
      <c r="AM147" s="453" t="n"/>
      <c r="AN147" s="454" t="n"/>
      <c r="AO147" s="559">
        <f>AO146</f>
        <v/>
      </c>
      <c r="AP147" s="453" t="n"/>
      <c r="AQ147" s="453" t="n"/>
      <c r="AR147" s="453" t="n"/>
      <c r="AS147" s="453" t="n"/>
      <c r="AT147" s="453" t="n"/>
      <c r="AU147" s="453" t="n"/>
      <c r="AV147" s="453" t="n"/>
      <c r="AW147" s="453" t="n"/>
      <c r="AX147" s="453" t="n"/>
      <c r="AY147" s="453" t="n"/>
      <c r="AZ147" s="454" t="n"/>
      <c r="BA147" s="65" t="n"/>
      <c r="BB147" s="65" t="n"/>
      <c r="BC147" s="65" t="n"/>
      <c r="BD147" s="65" t="n"/>
      <c r="BE147" s="66" t="n">
        <v>15</v>
      </c>
      <c r="BF147" s="558">
        <f>AE147</f>
        <v/>
      </c>
      <c r="BG147" s="453" t="n"/>
      <c r="BH147" s="453" t="n"/>
      <c r="BI147" s="453" t="n"/>
      <c r="BJ147" s="453" t="n"/>
      <c r="BK147" s="453" t="n"/>
      <c r="BL147" s="453" t="n"/>
      <c r="BM147" s="453" t="n"/>
      <c r="BN147" s="453" t="n"/>
      <c r="BO147" s="454" t="n"/>
      <c r="BP147" s="407" t="n"/>
      <c r="BQ147" s="453" t="n"/>
      <c r="BR147" s="453" t="n"/>
      <c r="BS147" s="453" t="n"/>
      <c r="BT147" s="453" t="n"/>
      <c r="BU147" s="453" t="n"/>
      <c r="BV147" s="453" t="n"/>
      <c r="BW147" s="453" t="n"/>
      <c r="BX147" s="453" t="n"/>
      <c r="BY147" s="453" t="n"/>
      <c r="BZ147" s="453" t="n"/>
      <c r="CA147" s="453" t="n"/>
      <c r="CB147" s="453" t="n"/>
      <c r="CC147" s="454" t="n"/>
      <c r="CI147" s="481" t="n"/>
    </row>
    <row r="148" ht="12.95" customHeight="1">
      <c r="C148" s="66" t="n">
        <v>16</v>
      </c>
      <c r="D148" s="558">
        <f>IF(C148&lt;=$I$16, EDATE($D$6, C148-1), "")</f>
        <v/>
      </c>
      <c r="E148" s="453" t="n"/>
      <c r="F148" s="453" t="n"/>
      <c r="G148" s="453" t="n"/>
      <c r="H148" s="453" t="n"/>
      <c r="I148" s="453" t="n"/>
      <c r="J148" s="453" t="n"/>
      <c r="K148" s="453" t="n"/>
      <c r="L148" s="453" t="n"/>
      <c r="M148" s="454" t="n"/>
      <c r="N148" s="559">
        <f>IF(C148&lt;=$I$16, $I$17, "")</f>
        <v/>
      </c>
      <c r="O148" s="453" t="n"/>
      <c r="P148" s="453" t="n"/>
      <c r="Q148" s="453" t="n"/>
      <c r="R148" s="453" t="n"/>
      <c r="S148" s="453" t="n"/>
      <c r="T148" s="453" t="n"/>
      <c r="U148" s="453" t="n"/>
      <c r="V148" s="453" t="n"/>
      <c r="W148" s="453" t="n"/>
      <c r="X148" s="453" t="n"/>
      <c r="Y148" s="454" t="n"/>
      <c r="Z148" s="65" t="n"/>
      <c r="AA148" s="65" t="n"/>
      <c r="AB148" s="65" t="n"/>
      <c r="AC148" s="65" t="n"/>
      <c r="AD148" s="66" t="n">
        <v>16</v>
      </c>
      <c r="AE148" s="558">
        <f>D148</f>
        <v/>
      </c>
      <c r="AF148" s="453" t="n"/>
      <c r="AG148" s="453" t="n"/>
      <c r="AH148" s="453" t="n"/>
      <c r="AI148" s="453" t="n"/>
      <c r="AJ148" s="453" t="n"/>
      <c r="AK148" s="453" t="n"/>
      <c r="AL148" s="453" t="n"/>
      <c r="AM148" s="453" t="n"/>
      <c r="AN148" s="454" t="n"/>
      <c r="AO148" s="559">
        <f>AO147</f>
        <v/>
      </c>
      <c r="AP148" s="453" t="n"/>
      <c r="AQ148" s="453" t="n"/>
      <c r="AR148" s="453" t="n"/>
      <c r="AS148" s="453" t="n"/>
      <c r="AT148" s="453" t="n"/>
      <c r="AU148" s="453" t="n"/>
      <c r="AV148" s="453" t="n"/>
      <c r="AW148" s="453" t="n"/>
      <c r="AX148" s="453" t="n"/>
      <c r="AY148" s="453" t="n"/>
      <c r="AZ148" s="454" t="n"/>
      <c r="BA148" s="65" t="n"/>
      <c r="BB148" s="65" t="n"/>
      <c r="BC148" s="65" t="n"/>
      <c r="BD148" s="65" t="n"/>
      <c r="BE148" s="66" t="n">
        <v>16</v>
      </c>
      <c r="BF148" s="558">
        <f>AE148</f>
        <v/>
      </c>
      <c r="BG148" s="453" t="n"/>
      <c r="BH148" s="453" t="n"/>
      <c r="BI148" s="453" t="n"/>
      <c r="BJ148" s="453" t="n"/>
      <c r="BK148" s="453" t="n"/>
      <c r="BL148" s="453" t="n"/>
      <c r="BM148" s="453" t="n"/>
      <c r="BN148" s="453" t="n"/>
      <c r="BO148" s="454" t="n"/>
      <c r="BP148" s="407" t="n"/>
      <c r="BQ148" s="453" t="n"/>
      <c r="BR148" s="453" t="n"/>
      <c r="BS148" s="453" t="n"/>
      <c r="BT148" s="453" t="n"/>
      <c r="BU148" s="453" t="n"/>
      <c r="BV148" s="453" t="n"/>
      <c r="BW148" s="453" t="n"/>
      <c r="BX148" s="453" t="n"/>
      <c r="BY148" s="453" t="n"/>
      <c r="BZ148" s="453" t="n"/>
      <c r="CA148" s="453" t="n"/>
      <c r="CB148" s="453" t="n"/>
      <c r="CC148" s="454" t="n"/>
      <c r="CI148" s="481" t="n"/>
    </row>
    <row r="149" ht="12.95" customHeight="1">
      <c r="C149" s="66" t="n">
        <v>17</v>
      </c>
      <c r="D149" s="558">
        <f>IF(C149&lt;=$I$16, EDATE($D$6, C149-1), "")</f>
        <v/>
      </c>
      <c r="E149" s="453" t="n"/>
      <c r="F149" s="453" t="n"/>
      <c r="G149" s="453" t="n"/>
      <c r="H149" s="453" t="n"/>
      <c r="I149" s="453" t="n"/>
      <c r="J149" s="453" t="n"/>
      <c r="K149" s="453" t="n"/>
      <c r="L149" s="453" t="n"/>
      <c r="M149" s="454" t="n"/>
      <c r="N149" s="559">
        <f>IF(C149&lt;=$I$16, $I$17, "")</f>
        <v/>
      </c>
      <c r="O149" s="453" t="n"/>
      <c r="P149" s="453" t="n"/>
      <c r="Q149" s="453" t="n"/>
      <c r="R149" s="453" t="n"/>
      <c r="S149" s="453" t="n"/>
      <c r="T149" s="453" t="n"/>
      <c r="U149" s="453" t="n"/>
      <c r="V149" s="453" t="n"/>
      <c r="W149" s="453" t="n"/>
      <c r="X149" s="453" t="n"/>
      <c r="Y149" s="454" t="n"/>
      <c r="Z149" s="65" t="n"/>
      <c r="AA149" s="65" t="n"/>
      <c r="AB149" s="65" t="n"/>
      <c r="AC149" s="65" t="n"/>
      <c r="AD149" s="66" t="n">
        <v>17</v>
      </c>
      <c r="AE149" s="558">
        <f>D149</f>
        <v/>
      </c>
      <c r="AF149" s="453" t="n"/>
      <c r="AG149" s="453" t="n"/>
      <c r="AH149" s="453" t="n"/>
      <c r="AI149" s="453" t="n"/>
      <c r="AJ149" s="453" t="n"/>
      <c r="AK149" s="453" t="n"/>
      <c r="AL149" s="453" t="n"/>
      <c r="AM149" s="453" t="n"/>
      <c r="AN149" s="454" t="n"/>
      <c r="AO149" s="559">
        <f>AO148</f>
        <v/>
      </c>
      <c r="AP149" s="453" t="n"/>
      <c r="AQ149" s="453" t="n"/>
      <c r="AR149" s="453" t="n"/>
      <c r="AS149" s="453" t="n"/>
      <c r="AT149" s="453" t="n"/>
      <c r="AU149" s="453" t="n"/>
      <c r="AV149" s="453" t="n"/>
      <c r="AW149" s="453" t="n"/>
      <c r="AX149" s="453" t="n"/>
      <c r="AY149" s="453" t="n"/>
      <c r="AZ149" s="454" t="n"/>
      <c r="BA149" s="65" t="n"/>
      <c r="BB149" s="65" t="n"/>
      <c r="BC149" s="65" t="n"/>
      <c r="BD149" s="65" t="n"/>
      <c r="BE149" s="66" t="n">
        <v>17</v>
      </c>
      <c r="BF149" s="558">
        <f>AE149</f>
        <v/>
      </c>
      <c r="BG149" s="453" t="n"/>
      <c r="BH149" s="453" t="n"/>
      <c r="BI149" s="453" t="n"/>
      <c r="BJ149" s="453" t="n"/>
      <c r="BK149" s="453" t="n"/>
      <c r="BL149" s="453" t="n"/>
      <c r="BM149" s="453" t="n"/>
      <c r="BN149" s="453" t="n"/>
      <c r="BO149" s="454" t="n"/>
      <c r="BP149" s="407" t="n"/>
      <c r="BQ149" s="453" t="n"/>
      <c r="BR149" s="453" t="n"/>
      <c r="BS149" s="453" t="n"/>
      <c r="BT149" s="453" t="n"/>
      <c r="BU149" s="453" t="n"/>
      <c r="BV149" s="453" t="n"/>
      <c r="BW149" s="453" t="n"/>
      <c r="BX149" s="453" t="n"/>
      <c r="BY149" s="453" t="n"/>
      <c r="BZ149" s="453" t="n"/>
      <c r="CA149" s="453" t="n"/>
      <c r="CB149" s="453" t="n"/>
      <c r="CC149" s="454" t="n"/>
      <c r="CI149" s="481" t="n"/>
    </row>
    <row r="150" ht="12.95" customHeight="1">
      <c r="C150" s="66" t="n">
        <v>18</v>
      </c>
      <c r="D150" s="558">
        <f>IF(C150&lt;=$I$16, EDATE($D$6, C150-1), "")</f>
        <v/>
      </c>
      <c r="E150" s="453" t="n"/>
      <c r="F150" s="453" t="n"/>
      <c r="G150" s="453" t="n"/>
      <c r="H150" s="453" t="n"/>
      <c r="I150" s="453" t="n"/>
      <c r="J150" s="453" t="n"/>
      <c r="K150" s="453" t="n"/>
      <c r="L150" s="453" t="n"/>
      <c r="M150" s="454" t="n"/>
      <c r="N150" s="559">
        <f>IF(C150&lt;=$I$16, $I$17, "")</f>
        <v/>
      </c>
      <c r="O150" s="453" t="n"/>
      <c r="P150" s="453" t="n"/>
      <c r="Q150" s="453" t="n"/>
      <c r="R150" s="453" t="n"/>
      <c r="S150" s="453" t="n"/>
      <c r="T150" s="453" t="n"/>
      <c r="U150" s="453" t="n"/>
      <c r="V150" s="453" t="n"/>
      <c r="W150" s="453" t="n"/>
      <c r="X150" s="453" t="n"/>
      <c r="Y150" s="454" t="n"/>
      <c r="Z150" s="65" t="n"/>
      <c r="AA150" s="65" t="n"/>
      <c r="AB150" s="65" t="n"/>
      <c r="AC150" s="65" t="n"/>
      <c r="AD150" s="66" t="n">
        <v>18</v>
      </c>
      <c r="AE150" s="558">
        <f>D150</f>
        <v/>
      </c>
      <c r="AF150" s="453" t="n"/>
      <c r="AG150" s="453" t="n"/>
      <c r="AH150" s="453" t="n"/>
      <c r="AI150" s="453" t="n"/>
      <c r="AJ150" s="453" t="n"/>
      <c r="AK150" s="453" t="n"/>
      <c r="AL150" s="453" t="n"/>
      <c r="AM150" s="453" t="n"/>
      <c r="AN150" s="454" t="n"/>
      <c r="AO150" s="559">
        <f>AO149</f>
        <v/>
      </c>
      <c r="AP150" s="453" t="n"/>
      <c r="AQ150" s="453" t="n"/>
      <c r="AR150" s="453" t="n"/>
      <c r="AS150" s="453" t="n"/>
      <c r="AT150" s="453" t="n"/>
      <c r="AU150" s="453" t="n"/>
      <c r="AV150" s="453" t="n"/>
      <c r="AW150" s="453" t="n"/>
      <c r="AX150" s="453" t="n"/>
      <c r="AY150" s="453" t="n"/>
      <c r="AZ150" s="454" t="n"/>
      <c r="BA150" s="65" t="n"/>
      <c r="BB150" s="65" t="n"/>
      <c r="BC150" s="65" t="n"/>
      <c r="BD150" s="65" t="n"/>
      <c r="BE150" s="66" t="n">
        <v>18</v>
      </c>
      <c r="BF150" s="558">
        <f>AE150</f>
        <v/>
      </c>
      <c r="BG150" s="453" t="n"/>
      <c r="BH150" s="453" t="n"/>
      <c r="BI150" s="453" t="n"/>
      <c r="BJ150" s="453" t="n"/>
      <c r="BK150" s="453" t="n"/>
      <c r="BL150" s="453" t="n"/>
      <c r="BM150" s="453" t="n"/>
      <c r="BN150" s="453" t="n"/>
      <c r="BO150" s="454" t="n"/>
      <c r="BP150" s="407" t="n"/>
      <c r="BQ150" s="453" t="n"/>
      <c r="BR150" s="453" t="n"/>
      <c r="BS150" s="453" t="n"/>
      <c r="BT150" s="453" t="n"/>
      <c r="BU150" s="453" t="n"/>
      <c r="BV150" s="453" t="n"/>
      <c r="BW150" s="453" t="n"/>
      <c r="BX150" s="453" t="n"/>
      <c r="BY150" s="453" t="n"/>
      <c r="BZ150" s="453" t="n"/>
      <c r="CA150" s="453" t="n"/>
      <c r="CB150" s="453" t="n"/>
      <c r="CC150" s="454" t="n"/>
      <c r="CI150" s="481" t="n"/>
    </row>
    <row r="151" ht="12.95" customHeight="1">
      <c r="C151" s="66" t="n">
        <v>19</v>
      </c>
      <c r="D151" s="558">
        <f>IF(C151&lt;=$I$16, EDATE($D$6, C151-1), "")</f>
        <v/>
      </c>
      <c r="E151" s="453" t="n"/>
      <c r="F151" s="453" t="n"/>
      <c r="G151" s="453" t="n"/>
      <c r="H151" s="453" t="n"/>
      <c r="I151" s="453" t="n"/>
      <c r="J151" s="453" t="n"/>
      <c r="K151" s="453" t="n"/>
      <c r="L151" s="453" t="n"/>
      <c r="M151" s="454" t="n"/>
      <c r="N151" s="559">
        <f>IF(C151&lt;=$I$16, $I$17, "")</f>
        <v/>
      </c>
      <c r="O151" s="453" t="n"/>
      <c r="P151" s="453" t="n"/>
      <c r="Q151" s="453" t="n"/>
      <c r="R151" s="453" t="n"/>
      <c r="S151" s="453" t="n"/>
      <c r="T151" s="453" t="n"/>
      <c r="U151" s="453" t="n"/>
      <c r="V151" s="453" t="n"/>
      <c r="W151" s="453" t="n"/>
      <c r="X151" s="453" t="n"/>
      <c r="Y151" s="454" t="n"/>
      <c r="Z151" s="65" t="n"/>
      <c r="AA151" s="65" t="n"/>
      <c r="AB151" s="65" t="n"/>
      <c r="AC151" s="65" t="n"/>
      <c r="AD151" s="66" t="n">
        <v>19</v>
      </c>
      <c r="AE151" s="558">
        <f>D151</f>
        <v/>
      </c>
      <c r="AF151" s="453" t="n"/>
      <c r="AG151" s="453" t="n"/>
      <c r="AH151" s="453" t="n"/>
      <c r="AI151" s="453" t="n"/>
      <c r="AJ151" s="453" t="n"/>
      <c r="AK151" s="453" t="n"/>
      <c r="AL151" s="453" t="n"/>
      <c r="AM151" s="453" t="n"/>
      <c r="AN151" s="454" t="n"/>
      <c r="AO151" s="559">
        <f>AO150</f>
        <v/>
      </c>
      <c r="AP151" s="453" t="n"/>
      <c r="AQ151" s="453" t="n"/>
      <c r="AR151" s="453" t="n"/>
      <c r="AS151" s="453" t="n"/>
      <c r="AT151" s="453" t="n"/>
      <c r="AU151" s="453" t="n"/>
      <c r="AV151" s="453" t="n"/>
      <c r="AW151" s="453" t="n"/>
      <c r="AX151" s="453" t="n"/>
      <c r="AY151" s="453" t="n"/>
      <c r="AZ151" s="454" t="n"/>
      <c r="BA151" s="65" t="n"/>
      <c r="BB151" s="65" t="n"/>
      <c r="BC151" s="65" t="n"/>
      <c r="BD151" s="65" t="n"/>
      <c r="BE151" s="66" t="n">
        <v>19</v>
      </c>
      <c r="BF151" s="558">
        <f>AE151</f>
        <v/>
      </c>
      <c r="BG151" s="453" t="n"/>
      <c r="BH151" s="453" t="n"/>
      <c r="BI151" s="453" t="n"/>
      <c r="BJ151" s="453" t="n"/>
      <c r="BK151" s="453" t="n"/>
      <c r="BL151" s="453" t="n"/>
      <c r="BM151" s="453" t="n"/>
      <c r="BN151" s="453" t="n"/>
      <c r="BO151" s="454" t="n"/>
      <c r="BP151" s="407" t="n"/>
      <c r="BQ151" s="453" t="n"/>
      <c r="BR151" s="453" t="n"/>
      <c r="BS151" s="453" t="n"/>
      <c r="BT151" s="453" t="n"/>
      <c r="BU151" s="453" t="n"/>
      <c r="BV151" s="453" t="n"/>
      <c r="BW151" s="453" t="n"/>
      <c r="BX151" s="453" t="n"/>
      <c r="BY151" s="453" t="n"/>
      <c r="BZ151" s="453" t="n"/>
      <c r="CA151" s="453" t="n"/>
      <c r="CB151" s="453" t="n"/>
      <c r="CC151" s="454" t="n"/>
      <c r="CI151" s="481" t="n"/>
    </row>
    <row r="152" ht="12.95" customHeight="1">
      <c r="C152" s="66" t="n">
        <v>20</v>
      </c>
      <c r="D152" s="558">
        <f>IF(C152&lt;=$I$16, EDATE($D$6, C152-1), "")</f>
        <v/>
      </c>
      <c r="E152" s="453" t="n"/>
      <c r="F152" s="453" t="n"/>
      <c r="G152" s="453" t="n"/>
      <c r="H152" s="453" t="n"/>
      <c r="I152" s="453" t="n"/>
      <c r="J152" s="453" t="n"/>
      <c r="K152" s="453" t="n"/>
      <c r="L152" s="453" t="n"/>
      <c r="M152" s="454" t="n"/>
      <c r="N152" s="559">
        <f>IF(C152&lt;=$I$16, $I$17, "")</f>
        <v/>
      </c>
      <c r="O152" s="453" t="n"/>
      <c r="P152" s="453" t="n"/>
      <c r="Q152" s="453" t="n"/>
      <c r="R152" s="453" t="n"/>
      <c r="S152" s="453" t="n"/>
      <c r="T152" s="453" t="n"/>
      <c r="U152" s="453" t="n"/>
      <c r="V152" s="453" t="n"/>
      <c r="W152" s="453" t="n"/>
      <c r="X152" s="453" t="n"/>
      <c r="Y152" s="454" t="n"/>
      <c r="Z152" s="65" t="n"/>
      <c r="AA152" s="65" t="n"/>
      <c r="AB152" s="65" t="n"/>
      <c r="AC152" s="65" t="n"/>
      <c r="AD152" s="66" t="n">
        <v>20</v>
      </c>
      <c r="AE152" s="558">
        <f>D152</f>
        <v/>
      </c>
      <c r="AF152" s="453" t="n"/>
      <c r="AG152" s="453" t="n"/>
      <c r="AH152" s="453" t="n"/>
      <c r="AI152" s="453" t="n"/>
      <c r="AJ152" s="453" t="n"/>
      <c r="AK152" s="453" t="n"/>
      <c r="AL152" s="453" t="n"/>
      <c r="AM152" s="453" t="n"/>
      <c r="AN152" s="454" t="n"/>
      <c r="AO152" s="559">
        <f>AO151</f>
        <v/>
      </c>
      <c r="AP152" s="453" t="n"/>
      <c r="AQ152" s="453" t="n"/>
      <c r="AR152" s="453" t="n"/>
      <c r="AS152" s="453" t="n"/>
      <c r="AT152" s="453" t="n"/>
      <c r="AU152" s="453" t="n"/>
      <c r="AV152" s="453" t="n"/>
      <c r="AW152" s="453" t="n"/>
      <c r="AX152" s="453" t="n"/>
      <c r="AY152" s="453" t="n"/>
      <c r="AZ152" s="454" t="n"/>
      <c r="BA152" s="65" t="n"/>
      <c r="BB152" s="65" t="n"/>
      <c r="BC152" s="65" t="n"/>
      <c r="BD152" s="65" t="n"/>
      <c r="BE152" s="66" t="n">
        <v>20</v>
      </c>
      <c r="BF152" s="558">
        <f>AE152</f>
        <v/>
      </c>
      <c r="BG152" s="453" t="n"/>
      <c r="BH152" s="453" t="n"/>
      <c r="BI152" s="453" t="n"/>
      <c r="BJ152" s="453" t="n"/>
      <c r="BK152" s="453" t="n"/>
      <c r="BL152" s="453" t="n"/>
      <c r="BM152" s="453" t="n"/>
      <c r="BN152" s="453" t="n"/>
      <c r="BO152" s="454" t="n"/>
      <c r="BP152" s="407" t="n"/>
      <c r="BQ152" s="453" t="n"/>
      <c r="BR152" s="453" t="n"/>
      <c r="BS152" s="453" t="n"/>
      <c r="BT152" s="453" t="n"/>
      <c r="BU152" s="453" t="n"/>
      <c r="BV152" s="453" t="n"/>
      <c r="BW152" s="453" t="n"/>
      <c r="BX152" s="453" t="n"/>
      <c r="BY152" s="453" t="n"/>
      <c r="BZ152" s="453" t="n"/>
      <c r="CA152" s="453" t="n"/>
      <c r="CB152" s="453" t="n"/>
      <c r="CC152" s="454" t="n"/>
      <c r="CI152" s="481" t="n"/>
    </row>
    <row r="153" ht="12.95" customHeight="1">
      <c r="C153" s="66" t="n">
        <v>21</v>
      </c>
      <c r="D153" s="558">
        <f>IF(C153&lt;=$I$16, EDATE($D$6, C153-1), "")</f>
        <v/>
      </c>
      <c r="E153" s="453" t="n"/>
      <c r="F153" s="453" t="n"/>
      <c r="G153" s="453" t="n"/>
      <c r="H153" s="453" t="n"/>
      <c r="I153" s="453" t="n"/>
      <c r="J153" s="453" t="n"/>
      <c r="K153" s="453" t="n"/>
      <c r="L153" s="453" t="n"/>
      <c r="M153" s="454" t="n"/>
      <c r="N153" s="559">
        <f>IF(C153&lt;=$I$16, $I$17, "")</f>
        <v/>
      </c>
      <c r="O153" s="453" t="n"/>
      <c r="P153" s="453" t="n"/>
      <c r="Q153" s="453" t="n"/>
      <c r="R153" s="453" t="n"/>
      <c r="S153" s="453" t="n"/>
      <c r="T153" s="453" t="n"/>
      <c r="U153" s="453" t="n"/>
      <c r="V153" s="453" t="n"/>
      <c r="W153" s="453" t="n"/>
      <c r="X153" s="453" t="n"/>
      <c r="Y153" s="454" t="n"/>
      <c r="Z153" s="65" t="n"/>
      <c r="AA153" s="65" t="n"/>
      <c r="AB153" s="65" t="n"/>
      <c r="AC153" s="65" t="n"/>
      <c r="AD153" s="66" t="n">
        <v>21</v>
      </c>
      <c r="AE153" s="558">
        <f>D153</f>
        <v/>
      </c>
      <c r="AF153" s="453" t="n"/>
      <c r="AG153" s="453" t="n"/>
      <c r="AH153" s="453" t="n"/>
      <c r="AI153" s="453" t="n"/>
      <c r="AJ153" s="453" t="n"/>
      <c r="AK153" s="453" t="n"/>
      <c r="AL153" s="453" t="n"/>
      <c r="AM153" s="453" t="n"/>
      <c r="AN153" s="454" t="n"/>
      <c r="AO153" s="559">
        <f>AO152</f>
        <v/>
      </c>
      <c r="AP153" s="453" t="n"/>
      <c r="AQ153" s="453" t="n"/>
      <c r="AR153" s="453" t="n"/>
      <c r="AS153" s="453" t="n"/>
      <c r="AT153" s="453" t="n"/>
      <c r="AU153" s="453" t="n"/>
      <c r="AV153" s="453" t="n"/>
      <c r="AW153" s="453" t="n"/>
      <c r="AX153" s="453" t="n"/>
      <c r="AY153" s="453" t="n"/>
      <c r="AZ153" s="454" t="n"/>
      <c r="BA153" s="65" t="n"/>
      <c r="BB153" s="65" t="n"/>
      <c r="BC153" s="65" t="n"/>
      <c r="BD153" s="65" t="n"/>
      <c r="BE153" s="66" t="n">
        <v>21</v>
      </c>
      <c r="BF153" s="558">
        <f>AE153</f>
        <v/>
      </c>
      <c r="BG153" s="453" t="n"/>
      <c r="BH153" s="453" t="n"/>
      <c r="BI153" s="453" t="n"/>
      <c r="BJ153" s="453" t="n"/>
      <c r="BK153" s="453" t="n"/>
      <c r="BL153" s="453" t="n"/>
      <c r="BM153" s="453" t="n"/>
      <c r="BN153" s="453" t="n"/>
      <c r="BO153" s="454" t="n"/>
      <c r="BP153" s="407" t="n"/>
      <c r="BQ153" s="453" t="n"/>
      <c r="BR153" s="453" t="n"/>
      <c r="BS153" s="453" t="n"/>
      <c r="BT153" s="453" t="n"/>
      <c r="BU153" s="453" t="n"/>
      <c r="BV153" s="453" t="n"/>
      <c r="BW153" s="453" t="n"/>
      <c r="BX153" s="453" t="n"/>
      <c r="BY153" s="453" t="n"/>
      <c r="BZ153" s="453" t="n"/>
      <c r="CA153" s="453" t="n"/>
      <c r="CB153" s="453" t="n"/>
      <c r="CC153" s="454" t="n"/>
      <c r="CI153" s="481" t="n"/>
    </row>
    <row r="154" ht="12.95" customHeight="1">
      <c r="C154" s="66" t="n">
        <v>22</v>
      </c>
      <c r="D154" s="558">
        <f>IF(C154&lt;=$I$16, EDATE($D$6, C154-1), "")</f>
        <v/>
      </c>
      <c r="E154" s="453" t="n"/>
      <c r="F154" s="453" t="n"/>
      <c r="G154" s="453" t="n"/>
      <c r="H154" s="453" t="n"/>
      <c r="I154" s="453" t="n"/>
      <c r="J154" s="453" t="n"/>
      <c r="K154" s="453" t="n"/>
      <c r="L154" s="453" t="n"/>
      <c r="M154" s="454" t="n"/>
      <c r="N154" s="559">
        <f>IF(C154&lt;=$I$16, $I$17, "")</f>
        <v/>
      </c>
      <c r="O154" s="453" t="n"/>
      <c r="P154" s="453" t="n"/>
      <c r="Q154" s="453" t="n"/>
      <c r="R154" s="453" t="n"/>
      <c r="S154" s="453" t="n"/>
      <c r="T154" s="453" t="n"/>
      <c r="U154" s="453" t="n"/>
      <c r="V154" s="453" t="n"/>
      <c r="W154" s="453" t="n"/>
      <c r="X154" s="453" t="n"/>
      <c r="Y154" s="454" t="n"/>
      <c r="Z154" s="65" t="n"/>
      <c r="AA154" s="65" t="n"/>
      <c r="AB154" s="65" t="n"/>
      <c r="AC154" s="65" t="n"/>
      <c r="AD154" s="66" t="n">
        <v>22</v>
      </c>
      <c r="AE154" s="558">
        <f>D154</f>
        <v/>
      </c>
      <c r="AF154" s="453" t="n"/>
      <c r="AG154" s="453" t="n"/>
      <c r="AH154" s="453" t="n"/>
      <c r="AI154" s="453" t="n"/>
      <c r="AJ154" s="453" t="n"/>
      <c r="AK154" s="453" t="n"/>
      <c r="AL154" s="453" t="n"/>
      <c r="AM154" s="453" t="n"/>
      <c r="AN154" s="454" t="n"/>
      <c r="AO154" s="559">
        <f>AO153</f>
        <v/>
      </c>
      <c r="AP154" s="453" t="n"/>
      <c r="AQ154" s="453" t="n"/>
      <c r="AR154" s="453" t="n"/>
      <c r="AS154" s="453" t="n"/>
      <c r="AT154" s="453" t="n"/>
      <c r="AU154" s="453" t="n"/>
      <c r="AV154" s="453" t="n"/>
      <c r="AW154" s="453" t="n"/>
      <c r="AX154" s="453" t="n"/>
      <c r="AY154" s="453" t="n"/>
      <c r="AZ154" s="454" t="n"/>
      <c r="BA154" s="65" t="n"/>
      <c r="BB154" s="65" t="n"/>
      <c r="BC154" s="65" t="n"/>
      <c r="BD154" s="65" t="n"/>
      <c r="BE154" s="66" t="n">
        <v>22</v>
      </c>
      <c r="BF154" s="558">
        <f>AE154</f>
        <v/>
      </c>
      <c r="BG154" s="453" t="n"/>
      <c r="BH154" s="453" t="n"/>
      <c r="BI154" s="453" t="n"/>
      <c r="BJ154" s="453" t="n"/>
      <c r="BK154" s="453" t="n"/>
      <c r="BL154" s="453" t="n"/>
      <c r="BM154" s="453" t="n"/>
      <c r="BN154" s="453" t="n"/>
      <c r="BO154" s="454" t="n"/>
      <c r="BP154" s="407" t="n"/>
      <c r="BQ154" s="453" t="n"/>
      <c r="BR154" s="453" t="n"/>
      <c r="BS154" s="453" t="n"/>
      <c r="BT154" s="453" t="n"/>
      <c r="BU154" s="453" t="n"/>
      <c r="BV154" s="453" t="n"/>
      <c r="BW154" s="453" t="n"/>
      <c r="BX154" s="453" t="n"/>
      <c r="BY154" s="453" t="n"/>
      <c r="BZ154" s="453" t="n"/>
      <c r="CA154" s="453" t="n"/>
      <c r="CB154" s="453" t="n"/>
      <c r="CC154" s="454" t="n"/>
      <c r="CI154" s="481" t="n"/>
    </row>
    <row r="155" ht="12.95" customHeight="1">
      <c r="C155" s="66" t="n">
        <v>23</v>
      </c>
      <c r="D155" s="558">
        <f>IF(C155&lt;=$I$16, EDATE($D$6, C155-1), "")</f>
        <v/>
      </c>
      <c r="E155" s="453" t="n"/>
      <c r="F155" s="453" t="n"/>
      <c r="G155" s="453" t="n"/>
      <c r="H155" s="453" t="n"/>
      <c r="I155" s="453" t="n"/>
      <c r="J155" s="453" t="n"/>
      <c r="K155" s="453" t="n"/>
      <c r="L155" s="453" t="n"/>
      <c r="M155" s="454" t="n"/>
      <c r="N155" s="559">
        <f>IF(C155&lt;=$I$16, $I$17, "")</f>
        <v/>
      </c>
      <c r="O155" s="453" t="n"/>
      <c r="P155" s="453" t="n"/>
      <c r="Q155" s="453" t="n"/>
      <c r="R155" s="453" t="n"/>
      <c r="S155" s="453" t="n"/>
      <c r="T155" s="453" t="n"/>
      <c r="U155" s="453" t="n"/>
      <c r="V155" s="453" t="n"/>
      <c r="W155" s="453" t="n"/>
      <c r="X155" s="453" t="n"/>
      <c r="Y155" s="454" t="n"/>
      <c r="Z155" s="65" t="n"/>
      <c r="AA155" s="65" t="n"/>
      <c r="AB155" s="65" t="n"/>
      <c r="AC155" s="65" t="n"/>
      <c r="AD155" s="66" t="n">
        <v>23</v>
      </c>
      <c r="AE155" s="558">
        <f>D155</f>
        <v/>
      </c>
      <c r="AF155" s="453" t="n"/>
      <c r="AG155" s="453" t="n"/>
      <c r="AH155" s="453" t="n"/>
      <c r="AI155" s="453" t="n"/>
      <c r="AJ155" s="453" t="n"/>
      <c r="AK155" s="453" t="n"/>
      <c r="AL155" s="453" t="n"/>
      <c r="AM155" s="453" t="n"/>
      <c r="AN155" s="454" t="n"/>
      <c r="AO155" s="559">
        <f>AO154</f>
        <v/>
      </c>
      <c r="AP155" s="453" t="n"/>
      <c r="AQ155" s="453" t="n"/>
      <c r="AR155" s="453" t="n"/>
      <c r="AS155" s="453" t="n"/>
      <c r="AT155" s="453" t="n"/>
      <c r="AU155" s="453" t="n"/>
      <c r="AV155" s="453" t="n"/>
      <c r="AW155" s="453" t="n"/>
      <c r="AX155" s="453" t="n"/>
      <c r="AY155" s="453" t="n"/>
      <c r="AZ155" s="454" t="n"/>
      <c r="BA155" s="65" t="n"/>
      <c r="BB155" s="65" t="n"/>
      <c r="BC155" s="65" t="n"/>
      <c r="BD155" s="65" t="n"/>
      <c r="BE155" s="66" t="n">
        <v>23</v>
      </c>
      <c r="BF155" s="558">
        <f>AE155</f>
        <v/>
      </c>
      <c r="BG155" s="453" t="n"/>
      <c r="BH155" s="453" t="n"/>
      <c r="BI155" s="453" t="n"/>
      <c r="BJ155" s="453" t="n"/>
      <c r="BK155" s="453" t="n"/>
      <c r="BL155" s="453" t="n"/>
      <c r="BM155" s="453" t="n"/>
      <c r="BN155" s="453" t="n"/>
      <c r="BO155" s="454" t="n"/>
      <c r="BP155" s="407" t="n"/>
      <c r="BQ155" s="453" t="n"/>
      <c r="BR155" s="453" t="n"/>
      <c r="BS155" s="453" t="n"/>
      <c r="BT155" s="453" t="n"/>
      <c r="BU155" s="453" t="n"/>
      <c r="BV155" s="453" t="n"/>
      <c r="BW155" s="453" t="n"/>
      <c r="BX155" s="453" t="n"/>
      <c r="BY155" s="453" t="n"/>
      <c r="BZ155" s="453" t="n"/>
      <c r="CA155" s="453" t="n"/>
      <c r="CB155" s="453" t="n"/>
      <c r="CC155" s="454" t="n"/>
      <c r="CI155" s="481" t="n"/>
    </row>
    <row r="156" ht="12.95" customHeight="1">
      <c r="C156" s="66" t="n">
        <v>24</v>
      </c>
      <c r="D156" s="558">
        <f>IF(C156&lt;=$I$16, EDATE($D$6, C156-1), "")</f>
        <v/>
      </c>
      <c r="E156" s="453" t="n"/>
      <c r="F156" s="453" t="n"/>
      <c r="G156" s="453" t="n"/>
      <c r="H156" s="453" t="n"/>
      <c r="I156" s="453" t="n"/>
      <c r="J156" s="453" t="n"/>
      <c r="K156" s="453" t="n"/>
      <c r="L156" s="453" t="n"/>
      <c r="M156" s="454" t="n"/>
      <c r="N156" s="559">
        <f>IF(C156&lt;=$I$16, $I$17, "")</f>
        <v/>
      </c>
      <c r="O156" s="453" t="n"/>
      <c r="P156" s="453" t="n"/>
      <c r="Q156" s="453" t="n"/>
      <c r="R156" s="453" t="n"/>
      <c r="S156" s="453" t="n"/>
      <c r="T156" s="453" t="n"/>
      <c r="U156" s="453" t="n"/>
      <c r="V156" s="453" t="n"/>
      <c r="W156" s="453" t="n"/>
      <c r="X156" s="453" t="n"/>
      <c r="Y156" s="454" t="n"/>
      <c r="Z156" s="65" t="n"/>
      <c r="AA156" s="65" t="n"/>
      <c r="AB156" s="65" t="n"/>
      <c r="AC156" s="65" t="n"/>
      <c r="AD156" s="66" t="n">
        <v>24</v>
      </c>
      <c r="AE156" s="558">
        <f>D156</f>
        <v/>
      </c>
      <c r="AF156" s="453" t="n"/>
      <c r="AG156" s="453" t="n"/>
      <c r="AH156" s="453" t="n"/>
      <c r="AI156" s="453" t="n"/>
      <c r="AJ156" s="453" t="n"/>
      <c r="AK156" s="453" t="n"/>
      <c r="AL156" s="453" t="n"/>
      <c r="AM156" s="453" t="n"/>
      <c r="AN156" s="454" t="n"/>
      <c r="AO156" s="559">
        <f>AO155</f>
        <v/>
      </c>
      <c r="AP156" s="453" t="n"/>
      <c r="AQ156" s="453" t="n"/>
      <c r="AR156" s="453" t="n"/>
      <c r="AS156" s="453" t="n"/>
      <c r="AT156" s="453" t="n"/>
      <c r="AU156" s="453" t="n"/>
      <c r="AV156" s="453" t="n"/>
      <c r="AW156" s="453" t="n"/>
      <c r="AX156" s="453" t="n"/>
      <c r="AY156" s="453" t="n"/>
      <c r="AZ156" s="454" t="n"/>
      <c r="BA156" s="65" t="n"/>
      <c r="BB156" s="65" t="n"/>
      <c r="BC156" s="65" t="n"/>
      <c r="BD156" s="65" t="n"/>
      <c r="BE156" s="66" t="n">
        <v>24</v>
      </c>
      <c r="BF156" s="558">
        <f>AE156</f>
        <v/>
      </c>
      <c r="BG156" s="453" t="n"/>
      <c r="BH156" s="453" t="n"/>
      <c r="BI156" s="453" t="n"/>
      <c r="BJ156" s="453" t="n"/>
      <c r="BK156" s="453" t="n"/>
      <c r="BL156" s="453" t="n"/>
      <c r="BM156" s="453" t="n"/>
      <c r="BN156" s="453" t="n"/>
      <c r="BO156" s="454" t="n"/>
      <c r="BP156" s="407" t="n"/>
      <c r="BQ156" s="453" t="n"/>
      <c r="BR156" s="453" t="n"/>
      <c r="BS156" s="453" t="n"/>
      <c r="BT156" s="453" t="n"/>
      <c r="BU156" s="453" t="n"/>
      <c r="BV156" s="453" t="n"/>
      <c r="BW156" s="453" t="n"/>
      <c r="BX156" s="453" t="n"/>
      <c r="BY156" s="453" t="n"/>
      <c r="BZ156" s="453" t="n"/>
      <c r="CA156" s="453" t="n"/>
      <c r="CB156" s="453" t="n"/>
      <c r="CC156" s="454" t="n"/>
      <c r="CI156" s="481" t="n"/>
    </row>
    <row r="157">
      <c r="C157" s="66" t="n">
        <v>25</v>
      </c>
      <c r="D157" s="558">
        <f>IF(C157&lt;=$I$16, EDATE($D$6, C157-1), "")</f>
        <v/>
      </c>
      <c r="E157" s="453" t="n"/>
      <c r="F157" s="453" t="n"/>
      <c r="G157" s="453" t="n"/>
      <c r="H157" s="453" t="n"/>
      <c r="I157" s="453" t="n"/>
      <c r="J157" s="453" t="n"/>
      <c r="K157" s="453" t="n"/>
      <c r="L157" s="453" t="n"/>
      <c r="M157" s="454" t="n"/>
      <c r="N157" s="559">
        <f>IF(C157&lt;=$I$16, $I$17, "")</f>
        <v/>
      </c>
      <c r="O157" s="453" t="n"/>
      <c r="P157" s="453" t="n"/>
      <c r="Q157" s="453" t="n"/>
      <c r="R157" s="453" t="n"/>
      <c r="S157" s="453" t="n"/>
      <c r="T157" s="453" t="n"/>
      <c r="U157" s="453" t="n"/>
      <c r="V157" s="453" t="n"/>
      <c r="W157" s="453" t="n"/>
      <c r="X157" s="453" t="n"/>
      <c r="Y157" s="454" t="n"/>
      <c r="AD157" s="66" t="n">
        <v>25</v>
      </c>
      <c r="AE157" s="558">
        <f>D157</f>
        <v/>
      </c>
      <c r="AF157" s="453" t="n"/>
      <c r="AG157" s="453" t="n"/>
      <c r="AH157" s="453" t="n"/>
      <c r="AI157" s="453" t="n"/>
      <c r="AJ157" s="453" t="n"/>
      <c r="AK157" s="453" t="n"/>
      <c r="AL157" s="453" t="n"/>
      <c r="AM157" s="453" t="n"/>
      <c r="AN157" s="454" t="n"/>
      <c r="AO157" s="559">
        <f>AO156</f>
        <v/>
      </c>
      <c r="AP157" s="453" t="n"/>
      <c r="AQ157" s="453" t="n"/>
      <c r="AR157" s="453" t="n"/>
      <c r="AS157" s="453" t="n"/>
      <c r="AT157" s="453" t="n"/>
      <c r="AU157" s="453" t="n"/>
      <c r="AV157" s="453" t="n"/>
      <c r="AW157" s="453" t="n"/>
      <c r="AX157" s="453" t="n"/>
      <c r="AY157" s="453" t="n"/>
      <c r="AZ157" s="454" t="n"/>
      <c r="BE157" s="66" t="n">
        <v>25</v>
      </c>
      <c r="BF157" s="558">
        <f>AE157</f>
        <v/>
      </c>
      <c r="BG157" s="453" t="n"/>
      <c r="BH157" s="453" t="n"/>
      <c r="BI157" s="453" t="n"/>
      <c r="BJ157" s="453" t="n"/>
      <c r="BK157" s="453" t="n"/>
      <c r="BL157" s="453" t="n"/>
      <c r="BM157" s="453" t="n"/>
      <c r="BN157" s="453" t="n"/>
      <c r="BO157" s="454" t="n"/>
      <c r="BP157" s="407" t="n"/>
      <c r="BQ157" s="453" t="n"/>
      <c r="BR157" s="453" t="n"/>
      <c r="BS157" s="453" t="n"/>
      <c r="BT157" s="453" t="n"/>
      <c r="BU157" s="453" t="n"/>
      <c r="BV157" s="453" t="n"/>
      <c r="BW157" s="453" t="n"/>
      <c r="BX157" s="453" t="n"/>
      <c r="BY157" s="453" t="n"/>
      <c r="BZ157" s="453" t="n"/>
      <c r="CA157" s="453" t="n"/>
      <c r="CB157" s="453" t="n"/>
      <c r="CC157" s="454" t="n"/>
      <c r="CI157" s="481" t="n"/>
    </row>
    <row r="158">
      <c r="C158" s="66" t="n">
        <v>26</v>
      </c>
      <c r="D158" s="558">
        <f>IF(C158&lt;=$I$16, EDATE($D$6, C158-1), "")</f>
        <v/>
      </c>
      <c r="E158" s="453" t="n"/>
      <c r="F158" s="453" t="n"/>
      <c r="G158" s="453" t="n"/>
      <c r="H158" s="453" t="n"/>
      <c r="I158" s="453" t="n"/>
      <c r="J158" s="453" t="n"/>
      <c r="K158" s="453" t="n"/>
      <c r="L158" s="453" t="n"/>
      <c r="M158" s="454" t="n"/>
      <c r="N158" s="559">
        <f>IF(C158&lt;=$I$16, $I$17, "")</f>
        <v/>
      </c>
      <c r="O158" s="453" t="n"/>
      <c r="P158" s="453" t="n"/>
      <c r="Q158" s="453" t="n"/>
      <c r="R158" s="453" t="n"/>
      <c r="S158" s="453" t="n"/>
      <c r="T158" s="453" t="n"/>
      <c r="U158" s="453" t="n"/>
      <c r="V158" s="453" t="n"/>
      <c r="W158" s="453" t="n"/>
      <c r="X158" s="453" t="n"/>
      <c r="Y158" s="454" t="n"/>
      <c r="AD158" s="66" t="n">
        <v>26</v>
      </c>
      <c r="AE158" s="558">
        <f>D158</f>
        <v/>
      </c>
      <c r="AF158" s="453" t="n"/>
      <c r="AG158" s="453" t="n"/>
      <c r="AH158" s="453" t="n"/>
      <c r="AI158" s="453" t="n"/>
      <c r="AJ158" s="453" t="n"/>
      <c r="AK158" s="453" t="n"/>
      <c r="AL158" s="453" t="n"/>
      <c r="AM158" s="453" t="n"/>
      <c r="AN158" s="454" t="n"/>
      <c r="AO158" s="559">
        <f>AO157</f>
        <v/>
      </c>
      <c r="AP158" s="453" t="n"/>
      <c r="AQ158" s="453" t="n"/>
      <c r="AR158" s="453" t="n"/>
      <c r="AS158" s="453" t="n"/>
      <c r="AT158" s="453" t="n"/>
      <c r="AU158" s="453" t="n"/>
      <c r="AV158" s="453" t="n"/>
      <c r="AW158" s="453" t="n"/>
      <c r="AX158" s="453" t="n"/>
      <c r="AY158" s="453" t="n"/>
      <c r="AZ158" s="454" t="n"/>
      <c r="BE158" s="66" t="n">
        <v>26</v>
      </c>
      <c r="BF158" s="558">
        <f>AE158</f>
        <v/>
      </c>
      <c r="BG158" s="453" t="n"/>
      <c r="BH158" s="453" t="n"/>
      <c r="BI158" s="453" t="n"/>
      <c r="BJ158" s="453" t="n"/>
      <c r="BK158" s="453" t="n"/>
      <c r="BL158" s="453" t="n"/>
      <c r="BM158" s="453" t="n"/>
      <c r="BN158" s="453" t="n"/>
      <c r="BO158" s="454" t="n"/>
      <c r="BP158" s="407" t="n"/>
      <c r="BQ158" s="453" t="n"/>
      <c r="BR158" s="453" t="n"/>
      <c r="BS158" s="453" t="n"/>
      <c r="BT158" s="453" t="n"/>
      <c r="BU158" s="453" t="n"/>
      <c r="BV158" s="453" t="n"/>
      <c r="BW158" s="453" t="n"/>
      <c r="BX158" s="453" t="n"/>
      <c r="BY158" s="453" t="n"/>
      <c r="BZ158" s="453" t="n"/>
      <c r="CA158" s="453" t="n"/>
      <c r="CB158" s="453" t="n"/>
      <c r="CC158" s="454" t="n"/>
      <c r="CI158" s="481" t="n"/>
    </row>
    <row r="159">
      <c r="C159" s="66" t="n">
        <v>27</v>
      </c>
      <c r="D159" s="558">
        <f>IF(C159&lt;=$I$16, EDATE($D$6, C159-1), "")</f>
        <v/>
      </c>
      <c r="E159" s="453" t="n"/>
      <c r="F159" s="453" t="n"/>
      <c r="G159" s="453" t="n"/>
      <c r="H159" s="453" t="n"/>
      <c r="I159" s="453" t="n"/>
      <c r="J159" s="453" t="n"/>
      <c r="K159" s="453" t="n"/>
      <c r="L159" s="453" t="n"/>
      <c r="M159" s="454" t="n"/>
      <c r="N159" s="559">
        <f>IF(C159&lt;=$I$16, $I$17, "")</f>
        <v/>
      </c>
      <c r="O159" s="453" t="n"/>
      <c r="P159" s="453" t="n"/>
      <c r="Q159" s="453" t="n"/>
      <c r="R159" s="453" t="n"/>
      <c r="S159" s="453" t="n"/>
      <c r="T159" s="453" t="n"/>
      <c r="U159" s="453" t="n"/>
      <c r="V159" s="453" t="n"/>
      <c r="W159" s="453" t="n"/>
      <c r="X159" s="453" t="n"/>
      <c r="Y159" s="454" t="n"/>
      <c r="AD159" s="66" t="n">
        <v>27</v>
      </c>
      <c r="AE159" s="558">
        <f>D159</f>
        <v/>
      </c>
      <c r="AF159" s="453" t="n"/>
      <c r="AG159" s="453" t="n"/>
      <c r="AH159" s="453" t="n"/>
      <c r="AI159" s="453" t="n"/>
      <c r="AJ159" s="453" t="n"/>
      <c r="AK159" s="453" t="n"/>
      <c r="AL159" s="453" t="n"/>
      <c r="AM159" s="453" t="n"/>
      <c r="AN159" s="454" t="n"/>
      <c r="AO159" s="559">
        <f>AO158</f>
        <v/>
      </c>
      <c r="AP159" s="453" t="n"/>
      <c r="AQ159" s="453" t="n"/>
      <c r="AR159" s="453" t="n"/>
      <c r="AS159" s="453" t="n"/>
      <c r="AT159" s="453" t="n"/>
      <c r="AU159" s="453" t="n"/>
      <c r="AV159" s="453" t="n"/>
      <c r="AW159" s="453" t="n"/>
      <c r="AX159" s="453" t="n"/>
      <c r="AY159" s="453" t="n"/>
      <c r="AZ159" s="454" t="n"/>
      <c r="BE159" s="66" t="n">
        <v>27</v>
      </c>
      <c r="BF159" s="558">
        <f>AE159</f>
        <v/>
      </c>
      <c r="BG159" s="453" t="n"/>
      <c r="BH159" s="453" t="n"/>
      <c r="BI159" s="453" t="n"/>
      <c r="BJ159" s="453" t="n"/>
      <c r="BK159" s="453" t="n"/>
      <c r="BL159" s="453" t="n"/>
      <c r="BM159" s="453" t="n"/>
      <c r="BN159" s="453" t="n"/>
      <c r="BO159" s="454" t="n"/>
      <c r="BP159" s="407" t="n"/>
      <c r="BQ159" s="453" t="n"/>
      <c r="BR159" s="453" t="n"/>
      <c r="BS159" s="453" t="n"/>
      <c r="BT159" s="453" t="n"/>
      <c r="BU159" s="453" t="n"/>
      <c r="BV159" s="453" t="n"/>
      <c r="BW159" s="453" t="n"/>
      <c r="BX159" s="453" t="n"/>
      <c r="BY159" s="453" t="n"/>
      <c r="BZ159" s="453" t="n"/>
      <c r="CA159" s="453" t="n"/>
      <c r="CB159" s="453" t="n"/>
      <c r="CC159" s="454" t="n"/>
      <c r="CI159" s="481" t="n"/>
    </row>
    <row r="160">
      <c r="C160" s="66" t="n">
        <v>28</v>
      </c>
      <c r="D160" s="558">
        <f>IF(C160&lt;=$I$16, EDATE($D$6, C160-1), "")</f>
        <v/>
      </c>
      <c r="E160" s="453" t="n"/>
      <c r="F160" s="453" t="n"/>
      <c r="G160" s="453" t="n"/>
      <c r="H160" s="453" t="n"/>
      <c r="I160" s="453" t="n"/>
      <c r="J160" s="453" t="n"/>
      <c r="K160" s="453" t="n"/>
      <c r="L160" s="453" t="n"/>
      <c r="M160" s="454" t="n"/>
      <c r="N160" s="559">
        <f>IF(C160&lt;=$I$16, $I$17, "")</f>
        <v/>
      </c>
      <c r="O160" s="453" t="n"/>
      <c r="P160" s="453" t="n"/>
      <c r="Q160" s="453" t="n"/>
      <c r="R160" s="453" t="n"/>
      <c r="S160" s="453" t="n"/>
      <c r="T160" s="453" t="n"/>
      <c r="U160" s="453" t="n"/>
      <c r="V160" s="453" t="n"/>
      <c r="W160" s="453" t="n"/>
      <c r="X160" s="453" t="n"/>
      <c r="Y160" s="454" t="n"/>
      <c r="AD160" s="66" t="n">
        <v>28</v>
      </c>
      <c r="AE160" s="558">
        <f>D160</f>
        <v/>
      </c>
      <c r="AF160" s="453" t="n"/>
      <c r="AG160" s="453" t="n"/>
      <c r="AH160" s="453" t="n"/>
      <c r="AI160" s="453" t="n"/>
      <c r="AJ160" s="453" t="n"/>
      <c r="AK160" s="453" t="n"/>
      <c r="AL160" s="453" t="n"/>
      <c r="AM160" s="453" t="n"/>
      <c r="AN160" s="454" t="n"/>
      <c r="AO160" s="559">
        <f>AO159</f>
        <v/>
      </c>
      <c r="AP160" s="453" t="n"/>
      <c r="AQ160" s="453" t="n"/>
      <c r="AR160" s="453" t="n"/>
      <c r="AS160" s="453" t="n"/>
      <c r="AT160" s="453" t="n"/>
      <c r="AU160" s="453" t="n"/>
      <c r="AV160" s="453" t="n"/>
      <c r="AW160" s="453" t="n"/>
      <c r="AX160" s="453" t="n"/>
      <c r="AY160" s="453" t="n"/>
      <c r="AZ160" s="454" t="n"/>
      <c r="BE160" s="66" t="n">
        <v>28</v>
      </c>
      <c r="BF160" s="558">
        <f>AE160</f>
        <v/>
      </c>
      <c r="BG160" s="453" t="n"/>
      <c r="BH160" s="453" t="n"/>
      <c r="BI160" s="453" t="n"/>
      <c r="BJ160" s="453" t="n"/>
      <c r="BK160" s="453" t="n"/>
      <c r="BL160" s="453" t="n"/>
      <c r="BM160" s="453" t="n"/>
      <c r="BN160" s="453" t="n"/>
      <c r="BO160" s="454" t="n"/>
      <c r="BP160" s="407" t="n"/>
      <c r="BQ160" s="453" t="n"/>
      <c r="BR160" s="453" t="n"/>
      <c r="BS160" s="453" t="n"/>
      <c r="BT160" s="453" t="n"/>
      <c r="BU160" s="453" t="n"/>
      <c r="BV160" s="453" t="n"/>
      <c r="BW160" s="453" t="n"/>
      <c r="BX160" s="453" t="n"/>
      <c r="BY160" s="453" t="n"/>
      <c r="BZ160" s="453" t="n"/>
      <c r="CA160" s="453" t="n"/>
      <c r="CB160" s="453" t="n"/>
      <c r="CC160" s="454" t="n"/>
      <c r="CI160" s="481" t="n"/>
    </row>
    <row r="161">
      <c r="C161" s="66" t="n">
        <v>29</v>
      </c>
      <c r="D161" s="558">
        <f>IF(C161&lt;=$I$16, EDATE($D$6, C161-1), "")</f>
        <v/>
      </c>
      <c r="E161" s="453" t="n"/>
      <c r="F161" s="453" t="n"/>
      <c r="G161" s="453" t="n"/>
      <c r="H161" s="453" t="n"/>
      <c r="I161" s="453" t="n"/>
      <c r="J161" s="453" t="n"/>
      <c r="K161" s="453" t="n"/>
      <c r="L161" s="453" t="n"/>
      <c r="M161" s="454" t="n"/>
      <c r="N161" s="559">
        <f>IF(C161&lt;=$I$16, $I$17, "")</f>
        <v/>
      </c>
      <c r="O161" s="453" t="n"/>
      <c r="P161" s="453" t="n"/>
      <c r="Q161" s="453" t="n"/>
      <c r="R161" s="453" t="n"/>
      <c r="S161" s="453" t="n"/>
      <c r="T161" s="453" t="n"/>
      <c r="U161" s="453" t="n"/>
      <c r="V161" s="453" t="n"/>
      <c r="W161" s="453" t="n"/>
      <c r="X161" s="453" t="n"/>
      <c r="Y161" s="454" t="n"/>
      <c r="AD161" s="66" t="n">
        <v>29</v>
      </c>
      <c r="AE161" s="558">
        <f>D161</f>
        <v/>
      </c>
      <c r="AF161" s="453" t="n"/>
      <c r="AG161" s="453" t="n"/>
      <c r="AH161" s="453" t="n"/>
      <c r="AI161" s="453" t="n"/>
      <c r="AJ161" s="453" t="n"/>
      <c r="AK161" s="453" t="n"/>
      <c r="AL161" s="453" t="n"/>
      <c r="AM161" s="453" t="n"/>
      <c r="AN161" s="454" t="n"/>
      <c r="AO161" s="559">
        <f>AO160</f>
        <v/>
      </c>
      <c r="AP161" s="453" t="n"/>
      <c r="AQ161" s="453" t="n"/>
      <c r="AR161" s="453" t="n"/>
      <c r="AS161" s="453" t="n"/>
      <c r="AT161" s="453" t="n"/>
      <c r="AU161" s="453" t="n"/>
      <c r="AV161" s="453" t="n"/>
      <c r="AW161" s="453" t="n"/>
      <c r="AX161" s="453" t="n"/>
      <c r="AY161" s="453" t="n"/>
      <c r="AZ161" s="454" t="n"/>
      <c r="BE161" s="66" t="n">
        <v>29</v>
      </c>
      <c r="BF161" s="558">
        <f>AE161</f>
        <v/>
      </c>
      <c r="BG161" s="453" t="n"/>
      <c r="BH161" s="453" t="n"/>
      <c r="BI161" s="453" t="n"/>
      <c r="BJ161" s="453" t="n"/>
      <c r="BK161" s="453" t="n"/>
      <c r="BL161" s="453" t="n"/>
      <c r="BM161" s="453" t="n"/>
      <c r="BN161" s="453" t="n"/>
      <c r="BO161" s="454" t="n"/>
      <c r="BP161" s="407" t="n"/>
      <c r="BQ161" s="453" t="n"/>
      <c r="BR161" s="453" t="n"/>
      <c r="BS161" s="453" t="n"/>
      <c r="BT161" s="453" t="n"/>
      <c r="BU161" s="453" t="n"/>
      <c r="BV161" s="453" t="n"/>
      <c r="BW161" s="453" t="n"/>
      <c r="BX161" s="453" t="n"/>
      <c r="BY161" s="453" t="n"/>
      <c r="BZ161" s="453" t="n"/>
      <c r="CA161" s="453" t="n"/>
      <c r="CB161" s="453" t="n"/>
      <c r="CC161" s="454" t="n"/>
      <c r="CI161" s="481" t="n"/>
    </row>
    <row r="162">
      <c r="C162" s="66" t="n">
        <v>30</v>
      </c>
      <c r="D162" s="558">
        <f>IF(C162&lt;=$I$16, EDATE($D$6, C162-1), "")</f>
        <v/>
      </c>
      <c r="E162" s="453" t="n"/>
      <c r="F162" s="453" t="n"/>
      <c r="G162" s="453" t="n"/>
      <c r="H162" s="453" t="n"/>
      <c r="I162" s="453" t="n"/>
      <c r="J162" s="453" t="n"/>
      <c r="K162" s="453" t="n"/>
      <c r="L162" s="453" t="n"/>
      <c r="M162" s="454" t="n"/>
      <c r="N162" s="559">
        <f>IF(C162&lt;=$I$16, $I$17, "")</f>
        <v/>
      </c>
      <c r="O162" s="453" t="n"/>
      <c r="P162" s="453" t="n"/>
      <c r="Q162" s="453" t="n"/>
      <c r="R162" s="453" t="n"/>
      <c r="S162" s="453" t="n"/>
      <c r="T162" s="453" t="n"/>
      <c r="U162" s="453" t="n"/>
      <c r="V162" s="453" t="n"/>
      <c r="W162" s="453" t="n"/>
      <c r="X162" s="453" t="n"/>
      <c r="Y162" s="454" t="n"/>
      <c r="AD162" s="66" t="n">
        <v>30</v>
      </c>
      <c r="AE162" s="558">
        <f>D162</f>
        <v/>
      </c>
      <c r="AF162" s="453" t="n"/>
      <c r="AG162" s="453" t="n"/>
      <c r="AH162" s="453" t="n"/>
      <c r="AI162" s="453" t="n"/>
      <c r="AJ162" s="453" t="n"/>
      <c r="AK162" s="453" t="n"/>
      <c r="AL162" s="453" t="n"/>
      <c r="AM162" s="453" t="n"/>
      <c r="AN162" s="454" t="n"/>
      <c r="AO162" s="559">
        <f>AO161</f>
        <v/>
      </c>
      <c r="AP162" s="453" t="n"/>
      <c r="AQ162" s="453" t="n"/>
      <c r="AR162" s="453" t="n"/>
      <c r="AS162" s="453" t="n"/>
      <c r="AT162" s="453" t="n"/>
      <c r="AU162" s="453" t="n"/>
      <c r="AV162" s="453" t="n"/>
      <c r="AW162" s="453" t="n"/>
      <c r="AX162" s="453" t="n"/>
      <c r="AY162" s="453" t="n"/>
      <c r="AZ162" s="454" t="n"/>
      <c r="BE162" s="66" t="n">
        <v>30</v>
      </c>
      <c r="BF162" s="558">
        <f>AE162</f>
        <v/>
      </c>
      <c r="BG162" s="453" t="n"/>
      <c r="BH162" s="453" t="n"/>
      <c r="BI162" s="453" t="n"/>
      <c r="BJ162" s="453" t="n"/>
      <c r="BK162" s="453" t="n"/>
      <c r="BL162" s="453" t="n"/>
      <c r="BM162" s="453" t="n"/>
      <c r="BN162" s="453" t="n"/>
      <c r="BO162" s="454" t="n"/>
      <c r="BP162" s="407" t="n"/>
      <c r="BQ162" s="453" t="n"/>
      <c r="BR162" s="453" t="n"/>
      <c r="BS162" s="453" t="n"/>
      <c r="BT162" s="453" t="n"/>
      <c r="BU162" s="453" t="n"/>
      <c r="BV162" s="453" t="n"/>
      <c r="BW162" s="453" t="n"/>
      <c r="BX162" s="453" t="n"/>
      <c r="BY162" s="453" t="n"/>
      <c r="BZ162" s="453" t="n"/>
      <c r="CA162" s="453" t="n"/>
      <c r="CB162" s="453" t="n"/>
      <c r="CC162" s="454" t="n"/>
      <c r="CI162" s="481" t="n"/>
    </row>
    <row r="163">
      <c r="C163" s="66" t="n">
        <v>31</v>
      </c>
      <c r="D163" s="558">
        <f>IF(C163&lt;=$I$16, EDATE($D$6, C163-1), "")</f>
        <v/>
      </c>
      <c r="E163" s="453" t="n"/>
      <c r="F163" s="453" t="n"/>
      <c r="G163" s="453" t="n"/>
      <c r="H163" s="453" t="n"/>
      <c r="I163" s="453" t="n"/>
      <c r="J163" s="453" t="n"/>
      <c r="K163" s="453" t="n"/>
      <c r="L163" s="453" t="n"/>
      <c r="M163" s="454" t="n"/>
      <c r="N163" s="559">
        <f>IF(C163&lt;=$I$16, $I$17, "")</f>
        <v/>
      </c>
      <c r="O163" s="453" t="n"/>
      <c r="P163" s="453" t="n"/>
      <c r="Q163" s="453" t="n"/>
      <c r="R163" s="453" t="n"/>
      <c r="S163" s="453" t="n"/>
      <c r="T163" s="453" t="n"/>
      <c r="U163" s="453" t="n"/>
      <c r="V163" s="453" t="n"/>
      <c r="W163" s="453" t="n"/>
      <c r="X163" s="453" t="n"/>
      <c r="Y163" s="454" t="n"/>
      <c r="AD163" s="66" t="n">
        <v>31</v>
      </c>
      <c r="AE163" s="558">
        <f>D163</f>
        <v/>
      </c>
      <c r="AF163" s="453" t="n"/>
      <c r="AG163" s="453" t="n"/>
      <c r="AH163" s="453" t="n"/>
      <c r="AI163" s="453" t="n"/>
      <c r="AJ163" s="453" t="n"/>
      <c r="AK163" s="453" t="n"/>
      <c r="AL163" s="453" t="n"/>
      <c r="AM163" s="453" t="n"/>
      <c r="AN163" s="454" t="n"/>
      <c r="AO163" s="559">
        <f>AO162</f>
        <v/>
      </c>
      <c r="AP163" s="453" t="n"/>
      <c r="AQ163" s="453" t="n"/>
      <c r="AR163" s="453" t="n"/>
      <c r="AS163" s="453" t="n"/>
      <c r="AT163" s="453" t="n"/>
      <c r="AU163" s="453" t="n"/>
      <c r="AV163" s="453" t="n"/>
      <c r="AW163" s="453" t="n"/>
      <c r="AX163" s="453" t="n"/>
      <c r="AY163" s="453" t="n"/>
      <c r="AZ163" s="454" t="n"/>
      <c r="BE163" s="66" t="n">
        <v>31</v>
      </c>
      <c r="BF163" s="558">
        <f>AE163</f>
        <v/>
      </c>
      <c r="BG163" s="453" t="n"/>
      <c r="BH163" s="453" t="n"/>
      <c r="BI163" s="453" t="n"/>
      <c r="BJ163" s="453" t="n"/>
      <c r="BK163" s="453" t="n"/>
      <c r="BL163" s="453" t="n"/>
      <c r="BM163" s="453" t="n"/>
      <c r="BN163" s="453" t="n"/>
      <c r="BO163" s="454" t="n"/>
      <c r="BP163" s="407" t="n"/>
      <c r="BQ163" s="453" t="n"/>
      <c r="BR163" s="453" t="n"/>
      <c r="BS163" s="453" t="n"/>
      <c r="BT163" s="453" t="n"/>
      <c r="BU163" s="453" t="n"/>
      <c r="BV163" s="453" t="n"/>
      <c r="BW163" s="453" t="n"/>
      <c r="BX163" s="453" t="n"/>
      <c r="BY163" s="453" t="n"/>
      <c r="BZ163" s="453" t="n"/>
      <c r="CA163" s="453" t="n"/>
      <c r="CB163" s="453" t="n"/>
      <c r="CC163" s="454" t="n"/>
      <c r="CI163" s="481" t="n"/>
    </row>
    <row r="164">
      <c r="C164" s="66" t="n">
        <v>32</v>
      </c>
      <c r="D164" s="558">
        <f>IF(C164&lt;=$I$16, EDATE($D$6, C164-1), "")</f>
        <v/>
      </c>
      <c r="E164" s="453" t="n"/>
      <c r="F164" s="453" t="n"/>
      <c r="G164" s="453" t="n"/>
      <c r="H164" s="453" t="n"/>
      <c r="I164" s="453" t="n"/>
      <c r="J164" s="453" t="n"/>
      <c r="K164" s="453" t="n"/>
      <c r="L164" s="453" t="n"/>
      <c r="M164" s="454" t="n"/>
      <c r="N164" s="559">
        <f>IF(C164&lt;=$I$16, $I$17, "")</f>
        <v/>
      </c>
      <c r="O164" s="453" t="n"/>
      <c r="P164" s="453" t="n"/>
      <c r="Q164" s="453" t="n"/>
      <c r="R164" s="453" t="n"/>
      <c r="S164" s="453" t="n"/>
      <c r="T164" s="453" t="n"/>
      <c r="U164" s="453" t="n"/>
      <c r="V164" s="453" t="n"/>
      <c r="W164" s="453" t="n"/>
      <c r="X164" s="453" t="n"/>
      <c r="Y164" s="454" t="n"/>
      <c r="AD164" s="66" t="n">
        <v>32</v>
      </c>
      <c r="AE164" s="558">
        <f>D164</f>
        <v/>
      </c>
      <c r="AF164" s="453" t="n"/>
      <c r="AG164" s="453" t="n"/>
      <c r="AH164" s="453" t="n"/>
      <c r="AI164" s="453" t="n"/>
      <c r="AJ164" s="453" t="n"/>
      <c r="AK164" s="453" t="n"/>
      <c r="AL164" s="453" t="n"/>
      <c r="AM164" s="453" t="n"/>
      <c r="AN164" s="454" t="n"/>
      <c r="AO164" s="559">
        <f>AO163</f>
        <v/>
      </c>
      <c r="AP164" s="453" t="n"/>
      <c r="AQ164" s="453" t="n"/>
      <c r="AR164" s="453" t="n"/>
      <c r="AS164" s="453" t="n"/>
      <c r="AT164" s="453" t="n"/>
      <c r="AU164" s="453" t="n"/>
      <c r="AV164" s="453" t="n"/>
      <c r="AW164" s="453" t="n"/>
      <c r="AX164" s="453" t="n"/>
      <c r="AY164" s="453" t="n"/>
      <c r="AZ164" s="454" t="n"/>
      <c r="BE164" s="66" t="n">
        <v>32</v>
      </c>
      <c r="BF164" s="558">
        <f>AE164</f>
        <v/>
      </c>
      <c r="BG164" s="453" t="n"/>
      <c r="BH164" s="453" t="n"/>
      <c r="BI164" s="453" t="n"/>
      <c r="BJ164" s="453" t="n"/>
      <c r="BK164" s="453" t="n"/>
      <c r="BL164" s="453" t="n"/>
      <c r="BM164" s="453" t="n"/>
      <c r="BN164" s="453" t="n"/>
      <c r="BO164" s="454" t="n"/>
      <c r="BP164" s="407" t="n"/>
      <c r="BQ164" s="453" t="n"/>
      <c r="BR164" s="453" t="n"/>
      <c r="BS164" s="453" t="n"/>
      <c r="BT164" s="453" t="n"/>
      <c r="BU164" s="453" t="n"/>
      <c r="BV164" s="453" t="n"/>
      <c r="BW164" s="453" t="n"/>
      <c r="BX164" s="453" t="n"/>
      <c r="BY164" s="453" t="n"/>
      <c r="BZ164" s="453" t="n"/>
      <c r="CA164" s="453" t="n"/>
      <c r="CB164" s="453" t="n"/>
      <c r="CC164" s="454" t="n"/>
      <c r="CI164" s="481" t="n"/>
    </row>
    <row r="165">
      <c r="C165" s="66" t="n">
        <v>33</v>
      </c>
      <c r="D165" s="558">
        <f>IF(C165&lt;=$I$16, EDATE($D$6, C165-1), "")</f>
        <v/>
      </c>
      <c r="E165" s="453" t="n"/>
      <c r="F165" s="453" t="n"/>
      <c r="G165" s="453" t="n"/>
      <c r="H165" s="453" t="n"/>
      <c r="I165" s="453" t="n"/>
      <c r="J165" s="453" t="n"/>
      <c r="K165" s="453" t="n"/>
      <c r="L165" s="453" t="n"/>
      <c r="M165" s="454" t="n"/>
      <c r="N165" s="559">
        <f>IF(C165&lt;=$I$16, $I$17, "")</f>
        <v/>
      </c>
      <c r="O165" s="453" t="n"/>
      <c r="P165" s="453" t="n"/>
      <c r="Q165" s="453" t="n"/>
      <c r="R165" s="453" t="n"/>
      <c r="S165" s="453" t="n"/>
      <c r="T165" s="453" t="n"/>
      <c r="U165" s="453" t="n"/>
      <c r="V165" s="453" t="n"/>
      <c r="W165" s="453" t="n"/>
      <c r="X165" s="453" t="n"/>
      <c r="Y165" s="454" t="n"/>
      <c r="AD165" s="66" t="n">
        <v>33</v>
      </c>
      <c r="AE165" s="558">
        <f>D165</f>
        <v/>
      </c>
      <c r="AF165" s="453" t="n"/>
      <c r="AG165" s="453" t="n"/>
      <c r="AH165" s="453" t="n"/>
      <c r="AI165" s="453" t="n"/>
      <c r="AJ165" s="453" t="n"/>
      <c r="AK165" s="453" t="n"/>
      <c r="AL165" s="453" t="n"/>
      <c r="AM165" s="453" t="n"/>
      <c r="AN165" s="454" t="n"/>
      <c r="AO165" s="559">
        <f>AO164</f>
        <v/>
      </c>
      <c r="AP165" s="453" t="n"/>
      <c r="AQ165" s="453" t="n"/>
      <c r="AR165" s="453" t="n"/>
      <c r="AS165" s="453" t="n"/>
      <c r="AT165" s="453" t="n"/>
      <c r="AU165" s="453" t="n"/>
      <c r="AV165" s="453" t="n"/>
      <c r="AW165" s="453" t="n"/>
      <c r="AX165" s="453" t="n"/>
      <c r="AY165" s="453" t="n"/>
      <c r="AZ165" s="454" t="n"/>
      <c r="BE165" s="66" t="n">
        <v>33</v>
      </c>
      <c r="BF165" s="558">
        <f>AE165</f>
        <v/>
      </c>
      <c r="BG165" s="453" t="n"/>
      <c r="BH165" s="453" t="n"/>
      <c r="BI165" s="453" t="n"/>
      <c r="BJ165" s="453" t="n"/>
      <c r="BK165" s="453" t="n"/>
      <c r="BL165" s="453" t="n"/>
      <c r="BM165" s="453" t="n"/>
      <c r="BN165" s="453" t="n"/>
      <c r="BO165" s="454" t="n"/>
      <c r="BP165" s="407" t="n"/>
      <c r="BQ165" s="453" t="n"/>
      <c r="BR165" s="453" t="n"/>
      <c r="BS165" s="453" t="n"/>
      <c r="BT165" s="453" t="n"/>
      <c r="BU165" s="453" t="n"/>
      <c r="BV165" s="453" t="n"/>
      <c r="BW165" s="453" t="n"/>
      <c r="BX165" s="453" t="n"/>
      <c r="BY165" s="453" t="n"/>
      <c r="BZ165" s="453" t="n"/>
      <c r="CA165" s="453" t="n"/>
      <c r="CB165" s="453" t="n"/>
      <c r="CC165" s="454" t="n"/>
      <c r="CI165" s="481" t="n"/>
    </row>
    <row r="166">
      <c r="C166" s="66" t="n">
        <v>34</v>
      </c>
      <c r="D166" s="558">
        <f>IF(C166&lt;=$I$16, EDATE($D$6, C166-1), "")</f>
        <v/>
      </c>
      <c r="E166" s="453" t="n"/>
      <c r="F166" s="453" t="n"/>
      <c r="G166" s="453" t="n"/>
      <c r="H166" s="453" t="n"/>
      <c r="I166" s="453" t="n"/>
      <c r="J166" s="453" t="n"/>
      <c r="K166" s="453" t="n"/>
      <c r="L166" s="453" t="n"/>
      <c r="M166" s="454" t="n"/>
      <c r="N166" s="559">
        <f>IF(C166&lt;=$I$16, $I$17, "")</f>
        <v/>
      </c>
      <c r="O166" s="453" t="n"/>
      <c r="P166" s="453" t="n"/>
      <c r="Q166" s="453" t="n"/>
      <c r="R166" s="453" t="n"/>
      <c r="S166" s="453" t="n"/>
      <c r="T166" s="453" t="n"/>
      <c r="U166" s="453" t="n"/>
      <c r="V166" s="453" t="n"/>
      <c r="W166" s="453" t="n"/>
      <c r="X166" s="453" t="n"/>
      <c r="Y166" s="454" t="n"/>
      <c r="AD166" s="66" t="n">
        <v>34</v>
      </c>
      <c r="AE166" s="558">
        <f>D166</f>
        <v/>
      </c>
      <c r="AF166" s="453" t="n"/>
      <c r="AG166" s="453" t="n"/>
      <c r="AH166" s="453" t="n"/>
      <c r="AI166" s="453" t="n"/>
      <c r="AJ166" s="453" t="n"/>
      <c r="AK166" s="453" t="n"/>
      <c r="AL166" s="453" t="n"/>
      <c r="AM166" s="453" t="n"/>
      <c r="AN166" s="454" t="n"/>
      <c r="AO166" s="559">
        <f>AO165</f>
        <v/>
      </c>
      <c r="AP166" s="453" t="n"/>
      <c r="AQ166" s="453" t="n"/>
      <c r="AR166" s="453" t="n"/>
      <c r="AS166" s="453" t="n"/>
      <c r="AT166" s="453" t="n"/>
      <c r="AU166" s="453" t="n"/>
      <c r="AV166" s="453" t="n"/>
      <c r="AW166" s="453" t="n"/>
      <c r="AX166" s="453" t="n"/>
      <c r="AY166" s="453" t="n"/>
      <c r="AZ166" s="454" t="n"/>
      <c r="BE166" s="66" t="n">
        <v>34</v>
      </c>
      <c r="BF166" s="558">
        <f>AE166</f>
        <v/>
      </c>
      <c r="BG166" s="453" t="n"/>
      <c r="BH166" s="453" t="n"/>
      <c r="BI166" s="453" t="n"/>
      <c r="BJ166" s="453" t="n"/>
      <c r="BK166" s="453" t="n"/>
      <c r="BL166" s="453" t="n"/>
      <c r="BM166" s="453" t="n"/>
      <c r="BN166" s="453" t="n"/>
      <c r="BO166" s="454" t="n"/>
      <c r="BP166" s="407" t="n"/>
      <c r="BQ166" s="453" t="n"/>
      <c r="BR166" s="453" t="n"/>
      <c r="BS166" s="453" t="n"/>
      <c r="BT166" s="453" t="n"/>
      <c r="BU166" s="453" t="n"/>
      <c r="BV166" s="453" t="n"/>
      <c r="BW166" s="453" t="n"/>
      <c r="BX166" s="453" t="n"/>
      <c r="BY166" s="453" t="n"/>
      <c r="BZ166" s="453" t="n"/>
      <c r="CA166" s="453" t="n"/>
      <c r="CB166" s="453" t="n"/>
      <c r="CC166" s="454" t="n"/>
      <c r="CI166" s="481" t="n"/>
    </row>
    <row r="167">
      <c r="C167" s="66" t="n">
        <v>35</v>
      </c>
      <c r="D167" s="558">
        <f>IF(C167&lt;=$I$16, EDATE($D$6, C167-1), "")</f>
        <v/>
      </c>
      <c r="E167" s="453" t="n"/>
      <c r="F167" s="453" t="n"/>
      <c r="G167" s="453" t="n"/>
      <c r="H167" s="453" t="n"/>
      <c r="I167" s="453" t="n"/>
      <c r="J167" s="453" t="n"/>
      <c r="K167" s="453" t="n"/>
      <c r="L167" s="453" t="n"/>
      <c r="M167" s="454" t="n"/>
      <c r="N167" s="559">
        <f>IF(C167&lt;=$I$16, $I$17, "")</f>
        <v/>
      </c>
      <c r="O167" s="453" t="n"/>
      <c r="P167" s="453" t="n"/>
      <c r="Q167" s="453" t="n"/>
      <c r="R167" s="453" t="n"/>
      <c r="S167" s="453" t="n"/>
      <c r="T167" s="453" t="n"/>
      <c r="U167" s="453" t="n"/>
      <c r="V167" s="453" t="n"/>
      <c r="W167" s="453" t="n"/>
      <c r="X167" s="453" t="n"/>
      <c r="Y167" s="454" t="n"/>
      <c r="AD167" s="66" t="n">
        <v>35</v>
      </c>
      <c r="AE167" s="558">
        <f>D167</f>
        <v/>
      </c>
      <c r="AF167" s="453" t="n"/>
      <c r="AG167" s="453" t="n"/>
      <c r="AH167" s="453" t="n"/>
      <c r="AI167" s="453" t="n"/>
      <c r="AJ167" s="453" t="n"/>
      <c r="AK167" s="453" t="n"/>
      <c r="AL167" s="453" t="n"/>
      <c r="AM167" s="453" t="n"/>
      <c r="AN167" s="454" t="n"/>
      <c r="AO167" s="559">
        <f>AO166</f>
        <v/>
      </c>
      <c r="AP167" s="453" t="n"/>
      <c r="AQ167" s="453" t="n"/>
      <c r="AR167" s="453" t="n"/>
      <c r="AS167" s="453" t="n"/>
      <c r="AT167" s="453" t="n"/>
      <c r="AU167" s="453" t="n"/>
      <c r="AV167" s="453" t="n"/>
      <c r="AW167" s="453" t="n"/>
      <c r="AX167" s="453" t="n"/>
      <c r="AY167" s="453" t="n"/>
      <c r="AZ167" s="454" t="n"/>
      <c r="BE167" s="66" t="n">
        <v>35</v>
      </c>
      <c r="BF167" s="558">
        <f>AE167</f>
        <v/>
      </c>
      <c r="BG167" s="453" t="n"/>
      <c r="BH167" s="453" t="n"/>
      <c r="BI167" s="453" t="n"/>
      <c r="BJ167" s="453" t="n"/>
      <c r="BK167" s="453" t="n"/>
      <c r="BL167" s="453" t="n"/>
      <c r="BM167" s="453" t="n"/>
      <c r="BN167" s="453" t="n"/>
      <c r="BO167" s="454" t="n"/>
      <c r="BP167" s="407" t="n"/>
      <c r="BQ167" s="453" t="n"/>
      <c r="BR167" s="453" t="n"/>
      <c r="BS167" s="453" t="n"/>
      <c r="BT167" s="453" t="n"/>
      <c r="BU167" s="453" t="n"/>
      <c r="BV167" s="453" t="n"/>
      <c r="BW167" s="453" t="n"/>
      <c r="BX167" s="453" t="n"/>
      <c r="BY167" s="453" t="n"/>
      <c r="BZ167" s="453" t="n"/>
      <c r="CA167" s="453" t="n"/>
      <c r="CB167" s="453" t="n"/>
      <c r="CC167" s="454" t="n"/>
    </row>
    <row r="168">
      <c r="C168" s="66" t="n">
        <v>36</v>
      </c>
      <c r="D168" s="558">
        <f>IF(C168&lt;=$I$16, EDATE($D$6, C168-1), "")</f>
        <v/>
      </c>
      <c r="E168" s="453" t="n"/>
      <c r="F168" s="453" t="n"/>
      <c r="G168" s="453" t="n"/>
      <c r="H168" s="453" t="n"/>
      <c r="I168" s="453" t="n"/>
      <c r="J168" s="453" t="n"/>
      <c r="K168" s="453" t="n"/>
      <c r="L168" s="453" t="n"/>
      <c r="M168" s="454" t="n"/>
      <c r="N168" s="559">
        <f>IF(C168&lt;=$I$16, $I$17, "")</f>
        <v/>
      </c>
      <c r="O168" s="453" t="n"/>
      <c r="P168" s="453" t="n"/>
      <c r="Q168" s="453" t="n"/>
      <c r="R168" s="453" t="n"/>
      <c r="S168" s="453" t="n"/>
      <c r="T168" s="453" t="n"/>
      <c r="U168" s="453" t="n"/>
      <c r="V168" s="453" t="n"/>
      <c r="W168" s="453" t="n"/>
      <c r="X168" s="453" t="n"/>
      <c r="Y168" s="454" t="n"/>
      <c r="AD168" s="66" t="n">
        <v>36</v>
      </c>
      <c r="AE168" s="558">
        <f>D168</f>
        <v/>
      </c>
      <c r="AF168" s="453" t="n"/>
      <c r="AG168" s="453" t="n"/>
      <c r="AH168" s="453" t="n"/>
      <c r="AI168" s="453" t="n"/>
      <c r="AJ168" s="453" t="n"/>
      <c r="AK168" s="453" t="n"/>
      <c r="AL168" s="453" t="n"/>
      <c r="AM168" s="453" t="n"/>
      <c r="AN168" s="454" t="n"/>
      <c r="AO168" s="559">
        <f>AO167</f>
        <v/>
      </c>
      <c r="AP168" s="453" t="n"/>
      <c r="AQ168" s="453" t="n"/>
      <c r="AR168" s="453" t="n"/>
      <c r="AS168" s="453" t="n"/>
      <c r="AT168" s="453" t="n"/>
      <c r="AU168" s="453" t="n"/>
      <c r="AV168" s="453" t="n"/>
      <c r="AW168" s="453" t="n"/>
      <c r="AX168" s="453" t="n"/>
      <c r="AY168" s="453" t="n"/>
      <c r="AZ168" s="454" t="n"/>
      <c r="BE168" s="66" t="n">
        <v>36</v>
      </c>
      <c r="BF168" s="558">
        <f>AE168</f>
        <v/>
      </c>
      <c r="BG168" s="453" t="n"/>
      <c r="BH168" s="453" t="n"/>
      <c r="BI168" s="453" t="n"/>
      <c r="BJ168" s="453" t="n"/>
      <c r="BK168" s="453" t="n"/>
      <c r="BL168" s="453" t="n"/>
      <c r="BM168" s="453" t="n"/>
      <c r="BN168" s="453" t="n"/>
      <c r="BO168" s="454" t="n"/>
      <c r="BP168" s="407" t="n"/>
      <c r="BQ168" s="453" t="n"/>
      <c r="BR168" s="453" t="n"/>
      <c r="BS168" s="453" t="n"/>
      <c r="BT168" s="453" t="n"/>
      <c r="BU168" s="453" t="n"/>
      <c r="BV168" s="453" t="n"/>
      <c r="BW168" s="453" t="n"/>
      <c r="BX168" s="453" t="n"/>
      <c r="BY168" s="453" t="n"/>
      <c r="BZ168" s="453" t="n"/>
      <c r="CA168" s="453" t="n"/>
      <c r="CB168" s="453" t="n"/>
      <c r="CC168" s="454" t="n"/>
    </row>
    <row r="170">
      <c r="C170" s="388" t="n"/>
    </row>
    <row r="171">
      <c r="C171" s="388" t="n"/>
    </row>
  </sheetData>
  <mergeCells count="456">
    <mergeCell ref="O90:U95"/>
    <mergeCell ref="C98:C112"/>
    <mergeCell ref="I9:Y9"/>
    <mergeCell ref="Y42:Y47"/>
    <mergeCell ref="AF114:AF120"/>
    <mergeCell ref="BE17:BK17"/>
    <mergeCell ref="AR58:AR63"/>
    <mergeCell ref="N148:Y148"/>
    <mergeCell ref="AE148:AN148"/>
    <mergeCell ref="D133:M133"/>
    <mergeCell ref="I11:Y11"/>
    <mergeCell ref="AJ32:AP32"/>
    <mergeCell ref="BE19:BK19"/>
    <mergeCell ref="BF142:BO142"/>
    <mergeCell ref="AJ66:AJ80"/>
    <mergeCell ref="E122:E129"/>
    <mergeCell ref="G122:G129"/>
    <mergeCell ref="BF144:BO144"/>
    <mergeCell ref="C13:H13"/>
    <mergeCell ref="AZ50:AZ55"/>
    <mergeCell ref="AT50:AT55"/>
    <mergeCell ref="C15:H15"/>
    <mergeCell ref="AE160:AN160"/>
    <mergeCell ref="AE141:AN141"/>
    <mergeCell ref="AE132:AN132"/>
    <mergeCell ref="N159:Y159"/>
    <mergeCell ref="N134:Y134"/>
    <mergeCell ref="BL18:CB18"/>
    <mergeCell ref="Y66:Y71"/>
    <mergeCell ref="C10:H10"/>
    <mergeCell ref="AE161:AN161"/>
    <mergeCell ref="N161:Y161"/>
    <mergeCell ref="D146:M146"/>
    <mergeCell ref="AE136:AN136"/>
    <mergeCell ref="AD82:AD96"/>
    <mergeCell ref="AF82:AF96"/>
    <mergeCell ref="BF163:BO163"/>
    <mergeCell ref="BP134:CC134"/>
    <mergeCell ref="AH114:AH120"/>
    <mergeCell ref="O98:U103"/>
    <mergeCell ref="BK31:CB32"/>
    <mergeCell ref="BF138:BO138"/>
    <mergeCell ref="BF132:BO132"/>
    <mergeCell ref="BE30:BH30"/>
    <mergeCell ref="AH34:AH48"/>
    <mergeCell ref="AJ34:AJ48"/>
    <mergeCell ref="AH122:AH129"/>
    <mergeCell ref="BE20:BK20"/>
    <mergeCell ref="O66:S71"/>
    <mergeCell ref="E50:E64"/>
    <mergeCell ref="D136:M136"/>
    <mergeCell ref="G50:G64"/>
    <mergeCell ref="AE156:AN156"/>
    <mergeCell ref="I50:I64"/>
    <mergeCell ref="C82:C96"/>
    <mergeCell ref="O82:U87"/>
    <mergeCell ref="AX58:AX63"/>
    <mergeCell ref="AZ58:AZ63"/>
    <mergeCell ref="BF160:BO160"/>
    <mergeCell ref="BF147:BO147"/>
    <mergeCell ref="AP13:AZ13"/>
    <mergeCell ref="AE151:AN151"/>
    <mergeCell ref="AI31:AR31"/>
    <mergeCell ref="BL17:CB17"/>
    <mergeCell ref="AE167:AN167"/>
    <mergeCell ref="N167:Y167"/>
    <mergeCell ref="W34:W39"/>
    <mergeCell ref="AE133:AN133"/>
    <mergeCell ref="AP74:AT79"/>
    <mergeCell ref="BL19:CB19"/>
    <mergeCell ref="AP8:AZ8"/>
    <mergeCell ref="N162:Y162"/>
    <mergeCell ref="AP10:AZ10"/>
    <mergeCell ref="AP90:AV95"/>
    <mergeCell ref="D155:M155"/>
    <mergeCell ref="D149:M149"/>
    <mergeCell ref="BF140:BO140"/>
    <mergeCell ref="AO142:AZ142"/>
    <mergeCell ref="I98:I112"/>
    <mergeCell ref="D151:M151"/>
    <mergeCell ref="AO144:AZ144"/>
    <mergeCell ref="BP162:CC162"/>
    <mergeCell ref="BP137:CC137"/>
    <mergeCell ref="D150:M150"/>
    <mergeCell ref="BF141:BO141"/>
    <mergeCell ref="BP139:CC139"/>
    <mergeCell ref="BF143:BO143"/>
    <mergeCell ref="AE155:AN155"/>
    <mergeCell ref="AE146:AN146"/>
    <mergeCell ref="C114:C120"/>
    <mergeCell ref="U58:U60"/>
    <mergeCell ref="AE157:AN157"/>
    <mergeCell ref="BF168:BO168"/>
    <mergeCell ref="G66:G80"/>
    <mergeCell ref="I66:I80"/>
    <mergeCell ref="AP98:AV103"/>
    <mergeCell ref="AP42:AP47"/>
    <mergeCell ref="Y82:Y87"/>
    <mergeCell ref="BF159:BO159"/>
    <mergeCell ref="BF153:BO153"/>
    <mergeCell ref="BP132:CC132"/>
    <mergeCell ref="D139:M139"/>
    <mergeCell ref="W50:W55"/>
    <mergeCell ref="BF154:BO154"/>
    <mergeCell ref="BL20:CB20"/>
    <mergeCell ref="N145:Y145"/>
    <mergeCell ref="N139:Y139"/>
    <mergeCell ref="W42:W47"/>
    <mergeCell ref="O42:O47"/>
    <mergeCell ref="I8:Y8"/>
    <mergeCell ref="AD8:AO8"/>
    <mergeCell ref="I10:Y10"/>
    <mergeCell ref="AP106:AV111"/>
    <mergeCell ref="D165:M165"/>
    <mergeCell ref="BP145:CC145"/>
    <mergeCell ref="D152:M152"/>
    <mergeCell ref="AO145:AZ145"/>
    <mergeCell ref="BP160:CC160"/>
    <mergeCell ref="BP147:CC147"/>
    <mergeCell ref="BL13:CB13"/>
    <mergeCell ref="AZ74:AZ79"/>
    <mergeCell ref="AO147:AZ147"/>
    <mergeCell ref="N132:Y132"/>
    <mergeCell ref="AE154:AN154"/>
    <mergeCell ref="D4:L4"/>
    <mergeCell ref="U74:U76"/>
    <mergeCell ref="N133:Y133"/>
    <mergeCell ref="W90:W95"/>
    <mergeCell ref="AT34:AT39"/>
    <mergeCell ref="Y90:Y95"/>
    <mergeCell ref="AO163:AZ163"/>
    <mergeCell ref="N135:Y135"/>
    <mergeCell ref="D163:M163"/>
    <mergeCell ref="C34:C48"/>
    <mergeCell ref="BP158:CC158"/>
    <mergeCell ref="N164:Y164"/>
    <mergeCell ref="AX42:AX47"/>
    <mergeCell ref="AZ42:AZ47"/>
    <mergeCell ref="BF162:BO162"/>
    <mergeCell ref="AR42:AR47"/>
    <mergeCell ref="BF156:BO156"/>
    <mergeCell ref="BP133:CC133"/>
    <mergeCell ref="C171:CC171"/>
    <mergeCell ref="AO158:AZ158"/>
    <mergeCell ref="BE46:CB49"/>
    <mergeCell ref="AD10:AO10"/>
    <mergeCell ref="BF164:BO164"/>
    <mergeCell ref="BP135:CC135"/>
    <mergeCell ref="AO160:AZ160"/>
    <mergeCell ref="AE142:AN142"/>
    <mergeCell ref="O74:S79"/>
    <mergeCell ref="AE144:AN144"/>
    <mergeCell ref="N146:Y146"/>
    <mergeCell ref="AV50:AV52"/>
    <mergeCell ref="AP50:AP55"/>
    <mergeCell ref="D158:M158"/>
    <mergeCell ref="BP161:CC161"/>
    <mergeCell ref="BP148:CC148"/>
    <mergeCell ref="BP153:CC153"/>
    <mergeCell ref="I82:I96"/>
    <mergeCell ref="D160:M160"/>
    <mergeCell ref="AO148:AZ148"/>
    <mergeCell ref="BP146:CC146"/>
    <mergeCell ref="W58:W63"/>
    <mergeCell ref="N160:Y160"/>
    <mergeCell ref="AZ90:AZ95"/>
    <mergeCell ref="BK30:CB30"/>
    <mergeCell ref="N141:Y141"/>
    <mergeCell ref="AE135:AN135"/>
    <mergeCell ref="C7:Y7"/>
    <mergeCell ref="BE12:BK12"/>
    <mergeCell ref="N143:Y143"/>
    <mergeCell ref="BF137:BO137"/>
    <mergeCell ref="N136:Y136"/>
    <mergeCell ref="AX50:AX55"/>
    <mergeCell ref="BE13:BK13"/>
    <mergeCell ref="BE14:BK15"/>
    <mergeCell ref="BP141:CC141"/>
    <mergeCell ref="AO166:AZ166"/>
    <mergeCell ref="D148:M148"/>
    <mergeCell ref="BP159:CC159"/>
    <mergeCell ref="BL9:CB9"/>
    <mergeCell ref="C8:H8"/>
    <mergeCell ref="BP143:CC143"/>
    <mergeCell ref="AO168:AZ168"/>
    <mergeCell ref="AO167:AZ167"/>
    <mergeCell ref="BP136:CC136"/>
    <mergeCell ref="BL11:CB11"/>
    <mergeCell ref="BP151:CC151"/>
    <mergeCell ref="N154:Y154"/>
    <mergeCell ref="AV58:AV60"/>
    <mergeCell ref="AD114:AD120"/>
    <mergeCell ref="AD17:AO17"/>
    <mergeCell ref="N156:Y156"/>
    <mergeCell ref="D134:M134"/>
    <mergeCell ref="AD122:AD129"/>
    <mergeCell ref="BP154:CC154"/>
    <mergeCell ref="D167:M167"/>
    <mergeCell ref="D161:M161"/>
    <mergeCell ref="N151:Y151"/>
    <mergeCell ref="K114:S120"/>
    <mergeCell ref="BP164:CC164"/>
    <mergeCell ref="U42:U44"/>
    <mergeCell ref="BP156:CC156"/>
    <mergeCell ref="C50:C64"/>
    <mergeCell ref="AO162:AZ162"/>
    <mergeCell ref="AO156:AZ156"/>
    <mergeCell ref="W74:W79"/>
    <mergeCell ref="AE163:AN163"/>
    <mergeCell ref="Y74:Y79"/>
    <mergeCell ref="BE31:BH32"/>
    <mergeCell ref="AP82:AV87"/>
    <mergeCell ref="AH98:AH112"/>
    <mergeCell ref="BP167:CC167"/>
    <mergeCell ref="BE7:CB7"/>
    <mergeCell ref="Q34:Q39"/>
    <mergeCell ref="S34:S39"/>
    <mergeCell ref="C18:H18"/>
    <mergeCell ref="AD50:AD64"/>
    <mergeCell ref="AF50:AF64"/>
    <mergeCell ref="AF122:AF129"/>
    <mergeCell ref="O106:U111"/>
    <mergeCell ref="BL12:CB12"/>
    <mergeCell ref="AD19:AO19"/>
    <mergeCell ref="N155:Y155"/>
    <mergeCell ref="AF34:AF48"/>
    <mergeCell ref="C9:H9"/>
    <mergeCell ref="AV34:AV36"/>
    <mergeCell ref="E98:E112"/>
    <mergeCell ref="G98:G112"/>
    <mergeCell ref="N157:Y157"/>
    <mergeCell ref="D142:M142"/>
    <mergeCell ref="BF133:BO133"/>
    <mergeCell ref="AV74:AV76"/>
    <mergeCell ref="C11:H11"/>
    <mergeCell ref="D144:M144"/>
    <mergeCell ref="BF135:BO135"/>
    <mergeCell ref="AO137:AZ137"/>
    <mergeCell ref="BP155:CC155"/>
    <mergeCell ref="U50:U52"/>
    <mergeCell ref="AD30:AH30"/>
    <mergeCell ref="AX66:AX71"/>
    <mergeCell ref="AZ66:AZ71"/>
    <mergeCell ref="AO139:AZ139"/>
    <mergeCell ref="BP157:CC157"/>
    <mergeCell ref="C170:CC170"/>
    <mergeCell ref="BF136:BO136"/>
    <mergeCell ref="AJ98:AJ112"/>
    <mergeCell ref="I32:O32"/>
    <mergeCell ref="AD9:AO9"/>
    <mergeCell ref="AO132:AZ132"/>
    <mergeCell ref="C66:C80"/>
    <mergeCell ref="E66:E80"/>
    <mergeCell ref="AE150:AN150"/>
    <mergeCell ref="W82:W87"/>
    <mergeCell ref="AP16:AZ16"/>
    <mergeCell ref="AE152:AN152"/>
    <mergeCell ref="D137:M137"/>
    <mergeCell ref="AI30:AT30"/>
    <mergeCell ref="BF146:BO146"/>
    <mergeCell ref="AP18:AZ18"/>
    <mergeCell ref="S50:S55"/>
    <mergeCell ref="AF66:AF80"/>
    <mergeCell ref="BE131:CC131"/>
    <mergeCell ref="N147:Y147"/>
    <mergeCell ref="AE147:AN147"/>
    <mergeCell ref="D132:M132"/>
    <mergeCell ref="AH82:AH96"/>
    <mergeCell ref="AJ82:AJ96"/>
    <mergeCell ref="BE18:BK18"/>
    <mergeCell ref="AE134:AN134"/>
    <mergeCell ref="C19:H19"/>
    <mergeCell ref="BL14:CB15"/>
    <mergeCell ref="AP11:AZ11"/>
    <mergeCell ref="H30:S30"/>
    <mergeCell ref="AV42:AV44"/>
    <mergeCell ref="BP138:CC138"/>
    <mergeCell ref="AT58:AT63"/>
    <mergeCell ref="D145:M145"/>
    <mergeCell ref="C14:H14"/>
    <mergeCell ref="AE165:AN165"/>
    <mergeCell ref="AO138:AZ138"/>
    <mergeCell ref="AX74:AX79"/>
    <mergeCell ref="I34:I48"/>
    <mergeCell ref="D147:M147"/>
    <mergeCell ref="U66:U68"/>
    <mergeCell ref="AO140:AZ140"/>
    <mergeCell ref="C131:Y131"/>
    <mergeCell ref="BL8:CB8"/>
    <mergeCell ref="BL10:CB10"/>
    <mergeCell ref="C26:Y26"/>
    <mergeCell ref="D138:M138"/>
    <mergeCell ref="Q58:Q63"/>
    <mergeCell ref="AT42:AT47"/>
    <mergeCell ref="AD34:AD48"/>
    <mergeCell ref="I16:Y16"/>
    <mergeCell ref="AH50:AH64"/>
    <mergeCell ref="AP19:AZ19"/>
    <mergeCell ref="D140:M140"/>
    <mergeCell ref="D5:L5"/>
    <mergeCell ref="I18:Y18"/>
    <mergeCell ref="BF155:BO155"/>
    <mergeCell ref="AJ114:AJ120"/>
    <mergeCell ref="BF149:BO149"/>
    <mergeCell ref="C2:CB2"/>
    <mergeCell ref="BF157:BO157"/>
    <mergeCell ref="BF151:BO151"/>
    <mergeCell ref="AO153:AZ153"/>
    <mergeCell ref="D141:M141"/>
    <mergeCell ref="D135:M135"/>
    <mergeCell ref="C122:C129"/>
    <mergeCell ref="BF150:BO150"/>
    <mergeCell ref="AX82:AX87"/>
    <mergeCell ref="AZ82:AZ87"/>
    <mergeCell ref="BF165:BO165"/>
    <mergeCell ref="BF152:BO152"/>
    <mergeCell ref="AE137:AN137"/>
    <mergeCell ref="AP12:AZ12"/>
    <mergeCell ref="E82:E96"/>
    <mergeCell ref="G82:G96"/>
    <mergeCell ref="AE139:AN139"/>
    <mergeCell ref="AE166:AN166"/>
    <mergeCell ref="N166:Y166"/>
    <mergeCell ref="AP14:AZ14"/>
    <mergeCell ref="G114:G120"/>
    <mergeCell ref="I114:I120"/>
    <mergeCell ref="S58:S63"/>
    <mergeCell ref="AE168:AN168"/>
    <mergeCell ref="D153:M153"/>
    <mergeCell ref="AO141:AZ141"/>
    <mergeCell ref="AO146:AZ146"/>
    <mergeCell ref="AE143:AN143"/>
    <mergeCell ref="AO143:AZ143"/>
    <mergeCell ref="AD16:AO16"/>
    <mergeCell ref="W66:W71"/>
    <mergeCell ref="BF145:BO145"/>
    <mergeCell ref="BF139:BO139"/>
    <mergeCell ref="AD18:AO18"/>
    <mergeCell ref="I17:Y17"/>
    <mergeCell ref="D166:M166"/>
    <mergeCell ref="AD7:AZ7"/>
    <mergeCell ref="AO159:AZ159"/>
    <mergeCell ref="I19:Y19"/>
    <mergeCell ref="AH66:AH80"/>
    <mergeCell ref="D168:M168"/>
    <mergeCell ref="AD131:AZ131"/>
    <mergeCell ref="AO161:AZ161"/>
    <mergeCell ref="D143:M143"/>
    <mergeCell ref="AO136:AZ136"/>
    <mergeCell ref="AO154:AZ154"/>
    <mergeCell ref="AX90:AX95"/>
    <mergeCell ref="AP9:AZ9"/>
    <mergeCell ref="AD11:AO11"/>
    <mergeCell ref="AP20:AZ20"/>
    <mergeCell ref="AE138:AN138"/>
    <mergeCell ref="AP34:AP39"/>
    <mergeCell ref="BF158:BO158"/>
    <mergeCell ref="AR34:AR39"/>
    <mergeCell ref="D159:M159"/>
    <mergeCell ref="N149:Y149"/>
    <mergeCell ref="AV66:AV68"/>
    <mergeCell ref="AE153:AN153"/>
    <mergeCell ref="I12:Y12"/>
    <mergeCell ref="H31:Q31"/>
    <mergeCell ref="N142:Y142"/>
    <mergeCell ref="Y34:Y39"/>
    <mergeCell ref="AP15:AZ15"/>
    <mergeCell ref="I14:Y14"/>
    <mergeCell ref="AP66:AT71"/>
    <mergeCell ref="D154:M154"/>
    <mergeCell ref="N144:Y144"/>
    <mergeCell ref="BP149:CC149"/>
    <mergeCell ref="D162:M162"/>
    <mergeCell ref="D156:M156"/>
    <mergeCell ref="AO155:AZ155"/>
    <mergeCell ref="AO149:AZ149"/>
    <mergeCell ref="BP142:CC142"/>
    <mergeCell ref="AD98:AD112"/>
    <mergeCell ref="C16:H16"/>
    <mergeCell ref="AO151:AZ151"/>
    <mergeCell ref="O34:O39"/>
    <mergeCell ref="AE158:AN158"/>
    <mergeCell ref="BE8:BK8"/>
    <mergeCell ref="BF161:BO161"/>
    <mergeCell ref="BP144:CC144"/>
    <mergeCell ref="D157:M157"/>
    <mergeCell ref="BF148:BO148"/>
    <mergeCell ref="AO150:AZ150"/>
    <mergeCell ref="BE10:BK10"/>
    <mergeCell ref="AE162:AN162"/>
    <mergeCell ref="N137:Y137"/>
    <mergeCell ref="Q42:Q47"/>
    <mergeCell ref="AE164:AN164"/>
    <mergeCell ref="AO164:AZ164"/>
    <mergeCell ref="AD12:AO12"/>
    <mergeCell ref="BF166:BO166"/>
    <mergeCell ref="AD20:AO20"/>
    <mergeCell ref="AD14:AO14"/>
    <mergeCell ref="N150:Y150"/>
    <mergeCell ref="I13:Y13"/>
    <mergeCell ref="AD13:AO13"/>
    <mergeCell ref="AR50:AR55"/>
    <mergeCell ref="N165:Y165"/>
    <mergeCell ref="N152:Y152"/>
    <mergeCell ref="E114:E120"/>
    <mergeCell ref="I15:Y15"/>
    <mergeCell ref="AD15:AO15"/>
    <mergeCell ref="AF98:AF112"/>
    <mergeCell ref="D164:M164"/>
    <mergeCell ref="BP163:CC163"/>
    <mergeCell ref="AO157:AZ157"/>
    <mergeCell ref="S42:S47"/>
    <mergeCell ref="BP150:CC150"/>
    <mergeCell ref="BP165:CC165"/>
    <mergeCell ref="C17:H17"/>
    <mergeCell ref="BP152:CC152"/>
    <mergeCell ref="AO165:AZ165"/>
    <mergeCell ref="AO152:AZ152"/>
    <mergeCell ref="AE159:AN159"/>
    <mergeCell ref="O50:O55"/>
    <mergeCell ref="AE145:AN145"/>
    <mergeCell ref="AL114:AT120"/>
    <mergeCell ref="N163:Y163"/>
    <mergeCell ref="AD66:AD80"/>
    <mergeCell ref="BE39:CB45"/>
    <mergeCell ref="N138:Y138"/>
    <mergeCell ref="AJ50:AJ64"/>
    <mergeCell ref="BE9:BK9"/>
    <mergeCell ref="N140:Y140"/>
    <mergeCell ref="AE140:AN140"/>
    <mergeCell ref="BE11:BK11"/>
    <mergeCell ref="AO134:AZ134"/>
    <mergeCell ref="BF134:BO134"/>
    <mergeCell ref="BF167:BO167"/>
    <mergeCell ref="AX34:AX39"/>
    <mergeCell ref="AZ34:AZ39"/>
    <mergeCell ref="C12:H12"/>
    <mergeCell ref="AP58:AP63"/>
    <mergeCell ref="BP140:CC140"/>
    <mergeCell ref="E34:E48"/>
    <mergeCell ref="G34:G48"/>
    <mergeCell ref="Y58:Y63"/>
    <mergeCell ref="U34:U36"/>
    <mergeCell ref="N158:Y158"/>
    <mergeCell ref="Y50:Y55"/>
    <mergeCell ref="Q50:Q55"/>
    <mergeCell ref="N168:Y168"/>
    <mergeCell ref="AE149:AN149"/>
    <mergeCell ref="AO133:AZ133"/>
    <mergeCell ref="N153:Y153"/>
    <mergeCell ref="BP166:CC166"/>
    <mergeCell ref="AO135:AZ135"/>
    <mergeCell ref="AD26:AZ26"/>
    <mergeCell ref="AP17:AZ17"/>
    <mergeCell ref="O58:O63"/>
    <mergeCell ref="BP168:CC168"/>
  </mergeCells>
  <pageMargins left="0.2755905511811023" right="0.2755905511811023" top="0.2755905511811023" bottom="0.2755905511811023" header="0.1181102362204724" footer="0.1181102362204724"/>
  <pageSetup orientation="landscape" paperSize="9" scale="60" fitToHeight="0" fitToWidth="1" horizontalDpi="300" verticalDpi="300"/>
  <headerFooter alignWithMargins="0">
    <oddHeader>&amp;C&amp;"Calibri,Bold"&amp;14 Cálculo de Ação Crefaz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CL180"/>
  <sheetViews>
    <sheetView showGridLines="0" topLeftCell="C1" zoomScaleNormal="100" zoomScaleSheetLayoutView="115" workbookViewId="0">
      <selection activeCell="BL9" sqref="BL9:CB9"/>
    </sheetView>
  </sheetViews>
  <sheetFormatPr baseColWidth="8" defaultColWidth="0.7109375" defaultRowHeight="13.5"/>
  <cols>
    <col width="3.42578125" customWidth="1" style="1" min="1" max="1"/>
    <col width="1" customWidth="1" style="1" min="2" max="2"/>
    <col width="17.42578125" customWidth="1" style="1" min="3" max="3"/>
    <col width="1" customWidth="1" style="1" min="4" max="6"/>
    <col width="10.42578125" customWidth="1" style="1" min="7" max="7"/>
    <col width="0.7109375" customWidth="1" style="1" min="8" max="8"/>
    <col width="1.5703125" customWidth="1" style="1" min="9" max="9"/>
    <col width="0.7109375" customWidth="1" style="1" min="10" max="11"/>
    <col width="3.28515625" customWidth="1" style="1" min="12" max="12"/>
    <col width="0.7109375" customWidth="1" style="1" min="13" max="14"/>
    <col width="2.140625" customWidth="1" style="1" min="15" max="15"/>
    <col width="0.7109375" customWidth="1" style="1" min="16" max="16"/>
    <col width="1.5703125" customWidth="1" style="1" min="17" max="17"/>
    <col width="0.7109375" customWidth="1" style="1" min="18" max="18"/>
    <col width="6" customWidth="1" style="1" min="19" max="19"/>
    <col width="0.7109375" customWidth="1" style="1" min="20" max="20"/>
    <col width="2.42578125" customWidth="1" style="1" min="21" max="21"/>
    <col width="0.7109375" customWidth="1" style="1" min="22" max="22"/>
    <col width="1.5703125" customWidth="1" style="1" min="23" max="23"/>
    <col width="0.7109375" customWidth="1" style="1" min="24" max="24"/>
    <col width="6.140625" customWidth="1" style="1" min="25" max="25"/>
    <col width="0.7109375" customWidth="1" style="1" min="26" max="28"/>
    <col width="1.5703125" customWidth="1" style="1" min="29" max="29"/>
    <col width="12.7109375" customWidth="1" style="1" min="30" max="30"/>
    <col width="0.7109375" customWidth="1" style="1" min="31" max="31"/>
    <col width="2.28515625" customWidth="1" style="1" min="32" max="32"/>
    <col width="0.7109375" customWidth="1" style="1" min="33" max="33"/>
    <col width="13.5703125" customWidth="1" style="1" min="34" max="34"/>
    <col width="0.7109375" customWidth="1" style="1" min="35" max="35"/>
    <col width="1.5703125" customWidth="1" style="1" min="36" max="36"/>
    <col width="0.7109375" customWidth="1" style="1" min="37" max="41"/>
    <col width="2.140625" customWidth="1" style="1" min="42" max="42"/>
    <col width="0.7109375" customWidth="1" style="1" min="43" max="43"/>
    <col width="1.5703125" customWidth="1" style="1" min="44" max="44"/>
    <col width="0.7109375" customWidth="1" style="1" min="45" max="45"/>
    <col width="5.85546875" customWidth="1" style="1" min="46" max="46"/>
    <col width="0.7109375" customWidth="1" style="1" min="47" max="47"/>
    <col width="2.28515625" customWidth="1" style="1" min="48" max="48"/>
    <col width="0.7109375" customWidth="1" style="1" min="49" max="49"/>
    <col width="1.5703125" customWidth="1" style="1" min="50" max="50"/>
    <col width="0.7109375" customWidth="1" style="1" min="51" max="51"/>
    <col width="5.85546875" customWidth="1" style="1" min="52" max="52"/>
    <col width="0.7109375" customWidth="1" style="1" min="53" max="56"/>
    <col width="21" customWidth="1" style="1" min="57" max="57"/>
    <col hidden="1" width="0.7109375" customWidth="1" style="1" min="58" max="58"/>
    <col width="2.28515625" customWidth="1" style="1" min="59" max="59"/>
    <col width="4.42578125" customWidth="1" style="1" min="60" max="60"/>
    <col width="1.7109375" customWidth="1" style="1" min="61" max="61"/>
    <col hidden="1" width="7.42578125" customWidth="1" style="1" min="62" max="62"/>
    <col width="2.140625" customWidth="1" style="1" min="63" max="63"/>
    <col width="4.5703125" customWidth="1" style="1" min="64" max="64"/>
    <col width="0.7109375" customWidth="1" style="1" min="65" max="65"/>
    <col width="1.5703125" customWidth="1" style="1" min="66" max="66"/>
    <col width="0.7109375" customWidth="1" style="1" min="67" max="71"/>
    <col width="2.140625" customWidth="1" style="1" min="72" max="72"/>
    <col width="0.7109375" customWidth="1" style="1" min="73" max="73"/>
    <col width="1.5703125" customWidth="1" style="1" min="74" max="74"/>
    <col width="0.7109375" customWidth="1" style="1" min="75" max="75"/>
    <col width="4.42578125" customWidth="1" style="1" min="76" max="76"/>
    <col width="0.7109375" customWidth="1" style="1" min="77" max="77"/>
    <col width="4" customWidth="1" style="1" min="78" max="78"/>
    <col width="0.7109375" customWidth="1" style="1" min="79" max="79"/>
    <col width="1.5703125" customWidth="1" style="1" min="80" max="80"/>
    <col width="0.7109375" customWidth="1" style="1" min="81" max="81"/>
    <col width="10" bestFit="1" customWidth="1" style="1" min="82" max="82"/>
    <col width="12.5703125" customWidth="1" style="3" min="83" max="83"/>
    <col width="0.7109375" customWidth="1" style="1" min="84" max="86"/>
    <col width="12.42578125" customWidth="1" style="5" min="87" max="87"/>
    <col width="6.28515625" customWidth="1" style="1" min="88" max="88"/>
    <col width="12.5703125" customWidth="1" style="3" min="89" max="89"/>
    <col width="13.28515625" customWidth="1" style="5" min="90" max="90"/>
    <col width="0.7109375" customWidth="1" style="1" min="91" max="303"/>
    <col width="3.42578125" customWidth="1" style="1" min="304" max="304"/>
    <col width="2.42578125" customWidth="1" style="1" min="305" max="305"/>
    <col width="7" customWidth="1" style="1" min="306" max="306"/>
    <col width="0.7109375" customWidth="1" style="1" min="307" max="307"/>
    <col width="1.5703125" customWidth="1" style="1" min="308" max="308"/>
    <col width="0.7109375" customWidth="1" style="1" min="309" max="309"/>
    <col width="11.28515625" customWidth="1" style="1" min="310" max="310"/>
    <col width="0.7109375" customWidth="1" style="1" min="311" max="311"/>
    <col width="1.5703125" customWidth="1" style="1" min="312" max="312"/>
    <col width="0.7109375" customWidth="1" style="1" min="313" max="317"/>
    <col width="2.140625" customWidth="1" style="1" min="318" max="318"/>
    <col width="0.7109375" customWidth="1" style="1" min="319" max="319"/>
    <col width="1.5703125" customWidth="1" style="1" min="320" max="320"/>
    <col width="0.7109375" customWidth="1" style="1" min="321" max="321"/>
    <col width="7" bestFit="1" customWidth="1" style="1" min="322" max="322"/>
    <col width="0.7109375" customWidth="1" style="1" min="323" max="323"/>
    <col width="4" customWidth="1" style="1" min="324" max="324"/>
    <col width="0.7109375" customWidth="1" style="1" min="325" max="325"/>
    <col width="1.5703125" customWidth="1" style="1" min="326" max="326"/>
    <col width="0.7109375" customWidth="1" style="1" min="327" max="327"/>
    <col width="7" bestFit="1" customWidth="1" style="1" min="328" max="328"/>
    <col width="0.7109375" customWidth="1" style="1" min="329" max="331"/>
    <col width="2.42578125" customWidth="1" style="1" min="332" max="332"/>
    <col width="0.7109375" customWidth="1" style="1" min="333" max="338"/>
    <col width="16.5703125" customWidth="1" style="1" min="339" max="339"/>
    <col width="0.7109375" customWidth="1" style="1" min="340" max="342"/>
    <col width="9.85546875" bestFit="1" customWidth="1" style="1" min="343" max="343"/>
    <col width="9.28515625" customWidth="1" style="1" min="344" max="346"/>
    <col width="0.7109375" customWidth="1" style="1" min="347" max="559"/>
    <col width="3.42578125" customWidth="1" style="1" min="560" max="560"/>
    <col width="2.42578125" customWidth="1" style="1" min="561" max="561"/>
    <col width="7" customWidth="1" style="1" min="562" max="562"/>
    <col width="0.7109375" customWidth="1" style="1" min="563" max="563"/>
    <col width="1.5703125" customWidth="1" style="1" min="564" max="564"/>
    <col width="0.7109375" customWidth="1" style="1" min="565" max="565"/>
    <col width="11.28515625" customWidth="1" style="1" min="566" max="566"/>
    <col width="0.7109375" customWidth="1" style="1" min="567" max="567"/>
    <col width="1.5703125" customWidth="1" style="1" min="568" max="568"/>
    <col width="0.7109375" customWidth="1" style="1" min="569" max="573"/>
    <col width="2.140625" customWidth="1" style="1" min="574" max="574"/>
    <col width="0.7109375" customWidth="1" style="1" min="575" max="575"/>
    <col width="1.5703125" customWidth="1" style="1" min="576" max="576"/>
    <col width="0.7109375" customWidth="1" style="1" min="577" max="577"/>
    <col width="7" bestFit="1" customWidth="1" style="1" min="578" max="578"/>
    <col width="0.7109375" customWidth="1" style="1" min="579" max="579"/>
    <col width="4" customWidth="1" style="1" min="580" max="580"/>
    <col width="0.7109375" customWidth="1" style="1" min="581" max="581"/>
    <col width="1.5703125" customWidth="1" style="1" min="582" max="582"/>
    <col width="0.7109375" customWidth="1" style="1" min="583" max="583"/>
    <col width="7" bestFit="1" customWidth="1" style="1" min="584" max="584"/>
    <col width="0.7109375" customWidth="1" style="1" min="585" max="587"/>
    <col width="2.42578125" customWidth="1" style="1" min="588" max="588"/>
    <col width="0.7109375" customWidth="1" style="1" min="589" max="594"/>
    <col width="16.5703125" customWidth="1" style="1" min="595" max="595"/>
    <col width="0.7109375" customWidth="1" style="1" min="596" max="598"/>
    <col width="9.85546875" bestFit="1" customWidth="1" style="1" min="599" max="599"/>
    <col width="9.28515625" customWidth="1" style="1" min="600" max="602"/>
    <col width="0.7109375" customWidth="1" style="1" min="603" max="815"/>
    <col width="3.42578125" customWidth="1" style="1" min="816" max="816"/>
    <col width="2.42578125" customWidth="1" style="1" min="817" max="817"/>
    <col width="7" customWidth="1" style="1" min="818" max="818"/>
    <col width="0.7109375" customWidth="1" style="1" min="819" max="819"/>
    <col width="1.5703125" customWidth="1" style="1" min="820" max="820"/>
    <col width="0.7109375" customWidth="1" style="1" min="821" max="821"/>
    <col width="11.28515625" customWidth="1" style="1" min="822" max="822"/>
    <col width="0.7109375" customWidth="1" style="1" min="823" max="823"/>
    <col width="1.5703125" customWidth="1" style="1" min="824" max="824"/>
    <col width="0.7109375" customWidth="1" style="1" min="825" max="829"/>
    <col width="2.140625" customWidth="1" style="1" min="830" max="830"/>
    <col width="0.7109375" customWidth="1" style="1" min="831" max="831"/>
    <col width="1.5703125" customWidth="1" style="1" min="832" max="832"/>
    <col width="0.7109375" customWidth="1" style="1" min="833" max="833"/>
    <col width="7" bestFit="1" customWidth="1" style="1" min="834" max="834"/>
    <col width="0.7109375" customWidth="1" style="1" min="835" max="835"/>
    <col width="4" customWidth="1" style="1" min="836" max="836"/>
    <col width="0.7109375" customWidth="1" style="1" min="837" max="837"/>
    <col width="1.5703125" customWidth="1" style="1" min="838" max="838"/>
    <col width="0.7109375" customWidth="1" style="1" min="839" max="839"/>
    <col width="7" bestFit="1" customWidth="1" style="1" min="840" max="840"/>
    <col width="0.7109375" customWidth="1" style="1" min="841" max="843"/>
    <col width="2.42578125" customWidth="1" style="1" min="844" max="844"/>
    <col width="0.7109375" customWidth="1" style="1" min="845" max="850"/>
    <col width="16.5703125" customWidth="1" style="1" min="851" max="851"/>
    <col width="0.7109375" customWidth="1" style="1" min="852" max="854"/>
    <col width="9.85546875" bestFit="1" customWidth="1" style="1" min="855" max="855"/>
    <col width="9.28515625" customWidth="1" style="1" min="856" max="858"/>
    <col width="0.7109375" customWidth="1" style="1" min="859" max="1071"/>
    <col width="3.42578125" customWidth="1" style="1" min="1072" max="1072"/>
    <col width="2.42578125" customWidth="1" style="1" min="1073" max="1073"/>
    <col width="7" customWidth="1" style="1" min="1074" max="1074"/>
    <col width="0.7109375" customWidth="1" style="1" min="1075" max="1075"/>
    <col width="1.5703125" customWidth="1" style="1" min="1076" max="1076"/>
    <col width="0.7109375" customWidth="1" style="1" min="1077" max="1077"/>
    <col width="11.28515625" customWidth="1" style="1" min="1078" max="1078"/>
    <col width="0.7109375" customWidth="1" style="1" min="1079" max="1079"/>
    <col width="1.5703125" customWidth="1" style="1" min="1080" max="1080"/>
    <col width="0.7109375" customWidth="1" style="1" min="1081" max="1085"/>
    <col width="2.140625" customWidth="1" style="1" min="1086" max="1086"/>
    <col width="0.7109375" customWidth="1" style="1" min="1087" max="1087"/>
    <col width="1.5703125" customWidth="1" style="1" min="1088" max="1088"/>
    <col width="0.7109375" customWidth="1" style="1" min="1089" max="1089"/>
    <col width="7" bestFit="1" customWidth="1" style="1" min="1090" max="1090"/>
    <col width="0.7109375" customWidth="1" style="1" min="1091" max="1091"/>
    <col width="4" customWidth="1" style="1" min="1092" max="1092"/>
    <col width="0.7109375" customWidth="1" style="1" min="1093" max="1093"/>
    <col width="1.5703125" customWidth="1" style="1" min="1094" max="1094"/>
    <col width="0.7109375" customWidth="1" style="1" min="1095" max="1095"/>
    <col width="7" bestFit="1" customWidth="1" style="1" min="1096" max="1096"/>
    <col width="0.7109375" customWidth="1" style="1" min="1097" max="1099"/>
    <col width="2.42578125" customWidth="1" style="1" min="1100" max="1100"/>
    <col width="0.7109375" customWidth="1" style="1" min="1101" max="1106"/>
    <col width="16.5703125" customWidth="1" style="1" min="1107" max="1107"/>
    <col width="0.7109375" customWidth="1" style="1" min="1108" max="1110"/>
    <col width="9.85546875" bestFit="1" customWidth="1" style="1" min="1111" max="1111"/>
    <col width="9.28515625" customWidth="1" style="1" min="1112" max="1114"/>
    <col width="0.7109375" customWidth="1" style="1" min="1115" max="1327"/>
    <col width="3.42578125" customWidth="1" style="1" min="1328" max="1328"/>
    <col width="2.42578125" customWidth="1" style="1" min="1329" max="1329"/>
    <col width="7" customWidth="1" style="1" min="1330" max="1330"/>
    <col width="0.7109375" customWidth="1" style="1" min="1331" max="1331"/>
    <col width="1.5703125" customWidth="1" style="1" min="1332" max="1332"/>
    <col width="0.7109375" customWidth="1" style="1" min="1333" max="1333"/>
    <col width="11.28515625" customWidth="1" style="1" min="1334" max="1334"/>
    <col width="0.7109375" customWidth="1" style="1" min="1335" max="1335"/>
    <col width="1.5703125" customWidth="1" style="1" min="1336" max="1336"/>
    <col width="0.7109375" customWidth="1" style="1" min="1337" max="1341"/>
    <col width="2.140625" customWidth="1" style="1" min="1342" max="1342"/>
    <col width="0.7109375" customWidth="1" style="1" min="1343" max="1343"/>
    <col width="1.5703125" customWidth="1" style="1" min="1344" max="1344"/>
    <col width="0.7109375" customWidth="1" style="1" min="1345" max="1345"/>
    <col width="7" bestFit="1" customWidth="1" style="1" min="1346" max="1346"/>
    <col width="0.7109375" customWidth="1" style="1" min="1347" max="1347"/>
    <col width="4" customWidth="1" style="1" min="1348" max="1348"/>
    <col width="0.7109375" customWidth="1" style="1" min="1349" max="1349"/>
    <col width="1.5703125" customWidth="1" style="1" min="1350" max="1350"/>
    <col width="0.7109375" customWidth="1" style="1" min="1351" max="1351"/>
    <col width="7" bestFit="1" customWidth="1" style="1" min="1352" max="1352"/>
    <col width="0.7109375" customWidth="1" style="1" min="1353" max="1355"/>
    <col width="2.42578125" customWidth="1" style="1" min="1356" max="1356"/>
    <col width="0.7109375" customWidth="1" style="1" min="1357" max="1362"/>
    <col width="16.5703125" customWidth="1" style="1" min="1363" max="1363"/>
    <col width="0.7109375" customWidth="1" style="1" min="1364" max="1366"/>
    <col width="9.85546875" bestFit="1" customWidth="1" style="1" min="1367" max="1367"/>
    <col width="9.28515625" customWidth="1" style="1" min="1368" max="1370"/>
    <col width="0.7109375" customWidth="1" style="1" min="1371" max="1583"/>
    <col width="3.42578125" customWidth="1" style="1" min="1584" max="1584"/>
    <col width="2.42578125" customWidth="1" style="1" min="1585" max="1585"/>
    <col width="7" customWidth="1" style="1" min="1586" max="1586"/>
    <col width="0.7109375" customWidth="1" style="1" min="1587" max="1587"/>
    <col width="1.5703125" customWidth="1" style="1" min="1588" max="1588"/>
    <col width="0.7109375" customWidth="1" style="1" min="1589" max="1589"/>
    <col width="11.28515625" customWidth="1" style="1" min="1590" max="1590"/>
    <col width="0.7109375" customWidth="1" style="1" min="1591" max="1591"/>
    <col width="1.5703125" customWidth="1" style="1" min="1592" max="1592"/>
    <col width="0.7109375" customWidth="1" style="1" min="1593" max="1597"/>
    <col width="2.140625" customWidth="1" style="1" min="1598" max="1598"/>
    <col width="0.7109375" customWidth="1" style="1" min="1599" max="1599"/>
    <col width="1.5703125" customWidth="1" style="1" min="1600" max="1600"/>
    <col width="0.7109375" customWidth="1" style="1" min="1601" max="1601"/>
    <col width="7" bestFit="1" customWidth="1" style="1" min="1602" max="1602"/>
    <col width="0.7109375" customWidth="1" style="1" min="1603" max="1603"/>
    <col width="4" customWidth="1" style="1" min="1604" max="1604"/>
    <col width="0.7109375" customWidth="1" style="1" min="1605" max="1605"/>
    <col width="1.5703125" customWidth="1" style="1" min="1606" max="1606"/>
    <col width="0.7109375" customWidth="1" style="1" min="1607" max="1607"/>
    <col width="7" bestFit="1" customWidth="1" style="1" min="1608" max="1608"/>
    <col width="0.7109375" customWidth="1" style="1" min="1609" max="1611"/>
    <col width="2.42578125" customWidth="1" style="1" min="1612" max="1612"/>
    <col width="0.7109375" customWidth="1" style="1" min="1613" max="1618"/>
    <col width="16.5703125" customWidth="1" style="1" min="1619" max="1619"/>
    <col width="0.7109375" customWidth="1" style="1" min="1620" max="1622"/>
    <col width="9.85546875" bestFit="1" customWidth="1" style="1" min="1623" max="1623"/>
    <col width="9.28515625" customWidth="1" style="1" min="1624" max="1626"/>
    <col width="0.7109375" customWidth="1" style="1" min="1627" max="1839"/>
    <col width="3.42578125" customWidth="1" style="1" min="1840" max="1840"/>
    <col width="2.42578125" customWidth="1" style="1" min="1841" max="1841"/>
    <col width="7" customWidth="1" style="1" min="1842" max="1842"/>
    <col width="0.7109375" customWidth="1" style="1" min="1843" max="1843"/>
    <col width="1.5703125" customWidth="1" style="1" min="1844" max="1844"/>
    <col width="0.7109375" customWidth="1" style="1" min="1845" max="1845"/>
    <col width="11.28515625" customWidth="1" style="1" min="1846" max="1846"/>
    <col width="0.7109375" customWidth="1" style="1" min="1847" max="1847"/>
    <col width="1.5703125" customWidth="1" style="1" min="1848" max="1848"/>
    <col width="0.7109375" customWidth="1" style="1" min="1849" max="1853"/>
    <col width="2.140625" customWidth="1" style="1" min="1854" max="1854"/>
    <col width="0.7109375" customWidth="1" style="1" min="1855" max="1855"/>
    <col width="1.5703125" customWidth="1" style="1" min="1856" max="1856"/>
    <col width="0.7109375" customWidth="1" style="1" min="1857" max="1857"/>
    <col width="7" bestFit="1" customWidth="1" style="1" min="1858" max="1858"/>
    <col width="0.7109375" customWidth="1" style="1" min="1859" max="1859"/>
    <col width="4" customWidth="1" style="1" min="1860" max="1860"/>
    <col width="0.7109375" customWidth="1" style="1" min="1861" max="1861"/>
    <col width="1.5703125" customWidth="1" style="1" min="1862" max="1862"/>
    <col width="0.7109375" customWidth="1" style="1" min="1863" max="1863"/>
    <col width="7" bestFit="1" customWidth="1" style="1" min="1864" max="1864"/>
    <col width="0.7109375" customWidth="1" style="1" min="1865" max="1867"/>
    <col width="2.42578125" customWidth="1" style="1" min="1868" max="1868"/>
    <col width="0.7109375" customWidth="1" style="1" min="1869" max="1874"/>
    <col width="16.5703125" customWidth="1" style="1" min="1875" max="1875"/>
    <col width="0.7109375" customWidth="1" style="1" min="1876" max="1878"/>
    <col width="9.85546875" bestFit="1" customWidth="1" style="1" min="1879" max="1879"/>
    <col width="9.28515625" customWidth="1" style="1" min="1880" max="1882"/>
    <col width="0.7109375" customWidth="1" style="1" min="1883" max="2095"/>
    <col width="3.42578125" customWidth="1" style="1" min="2096" max="2096"/>
    <col width="2.42578125" customWidth="1" style="1" min="2097" max="2097"/>
    <col width="7" customWidth="1" style="1" min="2098" max="2098"/>
    <col width="0.7109375" customWidth="1" style="1" min="2099" max="2099"/>
    <col width="1.5703125" customWidth="1" style="1" min="2100" max="2100"/>
    <col width="0.7109375" customWidth="1" style="1" min="2101" max="2101"/>
    <col width="11.28515625" customWidth="1" style="1" min="2102" max="2102"/>
    <col width="0.7109375" customWidth="1" style="1" min="2103" max="2103"/>
    <col width="1.5703125" customWidth="1" style="1" min="2104" max="2104"/>
    <col width="0.7109375" customWidth="1" style="1" min="2105" max="2109"/>
    <col width="2.140625" customWidth="1" style="1" min="2110" max="2110"/>
    <col width="0.7109375" customWidth="1" style="1" min="2111" max="2111"/>
    <col width="1.5703125" customWidth="1" style="1" min="2112" max="2112"/>
    <col width="0.7109375" customWidth="1" style="1" min="2113" max="2113"/>
    <col width="7" bestFit="1" customWidth="1" style="1" min="2114" max="2114"/>
    <col width="0.7109375" customWidth="1" style="1" min="2115" max="2115"/>
    <col width="4" customWidth="1" style="1" min="2116" max="2116"/>
    <col width="0.7109375" customWidth="1" style="1" min="2117" max="2117"/>
    <col width="1.5703125" customWidth="1" style="1" min="2118" max="2118"/>
    <col width="0.7109375" customWidth="1" style="1" min="2119" max="2119"/>
    <col width="7" bestFit="1" customWidth="1" style="1" min="2120" max="2120"/>
    <col width="0.7109375" customWidth="1" style="1" min="2121" max="2123"/>
    <col width="2.42578125" customWidth="1" style="1" min="2124" max="2124"/>
    <col width="0.7109375" customWidth="1" style="1" min="2125" max="2130"/>
    <col width="16.5703125" customWidth="1" style="1" min="2131" max="2131"/>
    <col width="0.7109375" customWidth="1" style="1" min="2132" max="2134"/>
    <col width="9.85546875" bestFit="1" customWidth="1" style="1" min="2135" max="2135"/>
    <col width="9.28515625" customWidth="1" style="1" min="2136" max="2138"/>
    <col width="0.7109375" customWidth="1" style="1" min="2139" max="2351"/>
    <col width="3.42578125" customWidth="1" style="1" min="2352" max="2352"/>
    <col width="2.42578125" customWidth="1" style="1" min="2353" max="2353"/>
    <col width="7" customWidth="1" style="1" min="2354" max="2354"/>
    <col width="0.7109375" customWidth="1" style="1" min="2355" max="2355"/>
    <col width="1.5703125" customWidth="1" style="1" min="2356" max="2356"/>
    <col width="0.7109375" customWidth="1" style="1" min="2357" max="2357"/>
    <col width="11.28515625" customWidth="1" style="1" min="2358" max="2358"/>
    <col width="0.7109375" customWidth="1" style="1" min="2359" max="2359"/>
    <col width="1.5703125" customWidth="1" style="1" min="2360" max="2360"/>
    <col width="0.7109375" customWidth="1" style="1" min="2361" max="2365"/>
    <col width="2.140625" customWidth="1" style="1" min="2366" max="2366"/>
    <col width="0.7109375" customWidth="1" style="1" min="2367" max="2367"/>
    <col width="1.5703125" customWidth="1" style="1" min="2368" max="2368"/>
    <col width="0.7109375" customWidth="1" style="1" min="2369" max="2369"/>
    <col width="7" bestFit="1" customWidth="1" style="1" min="2370" max="2370"/>
    <col width="0.7109375" customWidth="1" style="1" min="2371" max="2371"/>
    <col width="4" customWidth="1" style="1" min="2372" max="2372"/>
    <col width="0.7109375" customWidth="1" style="1" min="2373" max="2373"/>
    <col width="1.5703125" customWidth="1" style="1" min="2374" max="2374"/>
    <col width="0.7109375" customWidth="1" style="1" min="2375" max="2375"/>
    <col width="7" bestFit="1" customWidth="1" style="1" min="2376" max="2376"/>
    <col width="0.7109375" customWidth="1" style="1" min="2377" max="2379"/>
    <col width="2.42578125" customWidth="1" style="1" min="2380" max="2380"/>
    <col width="0.7109375" customWidth="1" style="1" min="2381" max="2386"/>
    <col width="16.5703125" customWidth="1" style="1" min="2387" max="2387"/>
    <col width="0.7109375" customWidth="1" style="1" min="2388" max="2390"/>
    <col width="9.85546875" bestFit="1" customWidth="1" style="1" min="2391" max="2391"/>
    <col width="9.28515625" customWidth="1" style="1" min="2392" max="2394"/>
    <col width="0.7109375" customWidth="1" style="1" min="2395" max="2607"/>
    <col width="3.42578125" customWidth="1" style="1" min="2608" max="2608"/>
    <col width="2.42578125" customWidth="1" style="1" min="2609" max="2609"/>
    <col width="7" customWidth="1" style="1" min="2610" max="2610"/>
    <col width="0.7109375" customWidth="1" style="1" min="2611" max="2611"/>
    <col width="1.5703125" customWidth="1" style="1" min="2612" max="2612"/>
    <col width="0.7109375" customWidth="1" style="1" min="2613" max="2613"/>
    <col width="11.28515625" customWidth="1" style="1" min="2614" max="2614"/>
    <col width="0.7109375" customWidth="1" style="1" min="2615" max="2615"/>
    <col width="1.5703125" customWidth="1" style="1" min="2616" max="2616"/>
    <col width="0.7109375" customWidth="1" style="1" min="2617" max="2621"/>
    <col width="2.140625" customWidth="1" style="1" min="2622" max="2622"/>
    <col width="0.7109375" customWidth="1" style="1" min="2623" max="2623"/>
    <col width="1.5703125" customWidth="1" style="1" min="2624" max="2624"/>
    <col width="0.7109375" customWidth="1" style="1" min="2625" max="2625"/>
    <col width="7" bestFit="1" customWidth="1" style="1" min="2626" max="2626"/>
    <col width="0.7109375" customWidth="1" style="1" min="2627" max="2627"/>
    <col width="4" customWidth="1" style="1" min="2628" max="2628"/>
    <col width="0.7109375" customWidth="1" style="1" min="2629" max="2629"/>
    <col width="1.5703125" customWidth="1" style="1" min="2630" max="2630"/>
    <col width="0.7109375" customWidth="1" style="1" min="2631" max="2631"/>
    <col width="7" bestFit="1" customWidth="1" style="1" min="2632" max="2632"/>
    <col width="0.7109375" customWidth="1" style="1" min="2633" max="2635"/>
    <col width="2.42578125" customWidth="1" style="1" min="2636" max="2636"/>
    <col width="0.7109375" customWidth="1" style="1" min="2637" max="2642"/>
    <col width="16.5703125" customWidth="1" style="1" min="2643" max="2643"/>
    <col width="0.7109375" customWidth="1" style="1" min="2644" max="2646"/>
    <col width="9.85546875" bestFit="1" customWidth="1" style="1" min="2647" max="2647"/>
    <col width="9.28515625" customWidth="1" style="1" min="2648" max="2650"/>
    <col width="0.7109375" customWidth="1" style="1" min="2651" max="2863"/>
    <col width="3.42578125" customWidth="1" style="1" min="2864" max="2864"/>
    <col width="2.42578125" customWidth="1" style="1" min="2865" max="2865"/>
    <col width="7" customWidth="1" style="1" min="2866" max="2866"/>
    <col width="0.7109375" customWidth="1" style="1" min="2867" max="2867"/>
    <col width="1.5703125" customWidth="1" style="1" min="2868" max="2868"/>
    <col width="0.7109375" customWidth="1" style="1" min="2869" max="2869"/>
    <col width="11.28515625" customWidth="1" style="1" min="2870" max="2870"/>
    <col width="0.7109375" customWidth="1" style="1" min="2871" max="2871"/>
    <col width="1.5703125" customWidth="1" style="1" min="2872" max="2872"/>
    <col width="0.7109375" customWidth="1" style="1" min="2873" max="2877"/>
    <col width="2.140625" customWidth="1" style="1" min="2878" max="2878"/>
    <col width="0.7109375" customWidth="1" style="1" min="2879" max="2879"/>
    <col width="1.5703125" customWidth="1" style="1" min="2880" max="2880"/>
    <col width="0.7109375" customWidth="1" style="1" min="2881" max="2881"/>
    <col width="7" bestFit="1" customWidth="1" style="1" min="2882" max="2882"/>
    <col width="0.7109375" customWidth="1" style="1" min="2883" max="2883"/>
    <col width="4" customWidth="1" style="1" min="2884" max="2884"/>
    <col width="0.7109375" customWidth="1" style="1" min="2885" max="2885"/>
    <col width="1.5703125" customWidth="1" style="1" min="2886" max="2886"/>
    <col width="0.7109375" customWidth="1" style="1" min="2887" max="2887"/>
    <col width="7" bestFit="1" customWidth="1" style="1" min="2888" max="2888"/>
    <col width="0.7109375" customWidth="1" style="1" min="2889" max="2891"/>
    <col width="2.42578125" customWidth="1" style="1" min="2892" max="2892"/>
    <col width="0.7109375" customWidth="1" style="1" min="2893" max="2898"/>
    <col width="16.5703125" customWidth="1" style="1" min="2899" max="2899"/>
    <col width="0.7109375" customWidth="1" style="1" min="2900" max="2902"/>
    <col width="9.85546875" bestFit="1" customWidth="1" style="1" min="2903" max="2903"/>
    <col width="9.28515625" customWidth="1" style="1" min="2904" max="2906"/>
    <col width="0.7109375" customWidth="1" style="1" min="2907" max="3119"/>
    <col width="3.42578125" customWidth="1" style="1" min="3120" max="3120"/>
    <col width="2.42578125" customWidth="1" style="1" min="3121" max="3121"/>
    <col width="7" customWidth="1" style="1" min="3122" max="3122"/>
    <col width="0.7109375" customWidth="1" style="1" min="3123" max="3123"/>
    <col width="1.5703125" customWidth="1" style="1" min="3124" max="3124"/>
    <col width="0.7109375" customWidth="1" style="1" min="3125" max="3125"/>
    <col width="11.28515625" customWidth="1" style="1" min="3126" max="3126"/>
    <col width="0.7109375" customWidth="1" style="1" min="3127" max="3127"/>
    <col width="1.5703125" customWidth="1" style="1" min="3128" max="3128"/>
    <col width="0.7109375" customWidth="1" style="1" min="3129" max="3133"/>
    <col width="2.140625" customWidth="1" style="1" min="3134" max="3134"/>
    <col width="0.7109375" customWidth="1" style="1" min="3135" max="3135"/>
    <col width="1.5703125" customWidth="1" style="1" min="3136" max="3136"/>
    <col width="0.7109375" customWidth="1" style="1" min="3137" max="3137"/>
    <col width="7" bestFit="1" customWidth="1" style="1" min="3138" max="3138"/>
    <col width="0.7109375" customWidth="1" style="1" min="3139" max="3139"/>
    <col width="4" customWidth="1" style="1" min="3140" max="3140"/>
    <col width="0.7109375" customWidth="1" style="1" min="3141" max="3141"/>
    <col width="1.5703125" customWidth="1" style="1" min="3142" max="3142"/>
    <col width="0.7109375" customWidth="1" style="1" min="3143" max="3143"/>
    <col width="7" bestFit="1" customWidth="1" style="1" min="3144" max="3144"/>
    <col width="0.7109375" customWidth="1" style="1" min="3145" max="3147"/>
    <col width="2.42578125" customWidth="1" style="1" min="3148" max="3148"/>
    <col width="0.7109375" customWidth="1" style="1" min="3149" max="3154"/>
    <col width="16.5703125" customWidth="1" style="1" min="3155" max="3155"/>
    <col width="0.7109375" customWidth="1" style="1" min="3156" max="3158"/>
    <col width="9.85546875" bestFit="1" customWidth="1" style="1" min="3159" max="3159"/>
    <col width="9.28515625" customWidth="1" style="1" min="3160" max="3162"/>
    <col width="0.7109375" customWidth="1" style="1" min="3163" max="3375"/>
    <col width="3.42578125" customWidth="1" style="1" min="3376" max="3376"/>
    <col width="2.42578125" customWidth="1" style="1" min="3377" max="3377"/>
    <col width="7" customWidth="1" style="1" min="3378" max="3378"/>
    <col width="0.7109375" customWidth="1" style="1" min="3379" max="3379"/>
    <col width="1.5703125" customWidth="1" style="1" min="3380" max="3380"/>
    <col width="0.7109375" customWidth="1" style="1" min="3381" max="3381"/>
    <col width="11.28515625" customWidth="1" style="1" min="3382" max="3382"/>
    <col width="0.7109375" customWidth="1" style="1" min="3383" max="3383"/>
    <col width="1.5703125" customWidth="1" style="1" min="3384" max="3384"/>
    <col width="0.7109375" customWidth="1" style="1" min="3385" max="3389"/>
    <col width="2.140625" customWidth="1" style="1" min="3390" max="3390"/>
    <col width="0.7109375" customWidth="1" style="1" min="3391" max="3391"/>
    <col width="1.5703125" customWidth="1" style="1" min="3392" max="3392"/>
    <col width="0.7109375" customWidth="1" style="1" min="3393" max="3393"/>
    <col width="7" bestFit="1" customWidth="1" style="1" min="3394" max="3394"/>
    <col width="0.7109375" customWidth="1" style="1" min="3395" max="3395"/>
    <col width="4" customWidth="1" style="1" min="3396" max="3396"/>
    <col width="0.7109375" customWidth="1" style="1" min="3397" max="3397"/>
    <col width="1.5703125" customWidth="1" style="1" min="3398" max="3398"/>
    <col width="0.7109375" customWidth="1" style="1" min="3399" max="3399"/>
    <col width="7" bestFit="1" customWidth="1" style="1" min="3400" max="3400"/>
    <col width="0.7109375" customWidth="1" style="1" min="3401" max="3403"/>
    <col width="2.42578125" customWidth="1" style="1" min="3404" max="3404"/>
    <col width="0.7109375" customWidth="1" style="1" min="3405" max="3410"/>
    <col width="16.5703125" customWidth="1" style="1" min="3411" max="3411"/>
    <col width="0.7109375" customWidth="1" style="1" min="3412" max="3414"/>
    <col width="9.85546875" bestFit="1" customWidth="1" style="1" min="3415" max="3415"/>
    <col width="9.28515625" customWidth="1" style="1" min="3416" max="3418"/>
    <col width="0.7109375" customWidth="1" style="1" min="3419" max="3631"/>
    <col width="3.42578125" customWidth="1" style="1" min="3632" max="3632"/>
    <col width="2.42578125" customWidth="1" style="1" min="3633" max="3633"/>
    <col width="7" customWidth="1" style="1" min="3634" max="3634"/>
    <col width="0.7109375" customWidth="1" style="1" min="3635" max="3635"/>
    <col width="1.5703125" customWidth="1" style="1" min="3636" max="3636"/>
    <col width="0.7109375" customWidth="1" style="1" min="3637" max="3637"/>
    <col width="11.28515625" customWidth="1" style="1" min="3638" max="3638"/>
    <col width="0.7109375" customWidth="1" style="1" min="3639" max="3639"/>
    <col width="1.5703125" customWidth="1" style="1" min="3640" max="3640"/>
    <col width="0.7109375" customWidth="1" style="1" min="3641" max="3645"/>
    <col width="2.140625" customWidth="1" style="1" min="3646" max="3646"/>
    <col width="0.7109375" customWidth="1" style="1" min="3647" max="3647"/>
    <col width="1.5703125" customWidth="1" style="1" min="3648" max="3648"/>
    <col width="0.7109375" customWidth="1" style="1" min="3649" max="3649"/>
    <col width="7" bestFit="1" customWidth="1" style="1" min="3650" max="3650"/>
    <col width="0.7109375" customWidth="1" style="1" min="3651" max="3651"/>
    <col width="4" customWidth="1" style="1" min="3652" max="3652"/>
    <col width="0.7109375" customWidth="1" style="1" min="3653" max="3653"/>
    <col width="1.5703125" customWidth="1" style="1" min="3654" max="3654"/>
    <col width="0.7109375" customWidth="1" style="1" min="3655" max="3655"/>
    <col width="7" bestFit="1" customWidth="1" style="1" min="3656" max="3656"/>
    <col width="0.7109375" customWidth="1" style="1" min="3657" max="3659"/>
    <col width="2.42578125" customWidth="1" style="1" min="3660" max="3660"/>
    <col width="0.7109375" customWidth="1" style="1" min="3661" max="3666"/>
    <col width="16.5703125" customWidth="1" style="1" min="3667" max="3667"/>
    <col width="0.7109375" customWidth="1" style="1" min="3668" max="3670"/>
    <col width="9.85546875" bestFit="1" customWidth="1" style="1" min="3671" max="3671"/>
    <col width="9.28515625" customWidth="1" style="1" min="3672" max="3674"/>
    <col width="0.7109375" customWidth="1" style="1" min="3675" max="3887"/>
    <col width="3.42578125" customWidth="1" style="1" min="3888" max="3888"/>
    <col width="2.42578125" customWidth="1" style="1" min="3889" max="3889"/>
    <col width="7" customWidth="1" style="1" min="3890" max="3890"/>
    <col width="0.7109375" customWidth="1" style="1" min="3891" max="3891"/>
    <col width="1.5703125" customWidth="1" style="1" min="3892" max="3892"/>
    <col width="0.7109375" customWidth="1" style="1" min="3893" max="3893"/>
    <col width="11.28515625" customWidth="1" style="1" min="3894" max="3894"/>
    <col width="0.7109375" customWidth="1" style="1" min="3895" max="3895"/>
    <col width="1.5703125" customWidth="1" style="1" min="3896" max="3896"/>
    <col width="0.7109375" customWidth="1" style="1" min="3897" max="3901"/>
    <col width="2.140625" customWidth="1" style="1" min="3902" max="3902"/>
    <col width="0.7109375" customWidth="1" style="1" min="3903" max="3903"/>
    <col width="1.5703125" customWidth="1" style="1" min="3904" max="3904"/>
    <col width="0.7109375" customWidth="1" style="1" min="3905" max="3905"/>
    <col width="7" bestFit="1" customWidth="1" style="1" min="3906" max="3906"/>
    <col width="0.7109375" customWidth="1" style="1" min="3907" max="3907"/>
    <col width="4" customWidth="1" style="1" min="3908" max="3908"/>
    <col width="0.7109375" customWidth="1" style="1" min="3909" max="3909"/>
    <col width="1.5703125" customWidth="1" style="1" min="3910" max="3910"/>
    <col width="0.7109375" customWidth="1" style="1" min="3911" max="3911"/>
    <col width="7" bestFit="1" customWidth="1" style="1" min="3912" max="3912"/>
    <col width="0.7109375" customWidth="1" style="1" min="3913" max="3915"/>
    <col width="2.42578125" customWidth="1" style="1" min="3916" max="3916"/>
    <col width="0.7109375" customWidth="1" style="1" min="3917" max="3922"/>
    <col width="16.5703125" customWidth="1" style="1" min="3923" max="3923"/>
    <col width="0.7109375" customWidth="1" style="1" min="3924" max="3926"/>
    <col width="9.85546875" bestFit="1" customWidth="1" style="1" min="3927" max="3927"/>
    <col width="9.28515625" customWidth="1" style="1" min="3928" max="3930"/>
    <col width="0.7109375" customWidth="1" style="1" min="3931" max="4143"/>
    <col width="3.42578125" customWidth="1" style="1" min="4144" max="4144"/>
    <col width="2.42578125" customWidth="1" style="1" min="4145" max="4145"/>
    <col width="7" customWidth="1" style="1" min="4146" max="4146"/>
    <col width="0.7109375" customWidth="1" style="1" min="4147" max="4147"/>
    <col width="1.5703125" customWidth="1" style="1" min="4148" max="4148"/>
    <col width="0.7109375" customWidth="1" style="1" min="4149" max="4149"/>
    <col width="11.28515625" customWidth="1" style="1" min="4150" max="4150"/>
    <col width="0.7109375" customWidth="1" style="1" min="4151" max="4151"/>
    <col width="1.5703125" customWidth="1" style="1" min="4152" max="4152"/>
    <col width="0.7109375" customWidth="1" style="1" min="4153" max="4157"/>
    <col width="2.140625" customWidth="1" style="1" min="4158" max="4158"/>
    <col width="0.7109375" customWidth="1" style="1" min="4159" max="4159"/>
    <col width="1.5703125" customWidth="1" style="1" min="4160" max="4160"/>
    <col width="0.7109375" customWidth="1" style="1" min="4161" max="4161"/>
    <col width="7" bestFit="1" customWidth="1" style="1" min="4162" max="4162"/>
    <col width="0.7109375" customWidth="1" style="1" min="4163" max="4163"/>
    <col width="4" customWidth="1" style="1" min="4164" max="4164"/>
    <col width="0.7109375" customWidth="1" style="1" min="4165" max="4165"/>
    <col width="1.5703125" customWidth="1" style="1" min="4166" max="4166"/>
    <col width="0.7109375" customWidth="1" style="1" min="4167" max="4167"/>
    <col width="7" bestFit="1" customWidth="1" style="1" min="4168" max="4168"/>
    <col width="0.7109375" customWidth="1" style="1" min="4169" max="4171"/>
    <col width="2.42578125" customWidth="1" style="1" min="4172" max="4172"/>
    <col width="0.7109375" customWidth="1" style="1" min="4173" max="4178"/>
    <col width="16.5703125" customWidth="1" style="1" min="4179" max="4179"/>
    <col width="0.7109375" customWidth="1" style="1" min="4180" max="4182"/>
    <col width="9.85546875" bestFit="1" customWidth="1" style="1" min="4183" max="4183"/>
    <col width="9.28515625" customWidth="1" style="1" min="4184" max="4186"/>
    <col width="0.7109375" customWidth="1" style="1" min="4187" max="4399"/>
    <col width="3.42578125" customWidth="1" style="1" min="4400" max="4400"/>
    <col width="2.42578125" customWidth="1" style="1" min="4401" max="4401"/>
    <col width="7" customWidth="1" style="1" min="4402" max="4402"/>
    <col width="0.7109375" customWidth="1" style="1" min="4403" max="4403"/>
    <col width="1.5703125" customWidth="1" style="1" min="4404" max="4404"/>
    <col width="0.7109375" customWidth="1" style="1" min="4405" max="4405"/>
    <col width="11.28515625" customWidth="1" style="1" min="4406" max="4406"/>
    <col width="0.7109375" customWidth="1" style="1" min="4407" max="4407"/>
    <col width="1.5703125" customWidth="1" style="1" min="4408" max="4408"/>
    <col width="0.7109375" customWidth="1" style="1" min="4409" max="4413"/>
    <col width="2.140625" customWidth="1" style="1" min="4414" max="4414"/>
    <col width="0.7109375" customWidth="1" style="1" min="4415" max="4415"/>
    <col width="1.5703125" customWidth="1" style="1" min="4416" max="4416"/>
    <col width="0.7109375" customWidth="1" style="1" min="4417" max="4417"/>
    <col width="7" bestFit="1" customWidth="1" style="1" min="4418" max="4418"/>
    <col width="0.7109375" customWidth="1" style="1" min="4419" max="4419"/>
    <col width="4" customWidth="1" style="1" min="4420" max="4420"/>
    <col width="0.7109375" customWidth="1" style="1" min="4421" max="4421"/>
    <col width="1.5703125" customWidth="1" style="1" min="4422" max="4422"/>
    <col width="0.7109375" customWidth="1" style="1" min="4423" max="4423"/>
    <col width="7" bestFit="1" customWidth="1" style="1" min="4424" max="4424"/>
    <col width="0.7109375" customWidth="1" style="1" min="4425" max="4427"/>
    <col width="2.42578125" customWidth="1" style="1" min="4428" max="4428"/>
    <col width="0.7109375" customWidth="1" style="1" min="4429" max="4434"/>
    <col width="16.5703125" customWidth="1" style="1" min="4435" max="4435"/>
    <col width="0.7109375" customWidth="1" style="1" min="4436" max="4438"/>
    <col width="9.85546875" bestFit="1" customWidth="1" style="1" min="4439" max="4439"/>
    <col width="9.28515625" customWidth="1" style="1" min="4440" max="4442"/>
    <col width="0.7109375" customWidth="1" style="1" min="4443" max="4655"/>
    <col width="3.42578125" customWidth="1" style="1" min="4656" max="4656"/>
    <col width="2.42578125" customWidth="1" style="1" min="4657" max="4657"/>
    <col width="7" customWidth="1" style="1" min="4658" max="4658"/>
    <col width="0.7109375" customWidth="1" style="1" min="4659" max="4659"/>
    <col width="1.5703125" customWidth="1" style="1" min="4660" max="4660"/>
    <col width="0.7109375" customWidth="1" style="1" min="4661" max="4661"/>
    <col width="11.28515625" customWidth="1" style="1" min="4662" max="4662"/>
    <col width="0.7109375" customWidth="1" style="1" min="4663" max="4663"/>
    <col width="1.5703125" customWidth="1" style="1" min="4664" max="4664"/>
    <col width="0.7109375" customWidth="1" style="1" min="4665" max="4669"/>
    <col width="2.140625" customWidth="1" style="1" min="4670" max="4670"/>
    <col width="0.7109375" customWidth="1" style="1" min="4671" max="4671"/>
    <col width="1.5703125" customWidth="1" style="1" min="4672" max="4672"/>
    <col width="0.7109375" customWidth="1" style="1" min="4673" max="4673"/>
    <col width="7" bestFit="1" customWidth="1" style="1" min="4674" max="4674"/>
    <col width="0.7109375" customWidth="1" style="1" min="4675" max="4675"/>
    <col width="4" customWidth="1" style="1" min="4676" max="4676"/>
    <col width="0.7109375" customWidth="1" style="1" min="4677" max="4677"/>
    <col width="1.5703125" customWidth="1" style="1" min="4678" max="4678"/>
    <col width="0.7109375" customWidth="1" style="1" min="4679" max="4679"/>
    <col width="7" bestFit="1" customWidth="1" style="1" min="4680" max="4680"/>
    <col width="0.7109375" customWidth="1" style="1" min="4681" max="4683"/>
    <col width="2.42578125" customWidth="1" style="1" min="4684" max="4684"/>
    <col width="0.7109375" customWidth="1" style="1" min="4685" max="4690"/>
    <col width="16.5703125" customWidth="1" style="1" min="4691" max="4691"/>
    <col width="0.7109375" customWidth="1" style="1" min="4692" max="4694"/>
    <col width="9.85546875" bestFit="1" customWidth="1" style="1" min="4695" max="4695"/>
    <col width="9.28515625" customWidth="1" style="1" min="4696" max="4698"/>
    <col width="0.7109375" customWidth="1" style="1" min="4699" max="4911"/>
    <col width="3.42578125" customWidth="1" style="1" min="4912" max="4912"/>
    <col width="2.42578125" customWidth="1" style="1" min="4913" max="4913"/>
    <col width="7" customWidth="1" style="1" min="4914" max="4914"/>
    <col width="0.7109375" customWidth="1" style="1" min="4915" max="4915"/>
    <col width="1.5703125" customWidth="1" style="1" min="4916" max="4916"/>
    <col width="0.7109375" customWidth="1" style="1" min="4917" max="4917"/>
    <col width="11.28515625" customWidth="1" style="1" min="4918" max="4918"/>
    <col width="0.7109375" customWidth="1" style="1" min="4919" max="4919"/>
    <col width="1.5703125" customWidth="1" style="1" min="4920" max="4920"/>
    <col width="0.7109375" customWidth="1" style="1" min="4921" max="4925"/>
    <col width="2.140625" customWidth="1" style="1" min="4926" max="4926"/>
    <col width="0.7109375" customWidth="1" style="1" min="4927" max="4927"/>
    <col width="1.5703125" customWidth="1" style="1" min="4928" max="4928"/>
    <col width="0.7109375" customWidth="1" style="1" min="4929" max="4929"/>
    <col width="7" bestFit="1" customWidth="1" style="1" min="4930" max="4930"/>
    <col width="0.7109375" customWidth="1" style="1" min="4931" max="4931"/>
    <col width="4" customWidth="1" style="1" min="4932" max="4932"/>
    <col width="0.7109375" customWidth="1" style="1" min="4933" max="4933"/>
    <col width="1.5703125" customWidth="1" style="1" min="4934" max="4934"/>
    <col width="0.7109375" customWidth="1" style="1" min="4935" max="4935"/>
    <col width="7" bestFit="1" customWidth="1" style="1" min="4936" max="4936"/>
    <col width="0.7109375" customWidth="1" style="1" min="4937" max="4939"/>
    <col width="2.42578125" customWidth="1" style="1" min="4940" max="4940"/>
    <col width="0.7109375" customWidth="1" style="1" min="4941" max="4946"/>
    <col width="16.5703125" customWidth="1" style="1" min="4947" max="4947"/>
    <col width="0.7109375" customWidth="1" style="1" min="4948" max="4950"/>
    <col width="9.85546875" bestFit="1" customWidth="1" style="1" min="4951" max="4951"/>
    <col width="9.28515625" customWidth="1" style="1" min="4952" max="4954"/>
    <col width="0.7109375" customWidth="1" style="1" min="4955" max="5167"/>
    <col width="3.42578125" customWidth="1" style="1" min="5168" max="5168"/>
    <col width="2.42578125" customWidth="1" style="1" min="5169" max="5169"/>
    <col width="7" customWidth="1" style="1" min="5170" max="5170"/>
    <col width="0.7109375" customWidth="1" style="1" min="5171" max="5171"/>
    <col width="1.5703125" customWidth="1" style="1" min="5172" max="5172"/>
    <col width="0.7109375" customWidth="1" style="1" min="5173" max="5173"/>
    <col width="11.28515625" customWidth="1" style="1" min="5174" max="5174"/>
    <col width="0.7109375" customWidth="1" style="1" min="5175" max="5175"/>
    <col width="1.5703125" customWidth="1" style="1" min="5176" max="5176"/>
    <col width="0.7109375" customWidth="1" style="1" min="5177" max="5181"/>
    <col width="2.140625" customWidth="1" style="1" min="5182" max="5182"/>
    <col width="0.7109375" customWidth="1" style="1" min="5183" max="5183"/>
    <col width="1.5703125" customWidth="1" style="1" min="5184" max="5184"/>
    <col width="0.7109375" customWidth="1" style="1" min="5185" max="5185"/>
    <col width="7" bestFit="1" customWidth="1" style="1" min="5186" max="5186"/>
    <col width="0.7109375" customWidth="1" style="1" min="5187" max="5187"/>
    <col width="4" customWidth="1" style="1" min="5188" max="5188"/>
    <col width="0.7109375" customWidth="1" style="1" min="5189" max="5189"/>
    <col width="1.5703125" customWidth="1" style="1" min="5190" max="5190"/>
    <col width="0.7109375" customWidth="1" style="1" min="5191" max="5191"/>
    <col width="7" bestFit="1" customWidth="1" style="1" min="5192" max="5192"/>
    <col width="0.7109375" customWidth="1" style="1" min="5193" max="5195"/>
    <col width="2.42578125" customWidth="1" style="1" min="5196" max="5196"/>
    <col width="0.7109375" customWidth="1" style="1" min="5197" max="5202"/>
    <col width="16.5703125" customWidth="1" style="1" min="5203" max="5203"/>
    <col width="0.7109375" customWidth="1" style="1" min="5204" max="5206"/>
    <col width="9.85546875" bestFit="1" customWidth="1" style="1" min="5207" max="5207"/>
    <col width="9.28515625" customWidth="1" style="1" min="5208" max="5210"/>
    <col width="0.7109375" customWidth="1" style="1" min="5211" max="5423"/>
    <col width="3.42578125" customWidth="1" style="1" min="5424" max="5424"/>
    <col width="2.42578125" customWidth="1" style="1" min="5425" max="5425"/>
    <col width="7" customWidth="1" style="1" min="5426" max="5426"/>
    <col width="0.7109375" customWidth="1" style="1" min="5427" max="5427"/>
    <col width="1.5703125" customWidth="1" style="1" min="5428" max="5428"/>
    <col width="0.7109375" customWidth="1" style="1" min="5429" max="5429"/>
    <col width="11.28515625" customWidth="1" style="1" min="5430" max="5430"/>
    <col width="0.7109375" customWidth="1" style="1" min="5431" max="5431"/>
    <col width="1.5703125" customWidth="1" style="1" min="5432" max="5432"/>
    <col width="0.7109375" customWidth="1" style="1" min="5433" max="5437"/>
    <col width="2.140625" customWidth="1" style="1" min="5438" max="5438"/>
    <col width="0.7109375" customWidth="1" style="1" min="5439" max="5439"/>
    <col width="1.5703125" customWidth="1" style="1" min="5440" max="5440"/>
    <col width="0.7109375" customWidth="1" style="1" min="5441" max="5441"/>
    <col width="7" bestFit="1" customWidth="1" style="1" min="5442" max="5442"/>
    <col width="0.7109375" customWidth="1" style="1" min="5443" max="5443"/>
    <col width="4" customWidth="1" style="1" min="5444" max="5444"/>
    <col width="0.7109375" customWidth="1" style="1" min="5445" max="5445"/>
    <col width="1.5703125" customWidth="1" style="1" min="5446" max="5446"/>
    <col width="0.7109375" customWidth="1" style="1" min="5447" max="5447"/>
    <col width="7" bestFit="1" customWidth="1" style="1" min="5448" max="5448"/>
    <col width="0.7109375" customWidth="1" style="1" min="5449" max="5451"/>
    <col width="2.42578125" customWidth="1" style="1" min="5452" max="5452"/>
    <col width="0.7109375" customWidth="1" style="1" min="5453" max="5458"/>
    <col width="16.5703125" customWidth="1" style="1" min="5459" max="5459"/>
    <col width="0.7109375" customWidth="1" style="1" min="5460" max="5462"/>
    <col width="9.85546875" bestFit="1" customWidth="1" style="1" min="5463" max="5463"/>
    <col width="9.28515625" customWidth="1" style="1" min="5464" max="5466"/>
    <col width="0.7109375" customWidth="1" style="1" min="5467" max="5679"/>
    <col width="3.42578125" customWidth="1" style="1" min="5680" max="5680"/>
    <col width="2.42578125" customWidth="1" style="1" min="5681" max="5681"/>
    <col width="7" customWidth="1" style="1" min="5682" max="5682"/>
    <col width="0.7109375" customWidth="1" style="1" min="5683" max="5683"/>
    <col width="1.5703125" customWidth="1" style="1" min="5684" max="5684"/>
    <col width="0.7109375" customWidth="1" style="1" min="5685" max="5685"/>
    <col width="11.28515625" customWidth="1" style="1" min="5686" max="5686"/>
    <col width="0.7109375" customWidth="1" style="1" min="5687" max="5687"/>
    <col width="1.5703125" customWidth="1" style="1" min="5688" max="5688"/>
    <col width="0.7109375" customWidth="1" style="1" min="5689" max="5693"/>
    <col width="2.140625" customWidth="1" style="1" min="5694" max="5694"/>
    <col width="0.7109375" customWidth="1" style="1" min="5695" max="5695"/>
    <col width="1.5703125" customWidth="1" style="1" min="5696" max="5696"/>
    <col width="0.7109375" customWidth="1" style="1" min="5697" max="5697"/>
    <col width="7" bestFit="1" customWidth="1" style="1" min="5698" max="5698"/>
    <col width="0.7109375" customWidth="1" style="1" min="5699" max="5699"/>
    <col width="4" customWidth="1" style="1" min="5700" max="5700"/>
    <col width="0.7109375" customWidth="1" style="1" min="5701" max="5701"/>
    <col width="1.5703125" customWidth="1" style="1" min="5702" max="5702"/>
    <col width="0.7109375" customWidth="1" style="1" min="5703" max="5703"/>
    <col width="7" bestFit="1" customWidth="1" style="1" min="5704" max="5704"/>
    <col width="0.7109375" customWidth="1" style="1" min="5705" max="5707"/>
    <col width="2.42578125" customWidth="1" style="1" min="5708" max="5708"/>
    <col width="0.7109375" customWidth="1" style="1" min="5709" max="5714"/>
    <col width="16.5703125" customWidth="1" style="1" min="5715" max="5715"/>
    <col width="0.7109375" customWidth="1" style="1" min="5716" max="5718"/>
    <col width="9.85546875" bestFit="1" customWidth="1" style="1" min="5719" max="5719"/>
    <col width="9.28515625" customWidth="1" style="1" min="5720" max="5722"/>
    <col width="0.7109375" customWidth="1" style="1" min="5723" max="5935"/>
    <col width="3.42578125" customWidth="1" style="1" min="5936" max="5936"/>
    <col width="2.42578125" customWidth="1" style="1" min="5937" max="5937"/>
    <col width="7" customWidth="1" style="1" min="5938" max="5938"/>
    <col width="0.7109375" customWidth="1" style="1" min="5939" max="5939"/>
    <col width="1.5703125" customWidth="1" style="1" min="5940" max="5940"/>
    <col width="0.7109375" customWidth="1" style="1" min="5941" max="5941"/>
    <col width="11.28515625" customWidth="1" style="1" min="5942" max="5942"/>
    <col width="0.7109375" customWidth="1" style="1" min="5943" max="5943"/>
    <col width="1.5703125" customWidth="1" style="1" min="5944" max="5944"/>
    <col width="0.7109375" customWidth="1" style="1" min="5945" max="5949"/>
    <col width="2.140625" customWidth="1" style="1" min="5950" max="5950"/>
    <col width="0.7109375" customWidth="1" style="1" min="5951" max="5951"/>
    <col width="1.5703125" customWidth="1" style="1" min="5952" max="5952"/>
    <col width="0.7109375" customWidth="1" style="1" min="5953" max="5953"/>
    <col width="7" bestFit="1" customWidth="1" style="1" min="5954" max="5954"/>
    <col width="0.7109375" customWidth="1" style="1" min="5955" max="5955"/>
    <col width="4" customWidth="1" style="1" min="5956" max="5956"/>
    <col width="0.7109375" customWidth="1" style="1" min="5957" max="5957"/>
    <col width="1.5703125" customWidth="1" style="1" min="5958" max="5958"/>
    <col width="0.7109375" customWidth="1" style="1" min="5959" max="5959"/>
    <col width="7" bestFit="1" customWidth="1" style="1" min="5960" max="5960"/>
    <col width="0.7109375" customWidth="1" style="1" min="5961" max="5963"/>
    <col width="2.42578125" customWidth="1" style="1" min="5964" max="5964"/>
    <col width="0.7109375" customWidth="1" style="1" min="5965" max="5970"/>
    <col width="16.5703125" customWidth="1" style="1" min="5971" max="5971"/>
    <col width="0.7109375" customWidth="1" style="1" min="5972" max="5974"/>
    <col width="9.85546875" bestFit="1" customWidth="1" style="1" min="5975" max="5975"/>
    <col width="9.28515625" customWidth="1" style="1" min="5976" max="5978"/>
    <col width="0.7109375" customWidth="1" style="1" min="5979" max="6191"/>
    <col width="3.42578125" customWidth="1" style="1" min="6192" max="6192"/>
    <col width="2.42578125" customWidth="1" style="1" min="6193" max="6193"/>
    <col width="7" customWidth="1" style="1" min="6194" max="6194"/>
    <col width="0.7109375" customWidth="1" style="1" min="6195" max="6195"/>
    <col width="1.5703125" customWidth="1" style="1" min="6196" max="6196"/>
    <col width="0.7109375" customWidth="1" style="1" min="6197" max="6197"/>
    <col width="11.28515625" customWidth="1" style="1" min="6198" max="6198"/>
    <col width="0.7109375" customWidth="1" style="1" min="6199" max="6199"/>
    <col width="1.5703125" customWidth="1" style="1" min="6200" max="6200"/>
    <col width="0.7109375" customWidth="1" style="1" min="6201" max="6205"/>
    <col width="2.140625" customWidth="1" style="1" min="6206" max="6206"/>
    <col width="0.7109375" customWidth="1" style="1" min="6207" max="6207"/>
    <col width="1.5703125" customWidth="1" style="1" min="6208" max="6208"/>
    <col width="0.7109375" customWidth="1" style="1" min="6209" max="6209"/>
    <col width="7" bestFit="1" customWidth="1" style="1" min="6210" max="6210"/>
    <col width="0.7109375" customWidth="1" style="1" min="6211" max="6211"/>
    <col width="4" customWidth="1" style="1" min="6212" max="6212"/>
    <col width="0.7109375" customWidth="1" style="1" min="6213" max="6213"/>
    <col width="1.5703125" customWidth="1" style="1" min="6214" max="6214"/>
    <col width="0.7109375" customWidth="1" style="1" min="6215" max="6215"/>
    <col width="7" bestFit="1" customWidth="1" style="1" min="6216" max="6216"/>
    <col width="0.7109375" customWidth="1" style="1" min="6217" max="6219"/>
    <col width="2.42578125" customWidth="1" style="1" min="6220" max="6220"/>
    <col width="0.7109375" customWidth="1" style="1" min="6221" max="6226"/>
    <col width="16.5703125" customWidth="1" style="1" min="6227" max="6227"/>
    <col width="0.7109375" customWidth="1" style="1" min="6228" max="6230"/>
    <col width="9.85546875" bestFit="1" customWidth="1" style="1" min="6231" max="6231"/>
    <col width="9.28515625" customWidth="1" style="1" min="6232" max="6234"/>
    <col width="0.7109375" customWidth="1" style="1" min="6235" max="6447"/>
    <col width="3.42578125" customWidth="1" style="1" min="6448" max="6448"/>
    <col width="2.42578125" customWidth="1" style="1" min="6449" max="6449"/>
    <col width="7" customWidth="1" style="1" min="6450" max="6450"/>
    <col width="0.7109375" customWidth="1" style="1" min="6451" max="6451"/>
    <col width="1.5703125" customWidth="1" style="1" min="6452" max="6452"/>
    <col width="0.7109375" customWidth="1" style="1" min="6453" max="6453"/>
    <col width="11.28515625" customWidth="1" style="1" min="6454" max="6454"/>
    <col width="0.7109375" customWidth="1" style="1" min="6455" max="6455"/>
    <col width="1.5703125" customWidth="1" style="1" min="6456" max="6456"/>
    <col width="0.7109375" customWidth="1" style="1" min="6457" max="6461"/>
    <col width="2.140625" customWidth="1" style="1" min="6462" max="6462"/>
    <col width="0.7109375" customWidth="1" style="1" min="6463" max="6463"/>
    <col width="1.5703125" customWidth="1" style="1" min="6464" max="6464"/>
    <col width="0.7109375" customWidth="1" style="1" min="6465" max="6465"/>
    <col width="7" bestFit="1" customWidth="1" style="1" min="6466" max="6466"/>
    <col width="0.7109375" customWidth="1" style="1" min="6467" max="6467"/>
    <col width="4" customWidth="1" style="1" min="6468" max="6468"/>
    <col width="0.7109375" customWidth="1" style="1" min="6469" max="6469"/>
    <col width="1.5703125" customWidth="1" style="1" min="6470" max="6470"/>
    <col width="0.7109375" customWidth="1" style="1" min="6471" max="6471"/>
    <col width="7" bestFit="1" customWidth="1" style="1" min="6472" max="6472"/>
    <col width="0.7109375" customWidth="1" style="1" min="6473" max="6475"/>
    <col width="2.42578125" customWidth="1" style="1" min="6476" max="6476"/>
    <col width="0.7109375" customWidth="1" style="1" min="6477" max="6482"/>
    <col width="16.5703125" customWidth="1" style="1" min="6483" max="6483"/>
    <col width="0.7109375" customWidth="1" style="1" min="6484" max="6486"/>
    <col width="9.85546875" bestFit="1" customWidth="1" style="1" min="6487" max="6487"/>
    <col width="9.28515625" customWidth="1" style="1" min="6488" max="6490"/>
    <col width="0.7109375" customWidth="1" style="1" min="6491" max="6703"/>
    <col width="3.42578125" customWidth="1" style="1" min="6704" max="6704"/>
    <col width="2.42578125" customWidth="1" style="1" min="6705" max="6705"/>
    <col width="7" customWidth="1" style="1" min="6706" max="6706"/>
    <col width="0.7109375" customWidth="1" style="1" min="6707" max="6707"/>
    <col width="1.5703125" customWidth="1" style="1" min="6708" max="6708"/>
    <col width="0.7109375" customWidth="1" style="1" min="6709" max="6709"/>
    <col width="11.28515625" customWidth="1" style="1" min="6710" max="6710"/>
    <col width="0.7109375" customWidth="1" style="1" min="6711" max="6711"/>
    <col width="1.5703125" customWidth="1" style="1" min="6712" max="6712"/>
    <col width="0.7109375" customWidth="1" style="1" min="6713" max="6717"/>
    <col width="2.140625" customWidth="1" style="1" min="6718" max="6718"/>
    <col width="0.7109375" customWidth="1" style="1" min="6719" max="6719"/>
    <col width="1.5703125" customWidth="1" style="1" min="6720" max="6720"/>
    <col width="0.7109375" customWidth="1" style="1" min="6721" max="6721"/>
    <col width="7" bestFit="1" customWidth="1" style="1" min="6722" max="6722"/>
    <col width="0.7109375" customWidth="1" style="1" min="6723" max="6723"/>
    <col width="4" customWidth="1" style="1" min="6724" max="6724"/>
    <col width="0.7109375" customWidth="1" style="1" min="6725" max="6725"/>
    <col width="1.5703125" customWidth="1" style="1" min="6726" max="6726"/>
    <col width="0.7109375" customWidth="1" style="1" min="6727" max="6727"/>
    <col width="7" bestFit="1" customWidth="1" style="1" min="6728" max="6728"/>
    <col width="0.7109375" customWidth="1" style="1" min="6729" max="6731"/>
    <col width="2.42578125" customWidth="1" style="1" min="6732" max="6732"/>
    <col width="0.7109375" customWidth="1" style="1" min="6733" max="6738"/>
    <col width="16.5703125" customWidth="1" style="1" min="6739" max="6739"/>
    <col width="0.7109375" customWidth="1" style="1" min="6740" max="6742"/>
    <col width="9.85546875" bestFit="1" customWidth="1" style="1" min="6743" max="6743"/>
    <col width="9.28515625" customWidth="1" style="1" min="6744" max="6746"/>
    <col width="0.7109375" customWidth="1" style="1" min="6747" max="6959"/>
    <col width="3.42578125" customWidth="1" style="1" min="6960" max="6960"/>
    <col width="2.42578125" customWidth="1" style="1" min="6961" max="6961"/>
    <col width="7" customWidth="1" style="1" min="6962" max="6962"/>
    <col width="0.7109375" customWidth="1" style="1" min="6963" max="6963"/>
    <col width="1.5703125" customWidth="1" style="1" min="6964" max="6964"/>
    <col width="0.7109375" customWidth="1" style="1" min="6965" max="6965"/>
    <col width="11.28515625" customWidth="1" style="1" min="6966" max="6966"/>
    <col width="0.7109375" customWidth="1" style="1" min="6967" max="6967"/>
    <col width="1.5703125" customWidth="1" style="1" min="6968" max="6968"/>
    <col width="0.7109375" customWidth="1" style="1" min="6969" max="6973"/>
    <col width="2.140625" customWidth="1" style="1" min="6974" max="6974"/>
    <col width="0.7109375" customWidth="1" style="1" min="6975" max="6975"/>
    <col width="1.5703125" customWidth="1" style="1" min="6976" max="6976"/>
    <col width="0.7109375" customWidth="1" style="1" min="6977" max="6977"/>
    <col width="7" bestFit="1" customWidth="1" style="1" min="6978" max="6978"/>
    <col width="0.7109375" customWidth="1" style="1" min="6979" max="6979"/>
    <col width="4" customWidth="1" style="1" min="6980" max="6980"/>
    <col width="0.7109375" customWidth="1" style="1" min="6981" max="6981"/>
    <col width="1.5703125" customWidth="1" style="1" min="6982" max="6982"/>
    <col width="0.7109375" customWidth="1" style="1" min="6983" max="6983"/>
    <col width="7" bestFit="1" customWidth="1" style="1" min="6984" max="6984"/>
    <col width="0.7109375" customWidth="1" style="1" min="6985" max="6987"/>
    <col width="2.42578125" customWidth="1" style="1" min="6988" max="6988"/>
    <col width="0.7109375" customWidth="1" style="1" min="6989" max="6994"/>
    <col width="16.5703125" customWidth="1" style="1" min="6995" max="6995"/>
    <col width="0.7109375" customWidth="1" style="1" min="6996" max="6998"/>
    <col width="9.85546875" bestFit="1" customWidth="1" style="1" min="6999" max="6999"/>
    <col width="9.28515625" customWidth="1" style="1" min="7000" max="7002"/>
    <col width="0.7109375" customWidth="1" style="1" min="7003" max="7215"/>
    <col width="3.42578125" customWidth="1" style="1" min="7216" max="7216"/>
    <col width="2.42578125" customWidth="1" style="1" min="7217" max="7217"/>
    <col width="7" customWidth="1" style="1" min="7218" max="7218"/>
    <col width="0.7109375" customWidth="1" style="1" min="7219" max="7219"/>
    <col width="1.5703125" customWidth="1" style="1" min="7220" max="7220"/>
    <col width="0.7109375" customWidth="1" style="1" min="7221" max="7221"/>
    <col width="11.28515625" customWidth="1" style="1" min="7222" max="7222"/>
    <col width="0.7109375" customWidth="1" style="1" min="7223" max="7223"/>
    <col width="1.5703125" customWidth="1" style="1" min="7224" max="7224"/>
    <col width="0.7109375" customWidth="1" style="1" min="7225" max="7229"/>
    <col width="2.140625" customWidth="1" style="1" min="7230" max="7230"/>
    <col width="0.7109375" customWidth="1" style="1" min="7231" max="7231"/>
    <col width="1.5703125" customWidth="1" style="1" min="7232" max="7232"/>
    <col width="0.7109375" customWidth="1" style="1" min="7233" max="7233"/>
    <col width="7" bestFit="1" customWidth="1" style="1" min="7234" max="7234"/>
    <col width="0.7109375" customWidth="1" style="1" min="7235" max="7235"/>
    <col width="4" customWidth="1" style="1" min="7236" max="7236"/>
    <col width="0.7109375" customWidth="1" style="1" min="7237" max="7237"/>
    <col width="1.5703125" customWidth="1" style="1" min="7238" max="7238"/>
    <col width="0.7109375" customWidth="1" style="1" min="7239" max="7239"/>
    <col width="7" bestFit="1" customWidth="1" style="1" min="7240" max="7240"/>
    <col width="0.7109375" customWidth="1" style="1" min="7241" max="7243"/>
    <col width="2.42578125" customWidth="1" style="1" min="7244" max="7244"/>
    <col width="0.7109375" customWidth="1" style="1" min="7245" max="7250"/>
    <col width="16.5703125" customWidth="1" style="1" min="7251" max="7251"/>
    <col width="0.7109375" customWidth="1" style="1" min="7252" max="7254"/>
    <col width="9.85546875" bestFit="1" customWidth="1" style="1" min="7255" max="7255"/>
    <col width="9.28515625" customWidth="1" style="1" min="7256" max="7258"/>
    <col width="0.7109375" customWidth="1" style="1" min="7259" max="7471"/>
    <col width="3.42578125" customWidth="1" style="1" min="7472" max="7472"/>
    <col width="2.42578125" customWidth="1" style="1" min="7473" max="7473"/>
    <col width="7" customWidth="1" style="1" min="7474" max="7474"/>
    <col width="0.7109375" customWidth="1" style="1" min="7475" max="7475"/>
    <col width="1.5703125" customWidth="1" style="1" min="7476" max="7476"/>
    <col width="0.7109375" customWidth="1" style="1" min="7477" max="7477"/>
    <col width="11.28515625" customWidth="1" style="1" min="7478" max="7478"/>
    <col width="0.7109375" customWidth="1" style="1" min="7479" max="7479"/>
    <col width="1.5703125" customWidth="1" style="1" min="7480" max="7480"/>
    <col width="0.7109375" customWidth="1" style="1" min="7481" max="7485"/>
    <col width="2.140625" customWidth="1" style="1" min="7486" max="7486"/>
    <col width="0.7109375" customWidth="1" style="1" min="7487" max="7487"/>
    <col width="1.5703125" customWidth="1" style="1" min="7488" max="7488"/>
    <col width="0.7109375" customWidth="1" style="1" min="7489" max="7489"/>
    <col width="7" bestFit="1" customWidth="1" style="1" min="7490" max="7490"/>
    <col width="0.7109375" customWidth="1" style="1" min="7491" max="7491"/>
    <col width="4" customWidth="1" style="1" min="7492" max="7492"/>
    <col width="0.7109375" customWidth="1" style="1" min="7493" max="7493"/>
    <col width="1.5703125" customWidth="1" style="1" min="7494" max="7494"/>
    <col width="0.7109375" customWidth="1" style="1" min="7495" max="7495"/>
    <col width="7" bestFit="1" customWidth="1" style="1" min="7496" max="7496"/>
    <col width="0.7109375" customWidth="1" style="1" min="7497" max="7499"/>
    <col width="2.42578125" customWidth="1" style="1" min="7500" max="7500"/>
    <col width="0.7109375" customWidth="1" style="1" min="7501" max="7506"/>
    <col width="16.5703125" customWidth="1" style="1" min="7507" max="7507"/>
    <col width="0.7109375" customWidth="1" style="1" min="7508" max="7510"/>
    <col width="9.85546875" bestFit="1" customWidth="1" style="1" min="7511" max="7511"/>
    <col width="9.28515625" customWidth="1" style="1" min="7512" max="7514"/>
    <col width="0.7109375" customWidth="1" style="1" min="7515" max="7727"/>
    <col width="3.42578125" customWidth="1" style="1" min="7728" max="7728"/>
    <col width="2.42578125" customWidth="1" style="1" min="7729" max="7729"/>
    <col width="7" customWidth="1" style="1" min="7730" max="7730"/>
    <col width="0.7109375" customWidth="1" style="1" min="7731" max="7731"/>
    <col width="1.5703125" customWidth="1" style="1" min="7732" max="7732"/>
    <col width="0.7109375" customWidth="1" style="1" min="7733" max="7733"/>
    <col width="11.28515625" customWidth="1" style="1" min="7734" max="7734"/>
    <col width="0.7109375" customWidth="1" style="1" min="7735" max="7735"/>
    <col width="1.5703125" customWidth="1" style="1" min="7736" max="7736"/>
    <col width="0.7109375" customWidth="1" style="1" min="7737" max="7741"/>
    <col width="2.140625" customWidth="1" style="1" min="7742" max="7742"/>
    <col width="0.7109375" customWidth="1" style="1" min="7743" max="7743"/>
    <col width="1.5703125" customWidth="1" style="1" min="7744" max="7744"/>
    <col width="0.7109375" customWidth="1" style="1" min="7745" max="7745"/>
    <col width="7" bestFit="1" customWidth="1" style="1" min="7746" max="7746"/>
    <col width="0.7109375" customWidth="1" style="1" min="7747" max="7747"/>
    <col width="4" customWidth="1" style="1" min="7748" max="7748"/>
    <col width="0.7109375" customWidth="1" style="1" min="7749" max="7749"/>
    <col width="1.5703125" customWidth="1" style="1" min="7750" max="7750"/>
    <col width="0.7109375" customWidth="1" style="1" min="7751" max="7751"/>
    <col width="7" bestFit="1" customWidth="1" style="1" min="7752" max="7752"/>
    <col width="0.7109375" customWidth="1" style="1" min="7753" max="7755"/>
    <col width="2.42578125" customWidth="1" style="1" min="7756" max="7756"/>
    <col width="0.7109375" customWidth="1" style="1" min="7757" max="7762"/>
    <col width="16.5703125" customWidth="1" style="1" min="7763" max="7763"/>
    <col width="0.7109375" customWidth="1" style="1" min="7764" max="7766"/>
    <col width="9.85546875" bestFit="1" customWidth="1" style="1" min="7767" max="7767"/>
    <col width="9.28515625" customWidth="1" style="1" min="7768" max="7770"/>
    <col width="0.7109375" customWidth="1" style="1" min="7771" max="7983"/>
    <col width="3.42578125" customWidth="1" style="1" min="7984" max="7984"/>
    <col width="2.42578125" customWidth="1" style="1" min="7985" max="7985"/>
    <col width="7" customWidth="1" style="1" min="7986" max="7986"/>
    <col width="0.7109375" customWidth="1" style="1" min="7987" max="7987"/>
    <col width="1.5703125" customWidth="1" style="1" min="7988" max="7988"/>
    <col width="0.7109375" customWidth="1" style="1" min="7989" max="7989"/>
    <col width="11.28515625" customWidth="1" style="1" min="7990" max="7990"/>
    <col width="0.7109375" customWidth="1" style="1" min="7991" max="7991"/>
    <col width="1.5703125" customWidth="1" style="1" min="7992" max="7992"/>
    <col width="0.7109375" customWidth="1" style="1" min="7993" max="7997"/>
    <col width="2.140625" customWidth="1" style="1" min="7998" max="7998"/>
    <col width="0.7109375" customWidth="1" style="1" min="7999" max="7999"/>
    <col width="1.5703125" customWidth="1" style="1" min="8000" max="8000"/>
    <col width="0.7109375" customWidth="1" style="1" min="8001" max="8001"/>
    <col width="7" bestFit="1" customWidth="1" style="1" min="8002" max="8002"/>
    <col width="0.7109375" customWidth="1" style="1" min="8003" max="8003"/>
    <col width="4" customWidth="1" style="1" min="8004" max="8004"/>
    <col width="0.7109375" customWidth="1" style="1" min="8005" max="8005"/>
    <col width="1.5703125" customWidth="1" style="1" min="8006" max="8006"/>
    <col width="0.7109375" customWidth="1" style="1" min="8007" max="8007"/>
    <col width="7" bestFit="1" customWidth="1" style="1" min="8008" max="8008"/>
    <col width="0.7109375" customWidth="1" style="1" min="8009" max="8011"/>
    <col width="2.42578125" customWidth="1" style="1" min="8012" max="8012"/>
    <col width="0.7109375" customWidth="1" style="1" min="8013" max="8018"/>
    <col width="16.5703125" customWidth="1" style="1" min="8019" max="8019"/>
    <col width="0.7109375" customWidth="1" style="1" min="8020" max="8022"/>
    <col width="9.85546875" bestFit="1" customWidth="1" style="1" min="8023" max="8023"/>
    <col width="9.28515625" customWidth="1" style="1" min="8024" max="8026"/>
    <col width="0.7109375" customWidth="1" style="1" min="8027" max="8239"/>
    <col width="3.42578125" customWidth="1" style="1" min="8240" max="8240"/>
    <col width="2.42578125" customWidth="1" style="1" min="8241" max="8241"/>
    <col width="7" customWidth="1" style="1" min="8242" max="8242"/>
    <col width="0.7109375" customWidth="1" style="1" min="8243" max="8243"/>
    <col width="1.5703125" customWidth="1" style="1" min="8244" max="8244"/>
    <col width="0.7109375" customWidth="1" style="1" min="8245" max="8245"/>
    <col width="11.28515625" customWidth="1" style="1" min="8246" max="8246"/>
    <col width="0.7109375" customWidth="1" style="1" min="8247" max="8247"/>
    <col width="1.5703125" customWidth="1" style="1" min="8248" max="8248"/>
    <col width="0.7109375" customWidth="1" style="1" min="8249" max="8253"/>
    <col width="2.140625" customWidth="1" style="1" min="8254" max="8254"/>
    <col width="0.7109375" customWidth="1" style="1" min="8255" max="8255"/>
    <col width="1.5703125" customWidth="1" style="1" min="8256" max="8256"/>
    <col width="0.7109375" customWidth="1" style="1" min="8257" max="8257"/>
    <col width="7" bestFit="1" customWidth="1" style="1" min="8258" max="8258"/>
    <col width="0.7109375" customWidth="1" style="1" min="8259" max="8259"/>
    <col width="4" customWidth="1" style="1" min="8260" max="8260"/>
    <col width="0.7109375" customWidth="1" style="1" min="8261" max="8261"/>
    <col width="1.5703125" customWidth="1" style="1" min="8262" max="8262"/>
    <col width="0.7109375" customWidth="1" style="1" min="8263" max="8263"/>
    <col width="7" bestFit="1" customWidth="1" style="1" min="8264" max="8264"/>
    <col width="0.7109375" customWidth="1" style="1" min="8265" max="8267"/>
    <col width="2.42578125" customWidth="1" style="1" min="8268" max="8268"/>
    <col width="0.7109375" customWidth="1" style="1" min="8269" max="8274"/>
    <col width="16.5703125" customWidth="1" style="1" min="8275" max="8275"/>
    <col width="0.7109375" customWidth="1" style="1" min="8276" max="8278"/>
    <col width="9.85546875" bestFit="1" customWidth="1" style="1" min="8279" max="8279"/>
    <col width="9.28515625" customWidth="1" style="1" min="8280" max="8282"/>
    <col width="0.7109375" customWidth="1" style="1" min="8283" max="8495"/>
    <col width="3.42578125" customWidth="1" style="1" min="8496" max="8496"/>
    <col width="2.42578125" customWidth="1" style="1" min="8497" max="8497"/>
    <col width="7" customWidth="1" style="1" min="8498" max="8498"/>
    <col width="0.7109375" customWidth="1" style="1" min="8499" max="8499"/>
    <col width="1.5703125" customWidth="1" style="1" min="8500" max="8500"/>
    <col width="0.7109375" customWidth="1" style="1" min="8501" max="8501"/>
    <col width="11.28515625" customWidth="1" style="1" min="8502" max="8502"/>
    <col width="0.7109375" customWidth="1" style="1" min="8503" max="8503"/>
    <col width="1.5703125" customWidth="1" style="1" min="8504" max="8504"/>
    <col width="0.7109375" customWidth="1" style="1" min="8505" max="8509"/>
    <col width="2.140625" customWidth="1" style="1" min="8510" max="8510"/>
    <col width="0.7109375" customWidth="1" style="1" min="8511" max="8511"/>
    <col width="1.5703125" customWidth="1" style="1" min="8512" max="8512"/>
    <col width="0.7109375" customWidth="1" style="1" min="8513" max="8513"/>
    <col width="7" bestFit="1" customWidth="1" style="1" min="8514" max="8514"/>
    <col width="0.7109375" customWidth="1" style="1" min="8515" max="8515"/>
    <col width="4" customWidth="1" style="1" min="8516" max="8516"/>
    <col width="0.7109375" customWidth="1" style="1" min="8517" max="8517"/>
    <col width="1.5703125" customWidth="1" style="1" min="8518" max="8518"/>
    <col width="0.7109375" customWidth="1" style="1" min="8519" max="8519"/>
    <col width="7" bestFit="1" customWidth="1" style="1" min="8520" max="8520"/>
    <col width="0.7109375" customWidth="1" style="1" min="8521" max="8523"/>
    <col width="2.42578125" customWidth="1" style="1" min="8524" max="8524"/>
    <col width="0.7109375" customWidth="1" style="1" min="8525" max="8530"/>
    <col width="16.5703125" customWidth="1" style="1" min="8531" max="8531"/>
    <col width="0.7109375" customWidth="1" style="1" min="8532" max="8534"/>
    <col width="9.85546875" bestFit="1" customWidth="1" style="1" min="8535" max="8535"/>
    <col width="9.28515625" customWidth="1" style="1" min="8536" max="8538"/>
    <col width="0.7109375" customWidth="1" style="1" min="8539" max="8751"/>
    <col width="3.42578125" customWidth="1" style="1" min="8752" max="8752"/>
    <col width="2.42578125" customWidth="1" style="1" min="8753" max="8753"/>
    <col width="7" customWidth="1" style="1" min="8754" max="8754"/>
    <col width="0.7109375" customWidth="1" style="1" min="8755" max="8755"/>
    <col width="1.5703125" customWidth="1" style="1" min="8756" max="8756"/>
    <col width="0.7109375" customWidth="1" style="1" min="8757" max="8757"/>
    <col width="11.28515625" customWidth="1" style="1" min="8758" max="8758"/>
    <col width="0.7109375" customWidth="1" style="1" min="8759" max="8759"/>
    <col width="1.5703125" customWidth="1" style="1" min="8760" max="8760"/>
    <col width="0.7109375" customWidth="1" style="1" min="8761" max="8765"/>
    <col width="2.140625" customWidth="1" style="1" min="8766" max="8766"/>
    <col width="0.7109375" customWidth="1" style="1" min="8767" max="8767"/>
    <col width="1.5703125" customWidth="1" style="1" min="8768" max="8768"/>
    <col width="0.7109375" customWidth="1" style="1" min="8769" max="8769"/>
    <col width="7" bestFit="1" customWidth="1" style="1" min="8770" max="8770"/>
    <col width="0.7109375" customWidth="1" style="1" min="8771" max="8771"/>
    <col width="4" customWidth="1" style="1" min="8772" max="8772"/>
    <col width="0.7109375" customWidth="1" style="1" min="8773" max="8773"/>
    <col width="1.5703125" customWidth="1" style="1" min="8774" max="8774"/>
    <col width="0.7109375" customWidth="1" style="1" min="8775" max="8775"/>
    <col width="7" bestFit="1" customWidth="1" style="1" min="8776" max="8776"/>
    <col width="0.7109375" customWidth="1" style="1" min="8777" max="8779"/>
    <col width="2.42578125" customWidth="1" style="1" min="8780" max="8780"/>
    <col width="0.7109375" customWidth="1" style="1" min="8781" max="8786"/>
    <col width="16.5703125" customWidth="1" style="1" min="8787" max="8787"/>
    <col width="0.7109375" customWidth="1" style="1" min="8788" max="8790"/>
    <col width="9.85546875" bestFit="1" customWidth="1" style="1" min="8791" max="8791"/>
    <col width="9.28515625" customWidth="1" style="1" min="8792" max="8794"/>
    <col width="0.7109375" customWidth="1" style="1" min="8795" max="9007"/>
    <col width="3.42578125" customWidth="1" style="1" min="9008" max="9008"/>
    <col width="2.42578125" customWidth="1" style="1" min="9009" max="9009"/>
    <col width="7" customWidth="1" style="1" min="9010" max="9010"/>
    <col width="0.7109375" customWidth="1" style="1" min="9011" max="9011"/>
    <col width="1.5703125" customWidth="1" style="1" min="9012" max="9012"/>
    <col width="0.7109375" customWidth="1" style="1" min="9013" max="9013"/>
    <col width="11.28515625" customWidth="1" style="1" min="9014" max="9014"/>
    <col width="0.7109375" customWidth="1" style="1" min="9015" max="9015"/>
    <col width="1.5703125" customWidth="1" style="1" min="9016" max="9016"/>
    <col width="0.7109375" customWidth="1" style="1" min="9017" max="9021"/>
    <col width="2.140625" customWidth="1" style="1" min="9022" max="9022"/>
    <col width="0.7109375" customWidth="1" style="1" min="9023" max="9023"/>
    <col width="1.5703125" customWidth="1" style="1" min="9024" max="9024"/>
    <col width="0.7109375" customWidth="1" style="1" min="9025" max="9025"/>
    <col width="7" bestFit="1" customWidth="1" style="1" min="9026" max="9026"/>
    <col width="0.7109375" customWidth="1" style="1" min="9027" max="9027"/>
    <col width="4" customWidth="1" style="1" min="9028" max="9028"/>
    <col width="0.7109375" customWidth="1" style="1" min="9029" max="9029"/>
    <col width="1.5703125" customWidth="1" style="1" min="9030" max="9030"/>
    <col width="0.7109375" customWidth="1" style="1" min="9031" max="9031"/>
    <col width="7" bestFit="1" customWidth="1" style="1" min="9032" max="9032"/>
    <col width="0.7109375" customWidth="1" style="1" min="9033" max="9035"/>
    <col width="2.42578125" customWidth="1" style="1" min="9036" max="9036"/>
    <col width="0.7109375" customWidth="1" style="1" min="9037" max="9042"/>
    <col width="16.5703125" customWidth="1" style="1" min="9043" max="9043"/>
    <col width="0.7109375" customWidth="1" style="1" min="9044" max="9046"/>
    <col width="9.85546875" bestFit="1" customWidth="1" style="1" min="9047" max="9047"/>
    <col width="9.28515625" customWidth="1" style="1" min="9048" max="9050"/>
    <col width="0.7109375" customWidth="1" style="1" min="9051" max="9263"/>
    <col width="3.42578125" customWidth="1" style="1" min="9264" max="9264"/>
    <col width="2.42578125" customWidth="1" style="1" min="9265" max="9265"/>
    <col width="7" customWidth="1" style="1" min="9266" max="9266"/>
    <col width="0.7109375" customWidth="1" style="1" min="9267" max="9267"/>
    <col width="1.5703125" customWidth="1" style="1" min="9268" max="9268"/>
    <col width="0.7109375" customWidth="1" style="1" min="9269" max="9269"/>
    <col width="11.28515625" customWidth="1" style="1" min="9270" max="9270"/>
    <col width="0.7109375" customWidth="1" style="1" min="9271" max="9271"/>
    <col width="1.5703125" customWidth="1" style="1" min="9272" max="9272"/>
    <col width="0.7109375" customWidth="1" style="1" min="9273" max="9277"/>
    <col width="2.140625" customWidth="1" style="1" min="9278" max="9278"/>
    <col width="0.7109375" customWidth="1" style="1" min="9279" max="9279"/>
    <col width="1.5703125" customWidth="1" style="1" min="9280" max="9280"/>
    <col width="0.7109375" customWidth="1" style="1" min="9281" max="9281"/>
    <col width="7" bestFit="1" customWidth="1" style="1" min="9282" max="9282"/>
    <col width="0.7109375" customWidth="1" style="1" min="9283" max="9283"/>
    <col width="4" customWidth="1" style="1" min="9284" max="9284"/>
    <col width="0.7109375" customWidth="1" style="1" min="9285" max="9285"/>
    <col width="1.5703125" customWidth="1" style="1" min="9286" max="9286"/>
    <col width="0.7109375" customWidth="1" style="1" min="9287" max="9287"/>
    <col width="7" bestFit="1" customWidth="1" style="1" min="9288" max="9288"/>
    <col width="0.7109375" customWidth="1" style="1" min="9289" max="9291"/>
    <col width="2.42578125" customWidth="1" style="1" min="9292" max="9292"/>
    <col width="0.7109375" customWidth="1" style="1" min="9293" max="9298"/>
    <col width="16.5703125" customWidth="1" style="1" min="9299" max="9299"/>
    <col width="0.7109375" customWidth="1" style="1" min="9300" max="9302"/>
    <col width="9.85546875" bestFit="1" customWidth="1" style="1" min="9303" max="9303"/>
    <col width="9.28515625" customWidth="1" style="1" min="9304" max="9306"/>
    <col width="0.7109375" customWidth="1" style="1" min="9307" max="9519"/>
    <col width="3.42578125" customWidth="1" style="1" min="9520" max="9520"/>
    <col width="2.42578125" customWidth="1" style="1" min="9521" max="9521"/>
    <col width="7" customWidth="1" style="1" min="9522" max="9522"/>
    <col width="0.7109375" customWidth="1" style="1" min="9523" max="9523"/>
    <col width="1.5703125" customWidth="1" style="1" min="9524" max="9524"/>
    <col width="0.7109375" customWidth="1" style="1" min="9525" max="9525"/>
    <col width="11.28515625" customWidth="1" style="1" min="9526" max="9526"/>
    <col width="0.7109375" customWidth="1" style="1" min="9527" max="9527"/>
    <col width="1.5703125" customWidth="1" style="1" min="9528" max="9528"/>
    <col width="0.7109375" customWidth="1" style="1" min="9529" max="9533"/>
    <col width="2.140625" customWidth="1" style="1" min="9534" max="9534"/>
    <col width="0.7109375" customWidth="1" style="1" min="9535" max="9535"/>
    <col width="1.5703125" customWidth="1" style="1" min="9536" max="9536"/>
    <col width="0.7109375" customWidth="1" style="1" min="9537" max="9537"/>
    <col width="7" bestFit="1" customWidth="1" style="1" min="9538" max="9538"/>
    <col width="0.7109375" customWidth="1" style="1" min="9539" max="9539"/>
    <col width="4" customWidth="1" style="1" min="9540" max="9540"/>
    <col width="0.7109375" customWidth="1" style="1" min="9541" max="9541"/>
    <col width="1.5703125" customWidth="1" style="1" min="9542" max="9542"/>
    <col width="0.7109375" customWidth="1" style="1" min="9543" max="9543"/>
    <col width="7" bestFit="1" customWidth="1" style="1" min="9544" max="9544"/>
    <col width="0.7109375" customWidth="1" style="1" min="9545" max="9547"/>
    <col width="2.42578125" customWidth="1" style="1" min="9548" max="9548"/>
    <col width="0.7109375" customWidth="1" style="1" min="9549" max="9554"/>
    <col width="16.5703125" customWidth="1" style="1" min="9555" max="9555"/>
    <col width="0.7109375" customWidth="1" style="1" min="9556" max="9558"/>
    <col width="9.85546875" bestFit="1" customWidth="1" style="1" min="9559" max="9559"/>
    <col width="9.28515625" customWidth="1" style="1" min="9560" max="9562"/>
    <col width="0.7109375" customWidth="1" style="1" min="9563" max="9775"/>
    <col width="3.42578125" customWidth="1" style="1" min="9776" max="9776"/>
    <col width="2.42578125" customWidth="1" style="1" min="9777" max="9777"/>
    <col width="7" customWidth="1" style="1" min="9778" max="9778"/>
    <col width="0.7109375" customWidth="1" style="1" min="9779" max="9779"/>
    <col width="1.5703125" customWidth="1" style="1" min="9780" max="9780"/>
    <col width="0.7109375" customWidth="1" style="1" min="9781" max="9781"/>
    <col width="11.28515625" customWidth="1" style="1" min="9782" max="9782"/>
    <col width="0.7109375" customWidth="1" style="1" min="9783" max="9783"/>
    <col width="1.5703125" customWidth="1" style="1" min="9784" max="9784"/>
    <col width="0.7109375" customWidth="1" style="1" min="9785" max="9789"/>
    <col width="2.140625" customWidth="1" style="1" min="9790" max="9790"/>
    <col width="0.7109375" customWidth="1" style="1" min="9791" max="9791"/>
    <col width="1.5703125" customWidth="1" style="1" min="9792" max="9792"/>
    <col width="0.7109375" customWidth="1" style="1" min="9793" max="9793"/>
    <col width="7" bestFit="1" customWidth="1" style="1" min="9794" max="9794"/>
    <col width="0.7109375" customWidth="1" style="1" min="9795" max="9795"/>
    <col width="4" customWidth="1" style="1" min="9796" max="9796"/>
    <col width="0.7109375" customWidth="1" style="1" min="9797" max="9797"/>
    <col width="1.5703125" customWidth="1" style="1" min="9798" max="9798"/>
    <col width="0.7109375" customWidth="1" style="1" min="9799" max="9799"/>
    <col width="7" bestFit="1" customWidth="1" style="1" min="9800" max="9800"/>
    <col width="0.7109375" customWidth="1" style="1" min="9801" max="9803"/>
    <col width="2.42578125" customWidth="1" style="1" min="9804" max="9804"/>
    <col width="0.7109375" customWidth="1" style="1" min="9805" max="9810"/>
    <col width="16.5703125" customWidth="1" style="1" min="9811" max="9811"/>
    <col width="0.7109375" customWidth="1" style="1" min="9812" max="9814"/>
    <col width="9.85546875" bestFit="1" customWidth="1" style="1" min="9815" max="9815"/>
    <col width="9.28515625" customWidth="1" style="1" min="9816" max="9818"/>
    <col width="0.7109375" customWidth="1" style="1" min="9819" max="10031"/>
    <col width="3.42578125" customWidth="1" style="1" min="10032" max="10032"/>
    <col width="2.42578125" customWidth="1" style="1" min="10033" max="10033"/>
    <col width="7" customWidth="1" style="1" min="10034" max="10034"/>
    <col width="0.7109375" customWidth="1" style="1" min="10035" max="10035"/>
    <col width="1.5703125" customWidth="1" style="1" min="10036" max="10036"/>
    <col width="0.7109375" customWidth="1" style="1" min="10037" max="10037"/>
    <col width="11.28515625" customWidth="1" style="1" min="10038" max="10038"/>
    <col width="0.7109375" customWidth="1" style="1" min="10039" max="10039"/>
    <col width="1.5703125" customWidth="1" style="1" min="10040" max="10040"/>
    <col width="0.7109375" customWidth="1" style="1" min="10041" max="10045"/>
    <col width="2.140625" customWidth="1" style="1" min="10046" max="10046"/>
    <col width="0.7109375" customWidth="1" style="1" min="10047" max="10047"/>
    <col width="1.5703125" customWidth="1" style="1" min="10048" max="10048"/>
    <col width="0.7109375" customWidth="1" style="1" min="10049" max="10049"/>
    <col width="7" bestFit="1" customWidth="1" style="1" min="10050" max="10050"/>
    <col width="0.7109375" customWidth="1" style="1" min="10051" max="10051"/>
    <col width="4" customWidth="1" style="1" min="10052" max="10052"/>
    <col width="0.7109375" customWidth="1" style="1" min="10053" max="10053"/>
    <col width="1.5703125" customWidth="1" style="1" min="10054" max="10054"/>
    <col width="0.7109375" customWidth="1" style="1" min="10055" max="10055"/>
    <col width="7" bestFit="1" customWidth="1" style="1" min="10056" max="10056"/>
    <col width="0.7109375" customWidth="1" style="1" min="10057" max="10059"/>
    <col width="2.42578125" customWidth="1" style="1" min="10060" max="10060"/>
    <col width="0.7109375" customWidth="1" style="1" min="10061" max="10066"/>
    <col width="16.5703125" customWidth="1" style="1" min="10067" max="10067"/>
    <col width="0.7109375" customWidth="1" style="1" min="10068" max="10070"/>
    <col width="9.85546875" bestFit="1" customWidth="1" style="1" min="10071" max="10071"/>
    <col width="9.28515625" customWidth="1" style="1" min="10072" max="10074"/>
    <col width="0.7109375" customWidth="1" style="1" min="10075" max="10287"/>
    <col width="3.42578125" customWidth="1" style="1" min="10288" max="10288"/>
    <col width="2.42578125" customWidth="1" style="1" min="10289" max="10289"/>
    <col width="7" customWidth="1" style="1" min="10290" max="10290"/>
    <col width="0.7109375" customWidth="1" style="1" min="10291" max="10291"/>
    <col width="1.5703125" customWidth="1" style="1" min="10292" max="10292"/>
    <col width="0.7109375" customWidth="1" style="1" min="10293" max="10293"/>
    <col width="11.28515625" customWidth="1" style="1" min="10294" max="10294"/>
    <col width="0.7109375" customWidth="1" style="1" min="10295" max="10295"/>
    <col width="1.5703125" customWidth="1" style="1" min="10296" max="10296"/>
    <col width="0.7109375" customWidth="1" style="1" min="10297" max="10301"/>
    <col width="2.140625" customWidth="1" style="1" min="10302" max="10302"/>
    <col width="0.7109375" customWidth="1" style="1" min="10303" max="10303"/>
    <col width="1.5703125" customWidth="1" style="1" min="10304" max="10304"/>
    <col width="0.7109375" customWidth="1" style="1" min="10305" max="10305"/>
    <col width="7" bestFit="1" customWidth="1" style="1" min="10306" max="10306"/>
    <col width="0.7109375" customWidth="1" style="1" min="10307" max="10307"/>
    <col width="4" customWidth="1" style="1" min="10308" max="10308"/>
    <col width="0.7109375" customWidth="1" style="1" min="10309" max="10309"/>
    <col width="1.5703125" customWidth="1" style="1" min="10310" max="10310"/>
    <col width="0.7109375" customWidth="1" style="1" min="10311" max="10311"/>
    <col width="7" bestFit="1" customWidth="1" style="1" min="10312" max="10312"/>
    <col width="0.7109375" customWidth="1" style="1" min="10313" max="10315"/>
    <col width="2.42578125" customWidth="1" style="1" min="10316" max="10316"/>
    <col width="0.7109375" customWidth="1" style="1" min="10317" max="10322"/>
    <col width="16.5703125" customWidth="1" style="1" min="10323" max="10323"/>
    <col width="0.7109375" customWidth="1" style="1" min="10324" max="10326"/>
    <col width="9.85546875" bestFit="1" customWidth="1" style="1" min="10327" max="10327"/>
    <col width="9.28515625" customWidth="1" style="1" min="10328" max="10330"/>
    <col width="0.7109375" customWidth="1" style="1" min="10331" max="10543"/>
    <col width="3.42578125" customWidth="1" style="1" min="10544" max="10544"/>
    <col width="2.42578125" customWidth="1" style="1" min="10545" max="10545"/>
    <col width="7" customWidth="1" style="1" min="10546" max="10546"/>
    <col width="0.7109375" customWidth="1" style="1" min="10547" max="10547"/>
    <col width="1.5703125" customWidth="1" style="1" min="10548" max="10548"/>
    <col width="0.7109375" customWidth="1" style="1" min="10549" max="10549"/>
    <col width="11.28515625" customWidth="1" style="1" min="10550" max="10550"/>
    <col width="0.7109375" customWidth="1" style="1" min="10551" max="10551"/>
    <col width="1.5703125" customWidth="1" style="1" min="10552" max="10552"/>
    <col width="0.7109375" customWidth="1" style="1" min="10553" max="10557"/>
    <col width="2.140625" customWidth="1" style="1" min="10558" max="10558"/>
    <col width="0.7109375" customWidth="1" style="1" min="10559" max="10559"/>
    <col width="1.5703125" customWidth="1" style="1" min="10560" max="10560"/>
    <col width="0.7109375" customWidth="1" style="1" min="10561" max="10561"/>
    <col width="7" bestFit="1" customWidth="1" style="1" min="10562" max="10562"/>
    <col width="0.7109375" customWidth="1" style="1" min="10563" max="10563"/>
    <col width="4" customWidth="1" style="1" min="10564" max="10564"/>
    <col width="0.7109375" customWidth="1" style="1" min="10565" max="10565"/>
    <col width="1.5703125" customWidth="1" style="1" min="10566" max="10566"/>
    <col width="0.7109375" customWidth="1" style="1" min="10567" max="10567"/>
    <col width="7" bestFit="1" customWidth="1" style="1" min="10568" max="10568"/>
    <col width="0.7109375" customWidth="1" style="1" min="10569" max="10571"/>
    <col width="2.42578125" customWidth="1" style="1" min="10572" max="10572"/>
    <col width="0.7109375" customWidth="1" style="1" min="10573" max="10578"/>
    <col width="16.5703125" customWidth="1" style="1" min="10579" max="10579"/>
    <col width="0.7109375" customWidth="1" style="1" min="10580" max="10582"/>
    <col width="9.85546875" bestFit="1" customWidth="1" style="1" min="10583" max="10583"/>
    <col width="9.28515625" customWidth="1" style="1" min="10584" max="10586"/>
    <col width="0.7109375" customWidth="1" style="1" min="10587" max="10799"/>
    <col width="3.42578125" customWidth="1" style="1" min="10800" max="10800"/>
    <col width="2.42578125" customWidth="1" style="1" min="10801" max="10801"/>
    <col width="7" customWidth="1" style="1" min="10802" max="10802"/>
    <col width="0.7109375" customWidth="1" style="1" min="10803" max="10803"/>
    <col width="1.5703125" customWidth="1" style="1" min="10804" max="10804"/>
    <col width="0.7109375" customWidth="1" style="1" min="10805" max="10805"/>
    <col width="11.28515625" customWidth="1" style="1" min="10806" max="10806"/>
    <col width="0.7109375" customWidth="1" style="1" min="10807" max="10807"/>
    <col width="1.5703125" customWidth="1" style="1" min="10808" max="10808"/>
    <col width="0.7109375" customWidth="1" style="1" min="10809" max="10813"/>
    <col width="2.140625" customWidth="1" style="1" min="10814" max="10814"/>
    <col width="0.7109375" customWidth="1" style="1" min="10815" max="10815"/>
    <col width="1.5703125" customWidth="1" style="1" min="10816" max="10816"/>
    <col width="0.7109375" customWidth="1" style="1" min="10817" max="10817"/>
    <col width="7" bestFit="1" customWidth="1" style="1" min="10818" max="10818"/>
    <col width="0.7109375" customWidth="1" style="1" min="10819" max="10819"/>
    <col width="4" customWidth="1" style="1" min="10820" max="10820"/>
    <col width="0.7109375" customWidth="1" style="1" min="10821" max="10821"/>
    <col width="1.5703125" customWidth="1" style="1" min="10822" max="10822"/>
    <col width="0.7109375" customWidth="1" style="1" min="10823" max="10823"/>
    <col width="7" bestFit="1" customWidth="1" style="1" min="10824" max="10824"/>
    <col width="0.7109375" customWidth="1" style="1" min="10825" max="10827"/>
    <col width="2.42578125" customWidth="1" style="1" min="10828" max="10828"/>
    <col width="0.7109375" customWidth="1" style="1" min="10829" max="10834"/>
    <col width="16.5703125" customWidth="1" style="1" min="10835" max="10835"/>
    <col width="0.7109375" customWidth="1" style="1" min="10836" max="10838"/>
    <col width="9.85546875" bestFit="1" customWidth="1" style="1" min="10839" max="10839"/>
    <col width="9.28515625" customWidth="1" style="1" min="10840" max="10842"/>
    <col width="0.7109375" customWidth="1" style="1" min="10843" max="11055"/>
    <col width="3.42578125" customWidth="1" style="1" min="11056" max="11056"/>
    <col width="2.42578125" customWidth="1" style="1" min="11057" max="11057"/>
    <col width="7" customWidth="1" style="1" min="11058" max="11058"/>
    <col width="0.7109375" customWidth="1" style="1" min="11059" max="11059"/>
    <col width="1.5703125" customWidth="1" style="1" min="11060" max="11060"/>
    <col width="0.7109375" customWidth="1" style="1" min="11061" max="11061"/>
    <col width="11.28515625" customWidth="1" style="1" min="11062" max="11062"/>
    <col width="0.7109375" customWidth="1" style="1" min="11063" max="11063"/>
    <col width="1.5703125" customWidth="1" style="1" min="11064" max="11064"/>
    <col width="0.7109375" customWidth="1" style="1" min="11065" max="11069"/>
    <col width="2.140625" customWidth="1" style="1" min="11070" max="11070"/>
    <col width="0.7109375" customWidth="1" style="1" min="11071" max="11071"/>
    <col width="1.5703125" customWidth="1" style="1" min="11072" max="11072"/>
    <col width="0.7109375" customWidth="1" style="1" min="11073" max="11073"/>
    <col width="7" bestFit="1" customWidth="1" style="1" min="11074" max="11074"/>
    <col width="0.7109375" customWidth="1" style="1" min="11075" max="11075"/>
    <col width="4" customWidth="1" style="1" min="11076" max="11076"/>
    <col width="0.7109375" customWidth="1" style="1" min="11077" max="11077"/>
    <col width="1.5703125" customWidth="1" style="1" min="11078" max="11078"/>
    <col width="0.7109375" customWidth="1" style="1" min="11079" max="11079"/>
    <col width="7" bestFit="1" customWidth="1" style="1" min="11080" max="11080"/>
    <col width="0.7109375" customWidth="1" style="1" min="11081" max="11083"/>
    <col width="2.42578125" customWidth="1" style="1" min="11084" max="11084"/>
    <col width="0.7109375" customWidth="1" style="1" min="11085" max="11090"/>
    <col width="16.5703125" customWidth="1" style="1" min="11091" max="11091"/>
    <col width="0.7109375" customWidth="1" style="1" min="11092" max="11094"/>
    <col width="9.85546875" bestFit="1" customWidth="1" style="1" min="11095" max="11095"/>
    <col width="9.28515625" customWidth="1" style="1" min="11096" max="11098"/>
    <col width="0.7109375" customWidth="1" style="1" min="11099" max="11311"/>
    <col width="3.42578125" customWidth="1" style="1" min="11312" max="11312"/>
    <col width="2.42578125" customWidth="1" style="1" min="11313" max="11313"/>
    <col width="7" customWidth="1" style="1" min="11314" max="11314"/>
    <col width="0.7109375" customWidth="1" style="1" min="11315" max="11315"/>
    <col width="1.5703125" customWidth="1" style="1" min="11316" max="11316"/>
    <col width="0.7109375" customWidth="1" style="1" min="11317" max="11317"/>
    <col width="11.28515625" customWidth="1" style="1" min="11318" max="11318"/>
    <col width="0.7109375" customWidth="1" style="1" min="11319" max="11319"/>
    <col width="1.5703125" customWidth="1" style="1" min="11320" max="11320"/>
    <col width="0.7109375" customWidth="1" style="1" min="11321" max="11325"/>
    <col width="2.140625" customWidth="1" style="1" min="11326" max="11326"/>
    <col width="0.7109375" customWidth="1" style="1" min="11327" max="11327"/>
    <col width="1.5703125" customWidth="1" style="1" min="11328" max="11328"/>
    <col width="0.7109375" customWidth="1" style="1" min="11329" max="11329"/>
    <col width="7" bestFit="1" customWidth="1" style="1" min="11330" max="11330"/>
    <col width="0.7109375" customWidth="1" style="1" min="11331" max="11331"/>
    <col width="4" customWidth="1" style="1" min="11332" max="11332"/>
    <col width="0.7109375" customWidth="1" style="1" min="11333" max="11333"/>
    <col width="1.5703125" customWidth="1" style="1" min="11334" max="11334"/>
    <col width="0.7109375" customWidth="1" style="1" min="11335" max="11335"/>
    <col width="7" bestFit="1" customWidth="1" style="1" min="11336" max="11336"/>
    <col width="0.7109375" customWidth="1" style="1" min="11337" max="11339"/>
    <col width="2.42578125" customWidth="1" style="1" min="11340" max="11340"/>
    <col width="0.7109375" customWidth="1" style="1" min="11341" max="11346"/>
    <col width="16.5703125" customWidth="1" style="1" min="11347" max="11347"/>
    <col width="0.7109375" customWidth="1" style="1" min="11348" max="11350"/>
    <col width="9.85546875" bestFit="1" customWidth="1" style="1" min="11351" max="11351"/>
    <col width="9.28515625" customWidth="1" style="1" min="11352" max="11354"/>
    <col width="0.7109375" customWidth="1" style="1" min="11355" max="11567"/>
    <col width="3.42578125" customWidth="1" style="1" min="11568" max="11568"/>
    <col width="2.42578125" customWidth="1" style="1" min="11569" max="11569"/>
    <col width="7" customWidth="1" style="1" min="11570" max="11570"/>
    <col width="0.7109375" customWidth="1" style="1" min="11571" max="11571"/>
    <col width="1.5703125" customWidth="1" style="1" min="11572" max="11572"/>
    <col width="0.7109375" customWidth="1" style="1" min="11573" max="11573"/>
    <col width="11.28515625" customWidth="1" style="1" min="11574" max="11574"/>
    <col width="0.7109375" customWidth="1" style="1" min="11575" max="11575"/>
    <col width="1.5703125" customWidth="1" style="1" min="11576" max="11576"/>
    <col width="0.7109375" customWidth="1" style="1" min="11577" max="11581"/>
    <col width="2.140625" customWidth="1" style="1" min="11582" max="11582"/>
    <col width="0.7109375" customWidth="1" style="1" min="11583" max="11583"/>
    <col width="1.5703125" customWidth="1" style="1" min="11584" max="11584"/>
    <col width="0.7109375" customWidth="1" style="1" min="11585" max="11585"/>
    <col width="7" bestFit="1" customWidth="1" style="1" min="11586" max="11586"/>
    <col width="0.7109375" customWidth="1" style="1" min="11587" max="11587"/>
    <col width="4" customWidth="1" style="1" min="11588" max="11588"/>
    <col width="0.7109375" customWidth="1" style="1" min="11589" max="11589"/>
    <col width="1.5703125" customWidth="1" style="1" min="11590" max="11590"/>
    <col width="0.7109375" customWidth="1" style="1" min="11591" max="11591"/>
    <col width="7" bestFit="1" customWidth="1" style="1" min="11592" max="11592"/>
    <col width="0.7109375" customWidth="1" style="1" min="11593" max="11595"/>
    <col width="2.42578125" customWidth="1" style="1" min="11596" max="11596"/>
    <col width="0.7109375" customWidth="1" style="1" min="11597" max="11602"/>
    <col width="16.5703125" customWidth="1" style="1" min="11603" max="11603"/>
    <col width="0.7109375" customWidth="1" style="1" min="11604" max="11606"/>
    <col width="9.85546875" bestFit="1" customWidth="1" style="1" min="11607" max="11607"/>
    <col width="9.28515625" customWidth="1" style="1" min="11608" max="11610"/>
    <col width="0.7109375" customWidth="1" style="1" min="11611" max="11823"/>
    <col width="3.42578125" customWidth="1" style="1" min="11824" max="11824"/>
    <col width="2.42578125" customWidth="1" style="1" min="11825" max="11825"/>
    <col width="7" customWidth="1" style="1" min="11826" max="11826"/>
    <col width="0.7109375" customWidth="1" style="1" min="11827" max="11827"/>
    <col width="1.5703125" customWidth="1" style="1" min="11828" max="11828"/>
    <col width="0.7109375" customWidth="1" style="1" min="11829" max="11829"/>
    <col width="11.28515625" customWidth="1" style="1" min="11830" max="11830"/>
    <col width="0.7109375" customWidth="1" style="1" min="11831" max="11831"/>
    <col width="1.5703125" customWidth="1" style="1" min="11832" max="11832"/>
    <col width="0.7109375" customWidth="1" style="1" min="11833" max="11837"/>
    <col width="2.140625" customWidth="1" style="1" min="11838" max="11838"/>
    <col width="0.7109375" customWidth="1" style="1" min="11839" max="11839"/>
    <col width="1.5703125" customWidth="1" style="1" min="11840" max="11840"/>
    <col width="0.7109375" customWidth="1" style="1" min="11841" max="11841"/>
    <col width="7" bestFit="1" customWidth="1" style="1" min="11842" max="11842"/>
    <col width="0.7109375" customWidth="1" style="1" min="11843" max="11843"/>
    <col width="4" customWidth="1" style="1" min="11844" max="11844"/>
    <col width="0.7109375" customWidth="1" style="1" min="11845" max="11845"/>
    <col width="1.5703125" customWidth="1" style="1" min="11846" max="11846"/>
    <col width="0.7109375" customWidth="1" style="1" min="11847" max="11847"/>
    <col width="7" bestFit="1" customWidth="1" style="1" min="11848" max="11848"/>
    <col width="0.7109375" customWidth="1" style="1" min="11849" max="11851"/>
    <col width="2.42578125" customWidth="1" style="1" min="11852" max="11852"/>
    <col width="0.7109375" customWidth="1" style="1" min="11853" max="11858"/>
    <col width="16.5703125" customWidth="1" style="1" min="11859" max="11859"/>
    <col width="0.7109375" customWidth="1" style="1" min="11860" max="11862"/>
    <col width="9.85546875" bestFit="1" customWidth="1" style="1" min="11863" max="11863"/>
    <col width="9.28515625" customWidth="1" style="1" min="11864" max="11866"/>
    <col width="0.7109375" customWidth="1" style="1" min="11867" max="12079"/>
    <col width="3.42578125" customWidth="1" style="1" min="12080" max="12080"/>
    <col width="2.42578125" customWidth="1" style="1" min="12081" max="12081"/>
    <col width="7" customWidth="1" style="1" min="12082" max="12082"/>
    <col width="0.7109375" customWidth="1" style="1" min="12083" max="12083"/>
    <col width="1.5703125" customWidth="1" style="1" min="12084" max="12084"/>
    <col width="0.7109375" customWidth="1" style="1" min="12085" max="12085"/>
    <col width="11.28515625" customWidth="1" style="1" min="12086" max="12086"/>
    <col width="0.7109375" customWidth="1" style="1" min="12087" max="12087"/>
    <col width="1.5703125" customWidth="1" style="1" min="12088" max="12088"/>
    <col width="0.7109375" customWidth="1" style="1" min="12089" max="12093"/>
    <col width="2.140625" customWidth="1" style="1" min="12094" max="12094"/>
    <col width="0.7109375" customWidth="1" style="1" min="12095" max="12095"/>
    <col width="1.5703125" customWidth="1" style="1" min="12096" max="12096"/>
    <col width="0.7109375" customWidth="1" style="1" min="12097" max="12097"/>
    <col width="7" bestFit="1" customWidth="1" style="1" min="12098" max="12098"/>
    <col width="0.7109375" customWidth="1" style="1" min="12099" max="12099"/>
    <col width="4" customWidth="1" style="1" min="12100" max="12100"/>
    <col width="0.7109375" customWidth="1" style="1" min="12101" max="12101"/>
    <col width="1.5703125" customWidth="1" style="1" min="12102" max="12102"/>
    <col width="0.7109375" customWidth="1" style="1" min="12103" max="12103"/>
    <col width="7" bestFit="1" customWidth="1" style="1" min="12104" max="12104"/>
    <col width="0.7109375" customWidth="1" style="1" min="12105" max="12107"/>
    <col width="2.42578125" customWidth="1" style="1" min="12108" max="12108"/>
    <col width="0.7109375" customWidth="1" style="1" min="12109" max="12114"/>
    <col width="16.5703125" customWidth="1" style="1" min="12115" max="12115"/>
    <col width="0.7109375" customWidth="1" style="1" min="12116" max="12118"/>
    <col width="9.85546875" bestFit="1" customWidth="1" style="1" min="12119" max="12119"/>
    <col width="9.28515625" customWidth="1" style="1" min="12120" max="12122"/>
    <col width="0.7109375" customWidth="1" style="1" min="12123" max="12335"/>
    <col width="3.42578125" customWidth="1" style="1" min="12336" max="12336"/>
    <col width="2.42578125" customWidth="1" style="1" min="12337" max="12337"/>
    <col width="7" customWidth="1" style="1" min="12338" max="12338"/>
    <col width="0.7109375" customWidth="1" style="1" min="12339" max="12339"/>
    <col width="1.5703125" customWidth="1" style="1" min="12340" max="12340"/>
    <col width="0.7109375" customWidth="1" style="1" min="12341" max="12341"/>
    <col width="11.28515625" customWidth="1" style="1" min="12342" max="12342"/>
    <col width="0.7109375" customWidth="1" style="1" min="12343" max="12343"/>
    <col width="1.5703125" customWidth="1" style="1" min="12344" max="12344"/>
    <col width="0.7109375" customWidth="1" style="1" min="12345" max="12349"/>
    <col width="2.140625" customWidth="1" style="1" min="12350" max="12350"/>
    <col width="0.7109375" customWidth="1" style="1" min="12351" max="12351"/>
    <col width="1.5703125" customWidth="1" style="1" min="12352" max="12352"/>
    <col width="0.7109375" customWidth="1" style="1" min="12353" max="12353"/>
    <col width="7" bestFit="1" customWidth="1" style="1" min="12354" max="12354"/>
    <col width="0.7109375" customWidth="1" style="1" min="12355" max="12355"/>
    <col width="4" customWidth="1" style="1" min="12356" max="12356"/>
    <col width="0.7109375" customWidth="1" style="1" min="12357" max="12357"/>
    <col width="1.5703125" customWidth="1" style="1" min="12358" max="12358"/>
    <col width="0.7109375" customWidth="1" style="1" min="12359" max="12359"/>
    <col width="7" bestFit="1" customWidth="1" style="1" min="12360" max="12360"/>
    <col width="0.7109375" customWidth="1" style="1" min="12361" max="12363"/>
    <col width="2.42578125" customWidth="1" style="1" min="12364" max="12364"/>
    <col width="0.7109375" customWidth="1" style="1" min="12365" max="12370"/>
    <col width="16.5703125" customWidth="1" style="1" min="12371" max="12371"/>
    <col width="0.7109375" customWidth="1" style="1" min="12372" max="12374"/>
    <col width="9.85546875" bestFit="1" customWidth="1" style="1" min="12375" max="12375"/>
    <col width="9.28515625" customWidth="1" style="1" min="12376" max="12378"/>
    <col width="0.7109375" customWidth="1" style="1" min="12379" max="12591"/>
    <col width="3.42578125" customWidth="1" style="1" min="12592" max="12592"/>
    <col width="2.42578125" customWidth="1" style="1" min="12593" max="12593"/>
    <col width="7" customWidth="1" style="1" min="12594" max="12594"/>
    <col width="0.7109375" customWidth="1" style="1" min="12595" max="12595"/>
    <col width="1.5703125" customWidth="1" style="1" min="12596" max="12596"/>
    <col width="0.7109375" customWidth="1" style="1" min="12597" max="12597"/>
    <col width="11.28515625" customWidth="1" style="1" min="12598" max="12598"/>
    <col width="0.7109375" customWidth="1" style="1" min="12599" max="12599"/>
    <col width="1.5703125" customWidth="1" style="1" min="12600" max="12600"/>
    <col width="0.7109375" customWidth="1" style="1" min="12601" max="12605"/>
    <col width="2.140625" customWidth="1" style="1" min="12606" max="12606"/>
    <col width="0.7109375" customWidth="1" style="1" min="12607" max="12607"/>
    <col width="1.5703125" customWidth="1" style="1" min="12608" max="12608"/>
    <col width="0.7109375" customWidth="1" style="1" min="12609" max="12609"/>
    <col width="7" bestFit="1" customWidth="1" style="1" min="12610" max="12610"/>
    <col width="0.7109375" customWidth="1" style="1" min="12611" max="12611"/>
    <col width="4" customWidth="1" style="1" min="12612" max="12612"/>
    <col width="0.7109375" customWidth="1" style="1" min="12613" max="12613"/>
    <col width="1.5703125" customWidth="1" style="1" min="12614" max="12614"/>
    <col width="0.7109375" customWidth="1" style="1" min="12615" max="12615"/>
    <col width="7" bestFit="1" customWidth="1" style="1" min="12616" max="12616"/>
    <col width="0.7109375" customWidth="1" style="1" min="12617" max="12619"/>
    <col width="2.42578125" customWidth="1" style="1" min="12620" max="12620"/>
    <col width="0.7109375" customWidth="1" style="1" min="12621" max="12626"/>
    <col width="16.5703125" customWidth="1" style="1" min="12627" max="12627"/>
    <col width="0.7109375" customWidth="1" style="1" min="12628" max="12630"/>
    <col width="9.85546875" bestFit="1" customWidth="1" style="1" min="12631" max="12631"/>
    <col width="9.28515625" customWidth="1" style="1" min="12632" max="12634"/>
    <col width="0.7109375" customWidth="1" style="1" min="12635" max="12847"/>
    <col width="3.42578125" customWidth="1" style="1" min="12848" max="12848"/>
    <col width="2.42578125" customWidth="1" style="1" min="12849" max="12849"/>
    <col width="7" customWidth="1" style="1" min="12850" max="12850"/>
    <col width="0.7109375" customWidth="1" style="1" min="12851" max="12851"/>
    <col width="1.5703125" customWidth="1" style="1" min="12852" max="12852"/>
    <col width="0.7109375" customWidth="1" style="1" min="12853" max="12853"/>
    <col width="11.28515625" customWidth="1" style="1" min="12854" max="12854"/>
    <col width="0.7109375" customWidth="1" style="1" min="12855" max="12855"/>
    <col width="1.5703125" customWidth="1" style="1" min="12856" max="12856"/>
    <col width="0.7109375" customWidth="1" style="1" min="12857" max="12861"/>
    <col width="2.140625" customWidth="1" style="1" min="12862" max="12862"/>
    <col width="0.7109375" customWidth="1" style="1" min="12863" max="12863"/>
    <col width="1.5703125" customWidth="1" style="1" min="12864" max="12864"/>
    <col width="0.7109375" customWidth="1" style="1" min="12865" max="12865"/>
    <col width="7" bestFit="1" customWidth="1" style="1" min="12866" max="12866"/>
    <col width="0.7109375" customWidth="1" style="1" min="12867" max="12867"/>
    <col width="4" customWidth="1" style="1" min="12868" max="12868"/>
    <col width="0.7109375" customWidth="1" style="1" min="12869" max="12869"/>
    <col width="1.5703125" customWidth="1" style="1" min="12870" max="12870"/>
    <col width="0.7109375" customWidth="1" style="1" min="12871" max="12871"/>
    <col width="7" bestFit="1" customWidth="1" style="1" min="12872" max="12872"/>
    <col width="0.7109375" customWidth="1" style="1" min="12873" max="12875"/>
    <col width="2.42578125" customWidth="1" style="1" min="12876" max="12876"/>
    <col width="0.7109375" customWidth="1" style="1" min="12877" max="12882"/>
    <col width="16.5703125" customWidth="1" style="1" min="12883" max="12883"/>
    <col width="0.7109375" customWidth="1" style="1" min="12884" max="12886"/>
    <col width="9.85546875" bestFit="1" customWidth="1" style="1" min="12887" max="12887"/>
    <col width="9.28515625" customWidth="1" style="1" min="12888" max="12890"/>
    <col width="0.7109375" customWidth="1" style="1" min="12891" max="13103"/>
    <col width="3.42578125" customWidth="1" style="1" min="13104" max="13104"/>
    <col width="2.42578125" customWidth="1" style="1" min="13105" max="13105"/>
    <col width="7" customWidth="1" style="1" min="13106" max="13106"/>
    <col width="0.7109375" customWidth="1" style="1" min="13107" max="13107"/>
    <col width="1.5703125" customWidth="1" style="1" min="13108" max="13108"/>
    <col width="0.7109375" customWidth="1" style="1" min="13109" max="13109"/>
    <col width="11.28515625" customWidth="1" style="1" min="13110" max="13110"/>
    <col width="0.7109375" customWidth="1" style="1" min="13111" max="13111"/>
    <col width="1.5703125" customWidth="1" style="1" min="13112" max="13112"/>
    <col width="0.7109375" customWidth="1" style="1" min="13113" max="13117"/>
    <col width="2.140625" customWidth="1" style="1" min="13118" max="13118"/>
    <col width="0.7109375" customWidth="1" style="1" min="13119" max="13119"/>
    <col width="1.5703125" customWidth="1" style="1" min="13120" max="13120"/>
    <col width="0.7109375" customWidth="1" style="1" min="13121" max="13121"/>
    <col width="7" bestFit="1" customWidth="1" style="1" min="13122" max="13122"/>
    <col width="0.7109375" customWidth="1" style="1" min="13123" max="13123"/>
    <col width="4" customWidth="1" style="1" min="13124" max="13124"/>
    <col width="0.7109375" customWidth="1" style="1" min="13125" max="13125"/>
    <col width="1.5703125" customWidth="1" style="1" min="13126" max="13126"/>
    <col width="0.7109375" customWidth="1" style="1" min="13127" max="13127"/>
    <col width="7" bestFit="1" customWidth="1" style="1" min="13128" max="13128"/>
    <col width="0.7109375" customWidth="1" style="1" min="13129" max="13131"/>
    <col width="2.42578125" customWidth="1" style="1" min="13132" max="13132"/>
    <col width="0.7109375" customWidth="1" style="1" min="13133" max="13138"/>
    <col width="16.5703125" customWidth="1" style="1" min="13139" max="13139"/>
    <col width="0.7109375" customWidth="1" style="1" min="13140" max="13142"/>
    <col width="9.85546875" bestFit="1" customWidth="1" style="1" min="13143" max="13143"/>
    <col width="9.28515625" customWidth="1" style="1" min="13144" max="13146"/>
    <col width="0.7109375" customWidth="1" style="1" min="13147" max="13359"/>
    <col width="3.42578125" customWidth="1" style="1" min="13360" max="13360"/>
    <col width="2.42578125" customWidth="1" style="1" min="13361" max="13361"/>
    <col width="7" customWidth="1" style="1" min="13362" max="13362"/>
    <col width="0.7109375" customWidth="1" style="1" min="13363" max="13363"/>
    <col width="1.5703125" customWidth="1" style="1" min="13364" max="13364"/>
    <col width="0.7109375" customWidth="1" style="1" min="13365" max="13365"/>
    <col width="11.28515625" customWidth="1" style="1" min="13366" max="13366"/>
    <col width="0.7109375" customWidth="1" style="1" min="13367" max="13367"/>
    <col width="1.5703125" customWidth="1" style="1" min="13368" max="13368"/>
    <col width="0.7109375" customWidth="1" style="1" min="13369" max="13373"/>
    <col width="2.140625" customWidth="1" style="1" min="13374" max="13374"/>
    <col width="0.7109375" customWidth="1" style="1" min="13375" max="13375"/>
    <col width="1.5703125" customWidth="1" style="1" min="13376" max="13376"/>
    <col width="0.7109375" customWidth="1" style="1" min="13377" max="13377"/>
    <col width="7" bestFit="1" customWidth="1" style="1" min="13378" max="13378"/>
    <col width="0.7109375" customWidth="1" style="1" min="13379" max="13379"/>
    <col width="4" customWidth="1" style="1" min="13380" max="13380"/>
    <col width="0.7109375" customWidth="1" style="1" min="13381" max="13381"/>
    <col width="1.5703125" customWidth="1" style="1" min="13382" max="13382"/>
    <col width="0.7109375" customWidth="1" style="1" min="13383" max="13383"/>
    <col width="7" bestFit="1" customWidth="1" style="1" min="13384" max="13384"/>
    <col width="0.7109375" customWidth="1" style="1" min="13385" max="13387"/>
    <col width="2.42578125" customWidth="1" style="1" min="13388" max="13388"/>
    <col width="0.7109375" customWidth="1" style="1" min="13389" max="13394"/>
    <col width="16.5703125" customWidth="1" style="1" min="13395" max="13395"/>
    <col width="0.7109375" customWidth="1" style="1" min="13396" max="13398"/>
    <col width="9.85546875" bestFit="1" customWidth="1" style="1" min="13399" max="13399"/>
    <col width="9.28515625" customWidth="1" style="1" min="13400" max="13402"/>
    <col width="0.7109375" customWidth="1" style="1" min="13403" max="13615"/>
    <col width="3.42578125" customWidth="1" style="1" min="13616" max="13616"/>
    <col width="2.42578125" customWidth="1" style="1" min="13617" max="13617"/>
    <col width="7" customWidth="1" style="1" min="13618" max="13618"/>
    <col width="0.7109375" customWidth="1" style="1" min="13619" max="13619"/>
    <col width="1.5703125" customWidth="1" style="1" min="13620" max="13620"/>
    <col width="0.7109375" customWidth="1" style="1" min="13621" max="13621"/>
    <col width="11.28515625" customWidth="1" style="1" min="13622" max="13622"/>
    <col width="0.7109375" customWidth="1" style="1" min="13623" max="13623"/>
    <col width="1.5703125" customWidth="1" style="1" min="13624" max="13624"/>
    <col width="0.7109375" customWidth="1" style="1" min="13625" max="13629"/>
    <col width="2.140625" customWidth="1" style="1" min="13630" max="13630"/>
    <col width="0.7109375" customWidth="1" style="1" min="13631" max="13631"/>
    <col width="1.5703125" customWidth="1" style="1" min="13632" max="13632"/>
    <col width="0.7109375" customWidth="1" style="1" min="13633" max="13633"/>
    <col width="7" bestFit="1" customWidth="1" style="1" min="13634" max="13634"/>
    <col width="0.7109375" customWidth="1" style="1" min="13635" max="13635"/>
    <col width="4" customWidth="1" style="1" min="13636" max="13636"/>
    <col width="0.7109375" customWidth="1" style="1" min="13637" max="13637"/>
    <col width="1.5703125" customWidth="1" style="1" min="13638" max="13638"/>
    <col width="0.7109375" customWidth="1" style="1" min="13639" max="13639"/>
    <col width="7" bestFit="1" customWidth="1" style="1" min="13640" max="13640"/>
    <col width="0.7109375" customWidth="1" style="1" min="13641" max="13643"/>
    <col width="2.42578125" customWidth="1" style="1" min="13644" max="13644"/>
    <col width="0.7109375" customWidth="1" style="1" min="13645" max="13650"/>
    <col width="16.5703125" customWidth="1" style="1" min="13651" max="13651"/>
    <col width="0.7109375" customWidth="1" style="1" min="13652" max="13654"/>
    <col width="9.85546875" bestFit="1" customWidth="1" style="1" min="13655" max="13655"/>
    <col width="9.28515625" customWidth="1" style="1" min="13656" max="13658"/>
    <col width="0.7109375" customWidth="1" style="1" min="13659" max="13871"/>
    <col width="3.42578125" customWidth="1" style="1" min="13872" max="13872"/>
    <col width="2.42578125" customWidth="1" style="1" min="13873" max="13873"/>
    <col width="7" customWidth="1" style="1" min="13874" max="13874"/>
    <col width="0.7109375" customWidth="1" style="1" min="13875" max="13875"/>
    <col width="1.5703125" customWidth="1" style="1" min="13876" max="13876"/>
    <col width="0.7109375" customWidth="1" style="1" min="13877" max="13877"/>
    <col width="11.28515625" customWidth="1" style="1" min="13878" max="13878"/>
    <col width="0.7109375" customWidth="1" style="1" min="13879" max="13879"/>
    <col width="1.5703125" customWidth="1" style="1" min="13880" max="13880"/>
    <col width="0.7109375" customWidth="1" style="1" min="13881" max="13885"/>
    <col width="2.140625" customWidth="1" style="1" min="13886" max="13886"/>
    <col width="0.7109375" customWidth="1" style="1" min="13887" max="13887"/>
    <col width="1.5703125" customWidth="1" style="1" min="13888" max="13888"/>
    <col width="0.7109375" customWidth="1" style="1" min="13889" max="13889"/>
    <col width="7" bestFit="1" customWidth="1" style="1" min="13890" max="13890"/>
    <col width="0.7109375" customWidth="1" style="1" min="13891" max="13891"/>
    <col width="4" customWidth="1" style="1" min="13892" max="13892"/>
    <col width="0.7109375" customWidth="1" style="1" min="13893" max="13893"/>
    <col width="1.5703125" customWidth="1" style="1" min="13894" max="13894"/>
    <col width="0.7109375" customWidth="1" style="1" min="13895" max="13895"/>
    <col width="7" bestFit="1" customWidth="1" style="1" min="13896" max="13896"/>
    <col width="0.7109375" customWidth="1" style="1" min="13897" max="13899"/>
    <col width="2.42578125" customWidth="1" style="1" min="13900" max="13900"/>
    <col width="0.7109375" customWidth="1" style="1" min="13901" max="13906"/>
    <col width="16.5703125" customWidth="1" style="1" min="13907" max="13907"/>
    <col width="0.7109375" customWidth="1" style="1" min="13908" max="13910"/>
    <col width="9.85546875" bestFit="1" customWidth="1" style="1" min="13911" max="13911"/>
    <col width="9.28515625" customWidth="1" style="1" min="13912" max="13914"/>
    <col width="0.7109375" customWidth="1" style="1" min="13915" max="14127"/>
    <col width="3.42578125" customWidth="1" style="1" min="14128" max="14128"/>
    <col width="2.42578125" customWidth="1" style="1" min="14129" max="14129"/>
    <col width="7" customWidth="1" style="1" min="14130" max="14130"/>
    <col width="0.7109375" customWidth="1" style="1" min="14131" max="14131"/>
    <col width="1.5703125" customWidth="1" style="1" min="14132" max="14132"/>
    <col width="0.7109375" customWidth="1" style="1" min="14133" max="14133"/>
    <col width="11.28515625" customWidth="1" style="1" min="14134" max="14134"/>
    <col width="0.7109375" customWidth="1" style="1" min="14135" max="14135"/>
    <col width="1.5703125" customWidth="1" style="1" min="14136" max="14136"/>
    <col width="0.7109375" customWidth="1" style="1" min="14137" max="14141"/>
    <col width="2.140625" customWidth="1" style="1" min="14142" max="14142"/>
    <col width="0.7109375" customWidth="1" style="1" min="14143" max="14143"/>
    <col width="1.5703125" customWidth="1" style="1" min="14144" max="14144"/>
    <col width="0.7109375" customWidth="1" style="1" min="14145" max="14145"/>
    <col width="7" bestFit="1" customWidth="1" style="1" min="14146" max="14146"/>
    <col width="0.7109375" customWidth="1" style="1" min="14147" max="14147"/>
    <col width="4" customWidth="1" style="1" min="14148" max="14148"/>
    <col width="0.7109375" customWidth="1" style="1" min="14149" max="14149"/>
    <col width="1.5703125" customWidth="1" style="1" min="14150" max="14150"/>
    <col width="0.7109375" customWidth="1" style="1" min="14151" max="14151"/>
    <col width="7" bestFit="1" customWidth="1" style="1" min="14152" max="14152"/>
    <col width="0.7109375" customWidth="1" style="1" min="14153" max="14155"/>
    <col width="2.42578125" customWidth="1" style="1" min="14156" max="14156"/>
    <col width="0.7109375" customWidth="1" style="1" min="14157" max="14162"/>
    <col width="16.5703125" customWidth="1" style="1" min="14163" max="14163"/>
    <col width="0.7109375" customWidth="1" style="1" min="14164" max="14166"/>
    <col width="9.85546875" bestFit="1" customWidth="1" style="1" min="14167" max="14167"/>
    <col width="9.28515625" customWidth="1" style="1" min="14168" max="14170"/>
    <col width="0.7109375" customWidth="1" style="1" min="14171" max="14383"/>
    <col width="3.42578125" customWidth="1" style="1" min="14384" max="14384"/>
    <col width="2.42578125" customWidth="1" style="1" min="14385" max="14385"/>
    <col width="7" customWidth="1" style="1" min="14386" max="14386"/>
    <col width="0.7109375" customWidth="1" style="1" min="14387" max="14387"/>
    <col width="1.5703125" customWidth="1" style="1" min="14388" max="14388"/>
    <col width="0.7109375" customWidth="1" style="1" min="14389" max="14389"/>
    <col width="11.28515625" customWidth="1" style="1" min="14390" max="14390"/>
    <col width="0.7109375" customWidth="1" style="1" min="14391" max="14391"/>
    <col width="1.5703125" customWidth="1" style="1" min="14392" max="14392"/>
    <col width="0.7109375" customWidth="1" style="1" min="14393" max="14397"/>
    <col width="2.140625" customWidth="1" style="1" min="14398" max="14398"/>
    <col width="0.7109375" customWidth="1" style="1" min="14399" max="14399"/>
    <col width="1.5703125" customWidth="1" style="1" min="14400" max="14400"/>
    <col width="0.7109375" customWidth="1" style="1" min="14401" max="14401"/>
    <col width="7" bestFit="1" customWidth="1" style="1" min="14402" max="14402"/>
    <col width="0.7109375" customWidth="1" style="1" min="14403" max="14403"/>
    <col width="4" customWidth="1" style="1" min="14404" max="14404"/>
    <col width="0.7109375" customWidth="1" style="1" min="14405" max="14405"/>
    <col width="1.5703125" customWidth="1" style="1" min="14406" max="14406"/>
    <col width="0.7109375" customWidth="1" style="1" min="14407" max="14407"/>
    <col width="7" bestFit="1" customWidth="1" style="1" min="14408" max="14408"/>
    <col width="0.7109375" customWidth="1" style="1" min="14409" max="14411"/>
    <col width="2.42578125" customWidth="1" style="1" min="14412" max="14412"/>
    <col width="0.7109375" customWidth="1" style="1" min="14413" max="14418"/>
    <col width="16.5703125" customWidth="1" style="1" min="14419" max="14419"/>
    <col width="0.7109375" customWidth="1" style="1" min="14420" max="14422"/>
    <col width="9.85546875" bestFit="1" customWidth="1" style="1" min="14423" max="14423"/>
    <col width="9.28515625" customWidth="1" style="1" min="14424" max="14426"/>
    <col width="0.7109375" customWidth="1" style="1" min="14427" max="14639"/>
    <col width="3.42578125" customWidth="1" style="1" min="14640" max="14640"/>
    <col width="2.42578125" customWidth="1" style="1" min="14641" max="14641"/>
    <col width="7" customWidth="1" style="1" min="14642" max="14642"/>
    <col width="0.7109375" customWidth="1" style="1" min="14643" max="14643"/>
    <col width="1.5703125" customWidth="1" style="1" min="14644" max="14644"/>
    <col width="0.7109375" customWidth="1" style="1" min="14645" max="14645"/>
    <col width="11.28515625" customWidth="1" style="1" min="14646" max="14646"/>
    <col width="0.7109375" customWidth="1" style="1" min="14647" max="14647"/>
    <col width="1.5703125" customWidth="1" style="1" min="14648" max="14648"/>
    <col width="0.7109375" customWidth="1" style="1" min="14649" max="14653"/>
    <col width="2.140625" customWidth="1" style="1" min="14654" max="14654"/>
    <col width="0.7109375" customWidth="1" style="1" min="14655" max="14655"/>
    <col width="1.5703125" customWidth="1" style="1" min="14656" max="14656"/>
    <col width="0.7109375" customWidth="1" style="1" min="14657" max="14657"/>
    <col width="7" bestFit="1" customWidth="1" style="1" min="14658" max="14658"/>
    <col width="0.7109375" customWidth="1" style="1" min="14659" max="14659"/>
    <col width="4" customWidth="1" style="1" min="14660" max="14660"/>
    <col width="0.7109375" customWidth="1" style="1" min="14661" max="14661"/>
    <col width="1.5703125" customWidth="1" style="1" min="14662" max="14662"/>
    <col width="0.7109375" customWidth="1" style="1" min="14663" max="14663"/>
    <col width="7" bestFit="1" customWidth="1" style="1" min="14664" max="14664"/>
    <col width="0.7109375" customWidth="1" style="1" min="14665" max="14667"/>
    <col width="2.42578125" customWidth="1" style="1" min="14668" max="14668"/>
    <col width="0.7109375" customWidth="1" style="1" min="14669" max="14674"/>
    <col width="16.5703125" customWidth="1" style="1" min="14675" max="14675"/>
    <col width="0.7109375" customWidth="1" style="1" min="14676" max="14678"/>
    <col width="9.85546875" bestFit="1" customWidth="1" style="1" min="14679" max="14679"/>
    <col width="9.28515625" customWidth="1" style="1" min="14680" max="14682"/>
    <col width="0.7109375" customWidth="1" style="1" min="14683" max="14895"/>
    <col width="3.42578125" customWidth="1" style="1" min="14896" max="14896"/>
    <col width="2.42578125" customWidth="1" style="1" min="14897" max="14897"/>
    <col width="7" customWidth="1" style="1" min="14898" max="14898"/>
    <col width="0.7109375" customWidth="1" style="1" min="14899" max="14899"/>
    <col width="1.5703125" customWidth="1" style="1" min="14900" max="14900"/>
    <col width="0.7109375" customWidth="1" style="1" min="14901" max="14901"/>
    <col width="11.28515625" customWidth="1" style="1" min="14902" max="14902"/>
    <col width="0.7109375" customWidth="1" style="1" min="14903" max="14903"/>
    <col width="1.5703125" customWidth="1" style="1" min="14904" max="14904"/>
    <col width="0.7109375" customWidth="1" style="1" min="14905" max="14909"/>
    <col width="2.140625" customWidth="1" style="1" min="14910" max="14910"/>
    <col width="0.7109375" customWidth="1" style="1" min="14911" max="14911"/>
    <col width="1.5703125" customWidth="1" style="1" min="14912" max="14912"/>
    <col width="0.7109375" customWidth="1" style="1" min="14913" max="14913"/>
    <col width="7" bestFit="1" customWidth="1" style="1" min="14914" max="14914"/>
    <col width="0.7109375" customWidth="1" style="1" min="14915" max="14915"/>
    <col width="4" customWidth="1" style="1" min="14916" max="14916"/>
    <col width="0.7109375" customWidth="1" style="1" min="14917" max="14917"/>
    <col width="1.5703125" customWidth="1" style="1" min="14918" max="14918"/>
    <col width="0.7109375" customWidth="1" style="1" min="14919" max="14919"/>
    <col width="7" bestFit="1" customWidth="1" style="1" min="14920" max="14920"/>
    <col width="0.7109375" customWidth="1" style="1" min="14921" max="14923"/>
    <col width="2.42578125" customWidth="1" style="1" min="14924" max="14924"/>
    <col width="0.7109375" customWidth="1" style="1" min="14925" max="14930"/>
    <col width="16.5703125" customWidth="1" style="1" min="14931" max="14931"/>
    <col width="0.7109375" customWidth="1" style="1" min="14932" max="14934"/>
    <col width="9.85546875" bestFit="1" customWidth="1" style="1" min="14935" max="14935"/>
    <col width="9.28515625" customWidth="1" style="1" min="14936" max="14938"/>
    <col width="0.7109375" customWidth="1" style="1" min="14939" max="15151"/>
    <col width="3.42578125" customWidth="1" style="1" min="15152" max="15152"/>
    <col width="2.42578125" customWidth="1" style="1" min="15153" max="15153"/>
    <col width="7" customWidth="1" style="1" min="15154" max="15154"/>
    <col width="0.7109375" customWidth="1" style="1" min="15155" max="15155"/>
    <col width="1.5703125" customWidth="1" style="1" min="15156" max="15156"/>
    <col width="0.7109375" customWidth="1" style="1" min="15157" max="15157"/>
    <col width="11.28515625" customWidth="1" style="1" min="15158" max="15158"/>
    <col width="0.7109375" customWidth="1" style="1" min="15159" max="15159"/>
    <col width="1.5703125" customWidth="1" style="1" min="15160" max="15160"/>
    <col width="0.7109375" customWidth="1" style="1" min="15161" max="15165"/>
    <col width="2.140625" customWidth="1" style="1" min="15166" max="15166"/>
    <col width="0.7109375" customWidth="1" style="1" min="15167" max="15167"/>
    <col width="1.5703125" customWidth="1" style="1" min="15168" max="15168"/>
    <col width="0.7109375" customWidth="1" style="1" min="15169" max="15169"/>
    <col width="7" bestFit="1" customWidth="1" style="1" min="15170" max="15170"/>
    <col width="0.7109375" customWidth="1" style="1" min="15171" max="15171"/>
    <col width="4" customWidth="1" style="1" min="15172" max="15172"/>
    <col width="0.7109375" customWidth="1" style="1" min="15173" max="15173"/>
    <col width="1.5703125" customWidth="1" style="1" min="15174" max="15174"/>
    <col width="0.7109375" customWidth="1" style="1" min="15175" max="15175"/>
    <col width="7" bestFit="1" customWidth="1" style="1" min="15176" max="15176"/>
    <col width="0.7109375" customWidth="1" style="1" min="15177" max="15179"/>
    <col width="2.42578125" customWidth="1" style="1" min="15180" max="15180"/>
    <col width="0.7109375" customWidth="1" style="1" min="15181" max="15186"/>
    <col width="16.5703125" customWidth="1" style="1" min="15187" max="15187"/>
    <col width="0.7109375" customWidth="1" style="1" min="15188" max="15190"/>
    <col width="9.85546875" bestFit="1" customWidth="1" style="1" min="15191" max="15191"/>
    <col width="9.28515625" customWidth="1" style="1" min="15192" max="15194"/>
    <col width="0.7109375" customWidth="1" style="1" min="15195" max="15407"/>
    <col width="3.42578125" customWidth="1" style="1" min="15408" max="15408"/>
    <col width="2.42578125" customWidth="1" style="1" min="15409" max="15409"/>
    <col width="7" customWidth="1" style="1" min="15410" max="15410"/>
    <col width="0.7109375" customWidth="1" style="1" min="15411" max="15411"/>
    <col width="1.5703125" customWidth="1" style="1" min="15412" max="15412"/>
    <col width="0.7109375" customWidth="1" style="1" min="15413" max="15413"/>
    <col width="11.28515625" customWidth="1" style="1" min="15414" max="15414"/>
    <col width="0.7109375" customWidth="1" style="1" min="15415" max="15415"/>
    <col width="1.5703125" customWidth="1" style="1" min="15416" max="15416"/>
    <col width="0.7109375" customWidth="1" style="1" min="15417" max="15421"/>
    <col width="2.140625" customWidth="1" style="1" min="15422" max="15422"/>
    <col width="0.7109375" customWidth="1" style="1" min="15423" max="15423"/>
    <col width="1.5703125" customWidth="1" style="1" min="15424" max="15424"/>
    <col width="0.7109375" customWidth="1" style="1" min="15425" max="15425"/>
    <col width="7" bestFit="1" customWidth="1" style="1" min="15426" max="15426"/>
    <col width="0.7109375" customWidth="1" style="1" min="15427" max="15427"/>
    <col width="4" customWidth="1" style="1" min="15428" max="15428"/>
    <col width="0.7109375" customWidth="1" style="1" min="15429" max="15429"/>
    <col width="1.5703125" customWidth="1" style="1" min="15430" max="15430"/>
    <col width="0.7109375" customWidth="1" style="1" min="15431" max="15431"/>
    <col width="7" bestFit="1" customWidth="1" style="1" min="15432" max="15432"/>
    <col width="0.7109375" customWidth="1" style="1" min="15433" max="15435"/>
    <col width="2.42578125" customWidth="1" style="1" min="15436" max="15436"/>
    <col width="0.7109375" customWidth="1" style="1" min="15437" max="15442"/>
    <col width="16.5703125" customWidth="1" style="1" min="15443" max="15443"/>
    <col width="0.7109375" customWidth="1" style="1" min="15444" max="15446"/>
    <col width="9.85546875" bestFit="1" customWidth="1" style="1" min="15447" max="15447"/>
    <col width="9.28515625" customWidth="1" style="1" min="15448" max="15450"/>
    <col width="0.7109375" customWidth="1" style="1" min="15451" max="15663"/>
    <col width="3.42578125" customWidth="1" style="1" min="15664" max="15664"/>
    <col width="2.42578125" customWidth="1" style="1" min="15665" max="15665"/>
    <col width="7" customWidth="1" style="1" min="15666" max="15666"/>
    <col width="0.7109375" customWidth="1" style="1" min="15667" max="15667"/>
    <col width="1.5703125" customWidth="1" style="1" min="15668" max="15668"/>
    <col width="0.7109375" customWidth="1" style="1" min="15669" max="15669"/>
    <col width="11.28515625" customWidth="1" style="1" min="15670" max="15670"/>
    <col width="0.7109375" customWidth="1" style="1" min="15671" max="15671"/>
    <col width="1.5703125" customWidth="1" style="1" min="15672" max="15672"/>
    <col width="0.7109375" customWidth="1" style="1" min="15673" max="15677"/>
    <col width="2.140625" customWidth="1" style="1" min="15678" max="15678"/>
    <col width="0.7109375" customWidth="1" style="1" min="15679" max="15679"/>
    <col width="1.5703125" customWidth="1" style="1" min="15680" max="15680"/>
    <col width="0.7109375" customWidth="1" style="1" min="15681" max="15681"/>
    <col width="7" bestFit="1" customWidth="1" style="1" min="15682" max="15682"/>
    <col width="0.7109375" customWidth="1" style="1" min="15683" max="15683"/>
    <col width="4" customWidth="1" style="1" min="15684" max="15684"/>
    <col width="0.7109375" customWidth="1" style="1" min="15685" max="15685"/>
    <col width="1.5703125" customWidth="1" style="1" min="15686" max="15686"/>
    <col width="0.7109375" customWidth="1" style="1" min="15687" max="15687"/>
    <col width="7" bestFit="1" customWidth="1" style="1" min="15688" max="15688"/>
    <col width="0.7109375" customWidth="1" style="1" min="15689" max="15691"/>
    <col width="2.42578125" customWidth="1" style="1" min="15692" max="15692"/>
    <col width="0.7109375" customWidth="1" style="1" min="15693" max="15698"/>
    <col width="16.5703125" customWidth="1" style="1" min="15699" max="15699"/>
    <col width="0.7109375" customWidth="1" style="1" min="15700" max="15702"/>
    <col width="9.85546875" bestFit="1" customWidth="1" style="1" min="15703" max="15703"/>
    <col width="9.28515625" customWidth="1" style="1" min="15704" max="15706"/>
    <col width="0.7109375" customWidth="1" style="1" min="15707" max="15919"/>
    <col width="3.42578125" customWidth="1" style="1" min="15920" max="15920"/>
    <col width="2.42578125" customWidth="1" style="1" min="15921" max="15921"/>
    <col width="7" customWidth="1" style="1" min="15922" max="15922"/>
    <col width="0.7109375" customWidth="1" style="1" min="15923" max="15923"/>
    <col width="1.5703125" customWidth="1" style="1" min="15924" max="15924"/>
    <col width="0.7109375" customWidth="1" style="1" min="15925" max="15925"/>
    <col width="11.28515625" customWidth="1" style="1" min="15926" max="15926"/>
    <col width="0.7109375" customWidth="1" style="1" min="15927" max="15927"/>
    <col width="1.5703125" customWidth="1" style="1" min="15928" max="15928"/>
    <col width="0.7109375" customWidth="1" style="1" min="15929" max="15933"/>
    <col width="2.140625" customWidth="1" style="1" min="15934" max="15934"/>
    <col width="0.7109375" customWidth="1" style="1" min="15935" max="15935"/>
    <col width="1.5703125" customWidth="1" style="1" min="15936" max="15936"/>
    <col width="0.7109375" customWidth="1" style="1" min="15937" max="15937"/>
    <col width="7" bestFit="1" customWidth="1" style="1" min="15938" max="15938"/>
    <col width="0.7109375" customWidth="1" style="1" min="15939" max="15939"/>
    <col width="4" customWidth="1" style="1" min="15940" max="15940"/>
    <col width="0.7109375" customWidth="1" style="1" min="15941" max="15941"/>
    <col width="1.5703125" customWidth="1" style="1" min="15942" max="15942"/>
    <col width="0.7109375" customWidth="1" style="1" min="15943" max="15943"/>
    <col width="7" bestFit="1" customWidth="1" style="1" min="15944" max="15944"/>
    <col width="0.7109375" customWidth="1" style="1" min="15945" max="15947"/>
    <col width="2.42578125" customWidth="1" style="1" min="15948" max="15948"/>
    <col width="0.7109375" customWidth="1" style="1" min="15949" max="15954"/>
    <col width="16.5703125" customWidth="1" style="1" min="15955" max="15955"/>
    <col width="0.7109375" customWidth="1" style="1" min="15956" max="15958"/>
    <col width="9.85546875" bestFit="1" customWidth="1" style="1" min="15959" max="15959"/>
    <col width="9.28515625" customWidth="1" style="1" min="15960" max="15962"/>
    <col width="0.7109375" customWidth="1" style="1" min="15963" max="16175"/>
    <col width="3.42578125" customWidth="1" style="1" min="16176" max="16176"/>
    <col width="2.42578125" customWidth="1" style="1" min="16177" max="16177"/>
    <col width="7" customWidth="1" style="1" min="16178" max="16178"/>
    <col width="0.7109375" customWidth="1" style="1" min="16179" max="16179"/>
    <col width="1.5703125" customWidth="1" style="1" min="16180" max="16180"/>
    <col width="0.7109375" customWidth="1" style="1" min="16181" max="16181"/>
    <col width="11.28515625" customWidth="1" style="1" min="16182" max="16182"/>
    <col width="0.7109375" customWidth="1" style="1" min="16183" max="16183"/>
    <col width="1.5703125" customWidth="1" style="1" min="16184" max="16184"/>
    <col width="0.7109375" customWidth="1" style="1" min="16185" max="16189"/>
    <col width="2.140625" customWidth="1" style="1" min="16190" max="16190"/>
    <col width="0.7109375" customWidth="1" style="1" min="16191" max="16191"/>
    <col width="1.5703125" customWidth="1" style="1" min="16192" max="16192"/>
    <col width="0.7109375" customWidth="1" style="1" min="16193" max="16193"/>
    <col width="7" bestFit="1" customWidth="1" style="1" min="16194" max="16194"/>
    <col width="0.7109375" customWidth="1" style="1" min="16195" max="16195"/>
    <col width="4" customWidth="1" style="1" min="16196" max="16196"/>
    <col width="0.7109375" customWidth="1" style="1" min="16197" max="16197"/>
    <col width="1.5703125" customWidth="1" style="1" min="16198" max="16198"/>
    <col width="0.7109375" customWidth="1" style="1" min="16199" max="16199"/>
    <col width="7" bestFit="1" customWidth="1" style="1" min="16200" max="16200"/>
    <col width="0.7109375" customWidth="1" style="1" min="16201" max="16203"/>
    <col width="2.42578125" customWidth="1" style="1" min="16204" max="16204"/>
    <col width="0.7109375" customWidth="1" style="1" min="16205" max="16210"/>
    <col width="16.5703125" customWidth="1" style="1" min="16211" max="16211"/>
    <col width="0.7109375" customWidth="1" style="1" min="16212" max="16214"/>
    <col width="9.85546875" bestFit="1" customWidth="1" style="1" min="16215" max="16215"/>
    <col width="9.28515625" customWidth="1" style="1" min="16216" max="16218"/>
    <col width="0.7109375" customWidth="1" style="1" min="16219" max="16384"/>
  </cols>
  <sheetData>
    <row r="1" ht="14.25" customHeight="1" thickBot="1"/>
    <row r="2" ht="18" customHeight="1" thickBot="1">
      <c r="C2" s="519">
        <f>DADOS!$B$2</f>
        <v/>
      </c>
      <c r="D2" s="437" t="n"/>
      <c r="E2" s="437" t="n"/>
      <c r="F2" s="437" t="n"/>
      <c r="G2" s="437" t="n"/>
      <c r="H2" s="437" t="n"/>
      <c r="I2" s="437" t="n"/>
      <c r="J2" s="437" t="n"/>
      <c r="K2" s="437" t="n"/>
      <c r="L2" s="437" t="n"/>
      <c r="M2" s="437" t="n"/>
      <c r="N2" s="437" t="n"/>
      <c r="O2" s="437" t="n"/>
      <c r="P2" s="437" t="n"/>
      <c r="Q2" s="437" t="n"/>
      <c r="R2" s="437" t="n"/>
      <c r="S2" s="437" t="n"/>
      <c r="T2" s="437" t="n"/>
      <c r="U2" s="437" t="n"/>
      <c r="V2" s="437" t="n"/>
      <c r="W2" s="437" t="n"/>
      <c r="X2" s="437" t="n"/>
      <c r="Y2" s="437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437" t="n"/>
      <c r="AL2" s="437" t="n"/>
      <c r="AM2" s="437" t="n"/>
      <c r="AN2" s="437" t="n"/>
      <c r="AO2" s="437" t="n"/>
      <c r="AP2" s="437" t="n"/>
      <c r="AQ2" s="437" t="n"/>
      <c r="AR2" s="437" t="n"/>
      <c r="AS2" s="437" t="n"/>
      <c r="AT2" s="437" t="n"/>
      <c r="AU2" s="437" t="n"/>
      <c r="AV2" s="437" t="n"/>
      <c r="AW2" s="437" t="n"/>
      <c r="AX2" s="437" t="n"/>
      <c r="AY2" s="437" t="n"/>
      <c r="AZ2" s="437" t="n"/>
      <c r="BA2" s="437" t="n"/>
      <c r="BB2" s="437" t="n"/>
      <c r="BC2" s="437" t="n"/>
      <c r="BD2" s="437" t="n"/>
      <c r="BE2" s="437" t="n"/>
      <c r="BF2" s="437" t="n"/>
      <c r="BG2" s="437" t="n"/>
      <c r="BH2" s="437" t="n"/>
      <c r="BI2" s="437" t="n"/>
      <c r="BJ2" s="437" t="n"/>
      <c r="BK2" s="437" t="n"/>
      <c r="BL2" s="437" t="n"/>
      <c r="BM2" s="437" t="n"/>
      <c r="BN2" s="437" t="n"/>
      <c r="BO2" s="437" t="n"/>
      <c r="BP2" s="437" t="n"/>
      <c r="BQ2" s="437" t="n"/>
      <c r="BR2" s="437" t="n"/>
      <c r="BS2" s="437" t="n"/>
      <c r="BT2" s="437" t="n"/>
      <c r="BU2" s="437" t="n"/>
      <c r="BV2" s="437" t="n"/>
      <c r="BW2" s="437" t="n"/>
      <c r="BX2" s="437" t="n"/>
      <c r="BY2" s="437" t="n"/>
      <c r="BZ2" s="437" t="n"/>
      <c r="CA2" s="437" t="n"/>
      <c r="CB2" s="438" t="n"/>
    </row>
    <row r="3" ht="9.75" customHeight="1" thickBot="1"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</row>
    <row r="4" ht="17.25" customHeight="1" thickBot="1">
      <c r="C4" s="51" t="inlineStr">
        <is>
          <t xml:space="preserve">Data da pactuação: </t>
        </is>
      </c>
      <c r="D4" s="520">
        <f>DADOS!$B$3</f>
        <v/>
      </c>
      <c r="E4" s="437" t="n"/>
      <c r="F4" s="437" t="n"/>
      <c r="G4" s="437" t="n"/>
      <c r="H4" s="437" t="n"/>
      <c r="I4" s="437" t="n"/>
      <c r="J4" s="437" t="n"/>
      <c r="K4" s="437" t="n"/>
      <c r="L4" s="440" t="n"/>
    </row>
    <row r="5" ht="17.25" customHeight="1" thickBot="1">
      <c r="C5" s="51" t="inlineStr">
        <is>
          <t>Data do cálculo:</t>
        </is>
      </c>
      <c r="D5" s="520">
        <f>TODAY()</f>
        <v/>
      </c>
      <c r="E5" s="437" t="n"/>
      <c r="F5" s="437" t="n"/>
      <c r="G5" s="437" t="n"/>
      <c r="H5" s="437" t="n"/>
      <c r="I5" s="437" t="n"/>
      <c r="J5" s="437" t="n"/>
      <c r="K5" s="437" t="n"/>
      <c r="L5" s="440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</row>
    <row r="6" ht="7.5" customHeight="1" thickBot="1">
      <c r="C6" s="521" t="inlineStr">
        <is>
          <t>Data do 1º vencimento:</t>
        </is>
      </c>
      <c r="D6" s="522">
        <f>DADOS!$B$4</f>
        <v/>
      </c>
    </row>
    <row r="7" ht="15" customHeight="1" thickBot="1">
      <c r="C7" s="263" t="inlineStr">
        <is>
          <t>DADOS DO CONTRATO</t>
        </is>
      </c>
      <c r="D7" s="441" t="n"/>
      <c r="E7" s="441" t="n"/>
      <c r="F7" s="441" t="n"/>
      <c r="G7" s="441" t="n"/>
      <c r="H7" s="441" t="n"/>
      <c r="I7" s="441" t="n"/>
      <c r="J7" s="441" t="n"/>
      <c r="K7" s="441" t="n"/>
      <c r="L7" s="441" t="n"/>
      <c r="M7" s="441" t="n"/>
      <c r="N7" s="441" t="n"/>
      <c r="O7" s="441" t="n"/>
      <c r="P7" s="441" t="n"/>
      <c r="Q7" s="441" t="n"/>
      <c r="R7" s="441" t="n"/>
      <c r="S7" s="441" t="n"/>
      <c r="T7" s="441" t="n"/>
      <c r="U7" s="441" t="n"/>
      <c r="V7" s="441" t="n"/>
      <c r="W7" s="441" t="n"/>
      <c r="X7" s="441" t="n"/>
      <c r="Y7" s="442" t="n"/>
      <c r="AD7" s="266" t="inlineStr">
        <is>
          <t>VALORES RECALCULADOS</t>
        </is>
      </c>
      <c r="AE7" s="437" t="n"/>
      <c r="AF7" s="437" t="n"/>
      <c r="AG7" s="437" t="n"/>
      <c r="AH7" s="437" t="n"/>
      <c r="AI7" s="437" t="n"/>
      <c r="AJ7" s="437" t="n"/>
      <c r="AK7" s="437" t="n"/>
      <c r="AL7" s="437" t="n"/>
      <c r="AM7" s="437" t="n"/>
      <c r="AN7" s="437" t="n"/>
      <c r="AO7" s="437" t="n"/>
      <c r="AP7" s="437" t="n"/>
      <c r="AQ7" s="437" t="n"/>
      <c r="AR7" s="437" t="n"/>
      <c r="AS7" s="437" t="n"/>
      <c r="AT7" s="437" t="n"/>
      <c r="AU7" s="437" t="n"/>
      <c r="AV7" s="437" t="n"/>
      <c r="AW7" s="437" t="n"/>
      <c r="AX7" s="437" t="n"/>
      <c r="AY7" s="437" t="n"/>
      <c r="AZ7" s="440" t="n"/>
      <c r="BE7" s="523" t="inlineStr">
        <is>
          <t>SALDO RECALCULADO DESCONTANDO AS PARCELAS PAGAS</t>
        </is>
      </c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41" t="n"/>
      <c r="BQ7" s="441" t="n"/>
      <c r="BR7" s="441" t="n"/>
      <c r="BS7" s="441" t="n"/>
      <c r="BT7" s="441" t="n"/>
      <c r="BU7" s="441" t="n"/>
      <c r="BV7" s="441" t="n"/>
      <c r="BW7" s="441" t="n"/>
      <c r="BX7" s="441" t="n"/>
      <c r="BY7" s="441" t="n"/>
      <c r="BZ7" s="441" t="n"/>
      <c r="CA7" s="441" t="n"/>
      <c r="CB7" s="444" t="n"/>
    </row>
    <row r="8" ht="15" customFormat="1" customHeight="1" s="33">
      <c r="C8" s="278" t="inlineStr">
        <is>
          <t>Valor principal financiado =</t>
        </is>
      </c>
      <c r="D8" s="445" t="n"/>
      <c r="E8" s="445" t="n"/>
      <c r="F8" s="445" t="n"/>
      <c r="G8" s="445" t="n"/>
      <c r="H8" s="446" t="n"/>
      <c r="I8" s="524">
        <f>DADOS!$B$6</f>
        <v/>
      </c>
      <c r="J8" s="445" t="n"/>
      <c r="K8" s="445" t="n"/>
      <c r="L8" s="445" t="n"/>
      <c r="M8" s="445" t="n"/>
      <c r="N8" s="445" t="n"/>
      <c r="O8" s="445" t="n"/>
      <c r="P8" s="445" t="n"/>
      <c r="Q8" s="445" t="n"/>
      <c r="R8" s="445" t="n"/>
      <c r="S8" s="445" t="n"/>
      <c r="T8" s="445" t="n"/>
      <c r="U8" s="445" t="n"/>
      <c r="V8" s="445" t="n"/>
      <c r="W8" s="445" t="n"/>
      <c r="X8" s="445" t="n"/>
      <c r="Y8" s="446" t="n"/>
      <c r="AD8" s="282" t="inlineStr">
        <is>
          <t>Valor principal financiado =</t>
        </is>
      </c>
      <c r="AE8" s="448" t="n"/>
      <c r="AF8" s="448" t="n"/>
      <c r="AG8" s="448" t="n"/>
      <c r="AH8" s="448" t="n"/>
      <c r="AI8" s="448" t="n"/>
      <c r="AJ8" s="448" t="n"/>
      <c r="AK8" s="448" t="n"/>
      <c r="AL8" s="448" t="n"/>
      <c r="AM8" s="448" t="n"/>
      <c r="AN8" s="448" t="n"/>
      <c r="AO8" s="449" t="n"/>
      <c r="AP8" s="525" t="n"/>
      <c r="AQ8" s="448" t="n"/>
      <c r="AR8" s="448" t="n"/>
      <c r="AS8" s="448" t="n"/>
      <c r="AT8" s="448" t="n"/>
      <c r="AU8" s="448" t="n"/>
      <c r="AV8" s="448" t="n"/>
      <c r="AW8" s="448" t="n"/>
      <c r="AX8" s="448" t="n"/>
      <c r="AY8" s="448" t="n"/>
      <c r="AZ8" s="449" t="n"/>
      <c r="BE8" s="278" t="inlineStr">
        <is>
          <t xml:space="preserve">Saldo devedor total do contrato = </t>
        </is>
      </c>
      <c r="BF8" s="445" t="n"/>
      <c r="BG8" s="445" t="n"/>
      <c r="BH8" s="445" t="n"/>
      <c r="BI8" s="445" t="n"/>
      <c r="BJ8" s="445" t="n"/>
      <c r="BK8" s="446" t="n"/>
      <c r="BL8" s="526">
        <f>AP18</f>
        <v/>
      </c>
      <c r="BM8" s="445" t="n"/>
      <c r="BN8" s="445" t="n"/>
      <c r="BO8" s="445" t="n"/>
      <c r="BP8" s="445" t="n"/>
      <c r="BQ8" s="445" t="n"/>
      <c r="BR8" s="445" t="n"/>
      <c r="BS8" s="445" t="n"/>
      <c r="BT8" s="445" t="n"/>
      <c r="BU8" s="445" t="n"/>
      <c r="BV8" s="445" t="n"/>
      <c r="BW8" s="445" t="n"/>
      <c r="BX8" s="445" t="n"/>
      <c r="BY8" s="445" t="n"/>
      <c r="BZ8" s="445" t="n"/>
      <c r="CA8" s="445" t="n"/>
      <c r="CB8" s="446" t="n"/>
      <c r="CE8" s="452" t="n"/>
      <c r="CI8" s="35" t="n"/>
      <c r="CK8" s="452" t="n"/>
      <c r="CL8" s="35" t="n"/>
    </row>
    <row r="9" ht="15" customFormat="1" customHeight="1" s="33">
      <c r="C9" s="272" t="inlineStr">
        <is>
          <t xml:space="preserve">Seguros = </t>
        </is>
      </c>
      <c r="D9" s="453" t="n"/>
      <c r="E9" s="453" t="n"/>
      <c r="F9" s="453" t="n"/>
      <c r="G9" s="453" t="n"/>
      <c r="H9" s="454" t="n"/>
      <c r="I9" s="527" t="n"/>
      <c r="J9" s="453" t="n"/>
      <c r="K9" s="453" t="n"/>
      <c r="L9" s="453" t="n"/>
      <c r="M9" s="453" t="n"/>
      <c r="N9" s="453" t="n"/>
      <c r="O9" s="453" t="n"/>
      <c r="P9" s="453" t="n"/>
      <c r="Q9" s="453" t="n"/>
      <c r="R9" s="453" t="n"/>
      <c r="S9" s="453" t="n"/>
      <c r="T9" s="453" t="n"/>
      <c r="U9" s="453" t="n"/>
      <c r="V9" s="453" t="n"/>
      <c r="W9" s="453" t="n"/>
      <c r="X9" s="453" t="n"/>
      <c r="Y9" s="454" t="n"/>
      <c r="AD9" s="272" t="inlineStr">
        <is>
          <t xml:space="preserve">Seguros = </t>
        </is>
      </c>
      <c r="AE9" s="453" t="n"/>
      <c r="AF9" s="453" t="n"/>
      <c r="AG9" s="453" t="n"/>
      <c r="AH9" s="453" t="n"/>
      <c r="AI9" s="453" t="n"/>
      <c r="AJ9" s="453" t="n"/>
      <c r="AK9" s="453" t="n"/>
      <c r="AL9" s="453" t="n"/>
      <c r="AM9" s="453" t="n"/>
      <c r="AN9" s="453" t="n"/>
      <c r="AO9" s="454" t="n"/>
      <c r="AP9" s="527" t="n">
        <v>0</v>
      </c>
      <c r="AQ9" s="453" t="n"/>
      <c r="AR9" s="453" t="n"/>
      <c r="AS9" s="453" t="n"/>
      <c r="AT9" s="453" t="n"/>
      <c r="AU9" s="453" t="n"/>
      <c r="AV9" s="453" t="n"/>
      <c r="AW9" s="453" t="n"/>
      <c r="AX9" s="453" t="n"/>
      <c r="AY9" s="453" t="n"/>
      <c r="AZ9" s="454" t="n"/>
      <c r="BE9" s="272" t="inlineStr">
        <is>
          <t>Quantidade de parcelas pagas=</t>
        </is>
      </c>
      <c r="BF9" s="453" t="n"/>
      <c r="BG9" s="453" t="n"/>
      <c r="BH9" s="453" t="n"/>
      <c r="BI9" s="453" t="n"/>
      <c r="BJ9" s="453" t="n"/>
      <c r="BK9" s="454" t="n"/>
      <c r="BL9" s="276">
        <f>DADOS!$B$13</f>
        <v/>
      </c>
      <c r="BM9" s="453" t="n"/>
      <c r="BN9" s="453" t="n"/>
      <c r="BO9" s="453" t="n"/>
      <c r="BP9" s="453" t="n"/>
      <c r="BQ9" s="453" t="n"/>
      <c r="BR9" s="453" t="n"/>
      <c r="BS9" s="453" t="n"/>
      <c r="BT9" s="453" t="n"/>
      <c r="BU9" s="453" t="n"/>
      <c r="BV9" s="453" t="n"/>
      <c r="BW9" s="453" t="n"/>
      <c r="BX9" s="453" t="n"/>
      <c r="BY9" s="453" t="n"/>
      <c r="BZ9" s="453" t="n"/>
      <c r="CA9" s="453" t="n"/>
      <c r="CB9" s="454" t="n"/>
      <c r="CE9" s="452" t="n"/>
      <c r="CI9" s="35" t="n"/>
      <c r="CK9" s="452" t="n"/>
      <c r="CL9" s="35" t="n"/>
    </row>
    <row r="10" ht="15" customFormat="1" customHeight="1" s="33">
      <c r="C10" s="272" t="inlineStr">
        <is>
          <t xml:space="preserve">TAC = </t>
        </is>
      </c>
      <c r="D10" s="453" t="n"/>
      <c r="E10" s="453" t="n"/>
      <c r="F10" s="453" t="n"/>
      <c r="G10" s="453" t="n"/>
      <c r="H10" s="454" t="n"/>
      <c r="I10" s="527">
        <f>DADOS!$B$7</f>
        <v/>
      </c>
      <c r="J10" s="453" t="n"/>
      <c r="K10" s="453" t="n"/>
      <c r="L10" s="453" t="n"/>
      <c r="M10" s="453" t="n"/>
      <c r="N10" s="453" t="n"/>
      <c r="O10" s="453" t="n"/>
      <c r="P10" s="453" t="n"/>
      <c r="Q10" s="453" t="n"/>
      <c r="R10" s="453" t="n"/>
      <c r="S10" s="453" t="n"/>
      <c r="T10" s="453" t="n"/>
      <c r="U10" s="453" t="n"/>
      <c r="V10" s="453" t="n"/>
      <c r="W10" s="453" t="n"/>
      <c r="X10" s="453" t="n"/>
      <c r="Y10" s="454" t="n"/>
      <c r="AD10" s="272" t="inlineStr">
        <is>
          <t xml:space="preserve">TAC = </t>
        </is>
      </c>
      <c r="AE10" s="453" t="n"/>
      <c r="AF10" s="453" t="n"/>
      <c r="AG10" s="453" t="n"/>
      <c r="AH10" s="453" t="n"/>
      <c r="AI10" s="453" t="n"/>
      <c r="AJ10" s="453" t="n"/>
      <c r="AK10" s="453" t="n"/>
      <c r="AL10" s="453" t="n"/>
      <c r="AM10" s="453" t="n"/>
      <c r="AN10" s="453" t="n"/>
      <c r="AO10" s="454" t="n"/>
      <c r="AP10" s="527" t="n">
        <v>0</v>
      </c>
      <c r="AQ10" s="453" t="n"/>
      <c r="AR10" s="453" t="n"/>
      <c r="AS10" s="453" t="n"/>
      <c r="AT10" s="453" t="n"/>
      <c r="AU10" s="453" t="n"/>
      <c r="AV10" s="453" t="n"/>
      <c r="AW10" s="453" t="n"/>
      <c r="AX10" s="453" t="n"/>
      <c r="AY10" s="453" t="n"/>
      <c r="AZ10" s="454" t="n"/>
      <c r="BE10" s="272" t="inlineStr">
        <is>
          <t xml:space="preserve">Valor da parcela paga = </t>
        </is>
      </c>
      <c r="BF10" s="453" t="n"/>
      <c r="BG10" s="453" t="n"/>
      <c r="BH10" s="453" t="n"/>
      <c r="BI10" s="453" t="n"/>
      <c r="BJ10" s="453" t="n"/>
      <c r="BK10" s="454" t="n"/>
      <c r="BL10" s="528">
        <f>I17</f>
        <v/>
      </c>
      <c r="BM10" s="453" t="n"/>
      <c r="BN10" s="453" t="n"/>
      <c r="BO10" s="453" t="n"/>
      <c r="BP10" s="453" t="n"/>
      <c r="BQ10" s="453" t="n"/>
      <c r="BR10" s="453" t="n"/>
      <c r="BS10" s="453" t="n"/>
      <c r="BT10" s="453" t="n"/>
      <c r="BU10" s="453" t="n"/>
      <c r="BV10" s="453" t="n"/>
      <c r="BW10" s="453" t="n"/>
      <c r="BX10" s="453" t="n"/>
      <c r="BY10" s="453" t="n"/>
      <c r="BZ10" s="453" t="n"/>
      <c r="CA10" s="453" t="n"/>
      <c r="CB10" s="454" t="n"/>
      <c r="CE10" s="452" t="n"/>
      <c r="CI10" s="35" t="n"/>
      <c r="CK10" s="452" t="n"/>
      <c r="CL10" s="35" t="n"/>
    </row>
    <row r="11" ht="15" customFormat="1" customHeight="1" s="33">
      <c r="C11" s="272" t="inlineStr">
        <is>
          <t xml:space="preserve">Registro = </t>
        </is>
      </c>
      <c r="D11" s="453" t="n"/>
      <c r="E11" s="453" t="n"/>
      <c r="F11" s="453" t="n"/>
      <c r="G11" s="453" t="n"/>
      <c r="H11" s="454" t="n"/>
      <c r="I11" s="527" t="n"/>
      <c r="J11" s="453" t="n"/>
      <c r="K11" s="453" t="n"/>
      <c r="L11" s="453" t="n"/>
      <c r="M11" s="453" t="n"/>
      <c r="N11" s="453" t="n"/>
      <c r="O11" s="453" t="n"/>
      <c r="P11" s="453" t="n"/>
      <c r="Q11" s="453" t="n"/>
      <c r="R11" s="453" t="n"/>
      <c r="S11" s="453" t="n"/>
      <c r="T11" s="453" t="n"/>
      <c r="U11" s="453" t="n"/>
      <c r="V11" s="453" t="n"/>
      <c r="W11" s="453" t="n"/>
      <c r="X11" s="453" t="n"/>
      <c r="Y11" s="454" t="n"/>
      <c r="AD11" s="272" t="inlineStr">
        <is>
          <t xml:space="preserve">Registro = </t>
        </is>
      </c>
      <c r="AE11" s="453" t="n"/>
      <c r="AF11" s="453" t="n"/>
      <c r="AG11" s="453" t="n"/>
      <c r="AH11" s="453" t="n"/>
      <c r="AI11" s="453" t="n"/>
      <c r="AJ11" s="453" t="n"/>
      <c r="AK11" s="453" t="n"/>
      <c r="AL11" s="453" t="n"/>
      <c r="AM11" s="453" t="n"/>
      <c r="AN11" s="453" t="n"/>
      <c r="AO11" s="454" t="n"/>
      <c r="AP11" s="527" t="n"/>
      <c r="AQ11" s="453" t="n"/>
      <c r="AR11" s="453" t="n"/>
      <c r="AS11" s="453" t="n"/>
      <c r="AT11" s="453" t="n"/>
      <c r="AU11" s="453" t="n"/>
      <c r="AV11" s="453" t="n"/>
      <c r="AW11" s="453" t="n"/>
      <c r="AX11" s="453" t="n"/>
      <c r="AY11" s="453" t="n"/>
      <c r="AZ11" s="454" t="n"/>
      <c r="BE11" s="411" t="inlineStr">
        <is>
          <t xml:space="preserve">Valor total pago pelo cliente = </t>
        </is>
      </c>
      <c r="BF11" s="453" t="n"/>
      <c r="BG11" s="453" t="n"/>
      <c r="BH11" s="453" t="n"/>
      <c r="BI11" s="453" t="n"/>
      <c r="BJ11" s="453" t="n"/>
      <c r="BK11" s="454" t="n"/>
      <c r="BL11" s="527">
        <f>BL9*BL10</f>
        <v/>
      </c>
      <c r="BM11" s="453" t="n"/>
      <c r="BN11" s="453" t="n"/>
      <c r="BO11" s="453" t="n"/>
      <c r="BP11" s="453" t="n"/>
      <c r="BQ11" s="453" t="n"/>
      <c r="BR11" s="453" t="n"/>
      <c r="BS11" s="453" t="n"/>
      <c r="BT11" s="453" t="n"/>
      <c r="BU11" s="453" t="n"/>
      <c r="BV11" s="453" t="n"/>
      <c r="BW11" s="453" t="n"/>
      <c r="BX11" s="453" t="n"/>
      <c r="BY11" s="453" t="n"/>
      <c r="BZ11" s="453" t="n"/>
      <c r="CA11" s="453" t="n"/>
      <c r="CB11" s="454" t="n"/>
      <c r="CE11" s="457" t="n"/>
      <c r="CI11" s="452" t="n"/>
      <c r="CJ11" s="458" t="n"/>
      <c r="CK11" s="457" t="n"/>
      <c r="CL11" s="35" t="n"/>
    </row>
    <row r="12" ht="15" customFormat="1" customHeight="1" s="33">
      <c r="C12" s="272" t="inlineStr">
        <is>
          <t xml:space="preserve">Avaliação = </t>
        </is>
      </c>
      <c r="D12" s="453" t="n"/>
      <c r="E12" s="453" t="n"/>
      <c r="F12" s="453" t="n"/>
      <c r="G12" s="453" t="n"/>
      <c r="H12" s="454" t="n"/>
      <c r="I12" s="527" t="n"/>
      <c r="J12" s="453" t="n"/>
      <c r="K12" s="453" t="n"/>
      <c r="L12" s="453" t="n"/>
      <c r="M12" s="453" t="n"/>
      <c r="N12" s="453" t="n"/>
      <c r="O12" s="453" t="n"/>
      <c r="P12" s="453" t="n"/>
      <c r="Q12" s="453" t="n"/>
      <c r="R12" s="453" t="n"/>
      <c r="S12" s="453" t="n"/>
      <c r="T12" s="453" t="n"/>
      <c r="U12" s="453" t="n"/>
      <c r="V12" s="453" t="n"/>
      <c r="W12" s="453" t="n"/>
      <c r="X12" s="453" t="n"/>
      <c r="Y12" s="454" t="n"/>
      <c r="AD12" s="272" t="inlineStr">
        <is>
          <t xml:space="preserve">Avaliação = </t>
        </is>
      </c>
      <c r="AE12" s="453" t="n"/>
      <c r="AF12" s="453" t="n"/>
      <c r="AG12" s="453" t="n"/>
      <c r="AH12" s="453" t="n"/>
      <c r="AI12" s="453" t="n"/>
      <c r="AJ12" s="453" t="n"/>
      <c r="AK12" s="453" t="n"/>
      <c r="AL12" s="453" t="n"/>
      <c r="AM12" s="453" t="n"/>
      <c r="AN12" s="453" t="n"/>
      <c r="AO12" s="454" t="n"/>
      <c r="AP12" s="527" t="n">
        <v>0</v>
      </c>
      <c r="AQ12" s="453" t="n"/>
      <c r="AR12" s="453" t="n"/>
      <c r="AS12" s="453" t="n"/>
      <c r="AT12" s="453" t="n"/>
      <c r="AU12" s="453" t="n"/>
      <c r="AV12" s="453" t="n"/>
      <c r="AW12" s="453" t="n"/>
      <c r="AX12" s="453" t="n"/>
      <c r="AY12" s="453" t="n"/>
      <c r="AZ12" s="454" t="n"/>
      <c r="BE12" s="413" t="inlineStr">
        <is>
          <t xml:space="preserve">Saldo devedor atualizado = </t>
        </is>
      </c>
      <c r="BF12" s="453" t="n"/>
      <c r="BG12" s="453" t="n"/>
      <c r="BH12" s="453" t="n"/>
      <c r="BI12" s="453" t="n"/>
      <c r="BJ12" s="453" t="n"/>
      <c r="BK12" s="454" t="n"/>
      <c r="BL12" s="560">
        <f>BL8-BL11</f>
        <v/>
      </c>
      <c r="BM12" s="453" t="n"/>
      <c r="BN12" s="453" t="n"/>
      <c r="BO12" s="453" t="n"/>
      <c r="BP12" s="453" t="n"/>
      <c r="BQ12" s="453" t="n"/>
      <c r="BR12" s="453" t="n"/>
      <c r="BS12" s="453" t="n"/>
      <c r="BT12" s="453" t="n"/>
      <c r="BU12" s="453" t="n"/>
      <c r="BV12" s="453" t="n"/>
      <c r="BW12" s="453" t="n"/>
      <c r="BX12" s="453" t="n"/>
      <c r="BY12" s="453" t="n"/>
      <c r="BZ12" s="453" t="n"/>
      <c r="CA12" s="453" t="n"/>
      <c r="CB12" s="454" t="n"/>
      <c r="CC12" s="529" t="n"/>
      <c r="CE12" s="457" t="n"/>
      <c r="CI12" s="452" t="n"/>
      <c r="CJ12" s="458" t="n"/>
      <c r="CK12" s="457" t="n"/>
      <c r="CL12" s="35" t="n"/>
    </row>
    <row r="13" ht="15" customFormat="1" customHeight="1" s="33">
      <c r="C13" s="272" t="inlineStr">
        <is>
          <t xml:space="preserve">Outros = </t>
        </is>
      </c>
      <c r="D13" s="453" t="n"/>
      <c r="E13" s="453" t="n"/>
      <c r="F13" s="453" t="n"/>
      <c r="G13" s="453" t="n"/>
      <c r="H13" s="454" t="n"/>
      <c r="I13" s="527" t="n"/>
      <c r="J13" s="453" t="n"/>
      <c r="K13" s="453" t="n"/>
      <c r="L13" s="453" t="n"/>
      <c r="M13" s="453" t="n"/>
      <c r="N13" s="453" t="n"/>
      <c r="O13" s="453" t="n"/>
      <c r="P13" s="453" t="n"/>
      <c r="Q13" s="453" t="n"/>
      <c r="R13" s="453" t="n"/>
      <c r="S13" s="453" t="n"/>
      <c r="T13" s="453" t="n"/>
      <c r="U13" s="453" t="n"/>
      <c r="V13" s="453" t="n"/>
      <c r="W13" s="453" t="n"/>
      <c r="X13" s="453" t="n"/>
      <c r="Y13" s="454" t="n"/>
      <c r="AD13" s="272" t="inlineStr">
        <is>
          <t xml:space="preserve">Outros = </t>
        </is>
      </c>
      <c r="AE13" s="453" t="n"/>
      <c r="AF13" s="453" t="n"/>
      <c r="AG13" s="453" t="n"/>
      <c r="AH13" s="453" t="n"/>
      <c r="AI13" s="453" t="n"/>
      <c r="AJ13" s="453" t="n"/>
      <c r="AK13" s="453" t="n"/>
      <c r="AL13" s="453" t="n"/>
      <c r="AM13" s="453" t="n"/>
      <c r="AN13" s="453" t="n"/>
      <c r="AO13" s="454" t="n"/>
      <c r="AP13" s="527" t="n">
        <v>0</v>
      </c>
      <c r="AQ13" s="453" t="n"/>
      <c r="AR13" s="453" t="n"/>
      <c r="AS13" s="453" t="n"/>
      <c r="AT13" s="453" t="n"/>
      <c r="AU13" s="453" t="n"/>
      <c r="AV13" s="453" t="n"/>
      <c r="AW13" s="453" t="n"/>
      <c r="AX13" s="453" t="n"/>
      <c r="AY13" s="453" t="n"/>
      <c r="AZ13" s="454" t="n"/>
      <c r="BE13" s="272" t="inlineStr">
        <is>
          <t xml:space="preserve">Quantidade de parcelas a vencer = </t>
        </is>
      </c>
      <c r="BF13" s="453" t="n"/>
      <c r="BG13" s="453" t="n"/>
      <c r="BH13" s="453" t="n"/>
      <c r="BI13" s="453" t="n"/>
      <c r="BJ13" s="453" t="n"/>
      <c r="BK13" s="454" t="n"/>
      <c r="BL13" s="290">
        <f>I16-BL9</f>
        <v/>
      </c>
      <c r="BM13" s="453" t="n"/>
      <c r="BN13" s="453" t="n"/>
      <c r="BO13" s="453" t="n"/>
      <c r="BP13" s="453" t="n"/>
      <c r="BQ13" s="453" t="n"/>
      <c r="BR13" s="453" t="n"/>
      <c r="BS13" s="453" t="n"/>
      <c r="BT13" s="453" t="n"/>
      <c r="BU13" s="453" t="n"/>
      <c r="BV13" s="453" t="n"/>
      <c r="BW13" s="453" t="n"/>
      <c r="BX13" s="453" t="n"/>
      <c r="BY13" s="453" t="n"/>
      <c r="BZ13" s="453" t="n"/>
      <c r="CA13" s="453" t="n"/>
      <c r="CB13" s="454" t="n"/>
      <c r="CE13" s="457" t="n"/>
      <c r="CI13" s="452" t="n"/>
      <c r="CJ13" s="458" t="n"/>
      <c r="CK13" s="457" t="n"/>
      <c r="CL13" s="35" t="n"/>
    </row>
    <row r="14" ht="15" customFormat="1" customHeight="1" s="33">
      <c r="C14" s="272" t="inlineStr">
        <is>
          <t xml:space="preserve">IOF =  </t>
        </is>
      </c>
      <c r="D14" s="453" t="n"/>
      <c r="E14" s="453" t="n"/>
      <c r="F14" s="453" t="n"/>
      <c r="G14" s="453" t="n"/>
      <c r="H14" s="454" t="n"/>
      <c r="I14" s="530">
        <f>DADOS!$B$8</f>
        <v/>
      </c>
      <c r="J14" s="453" t="n"/>
      <c r="K14" s="453" t="n"/>
      <c r="L14" s="453" t="n"/>
      <c r="M14" s="453" t="n"/>
      <c r="N14" s="453" t="n"/>
      <c r="O14" s="453" t="n"/>
      <c r="P14" s="453" t="n"/>
      <c r="Q14" s="453" t="n"/>
      <c r="R14" s="453" t="n"/>
      <c r="S14" s="453" t="n"/>
      <c r="T14" s="453" t="n"/>
      <c r="U14" s="453" t="n"/>
      <c r="V14" s="453" t="n"/>
      <c r="W14" s="453" t="n"/>
      <c r="X14" s="453" t="n"/>
      <c r="Y14" s="461" t="n"/>
      <c r="AD14" s="272" t="inlineStr">
        <is>
          <t xml:space="preserve">IOF = </t>
        </is>
      </c>
      <c r="AE14" s="453" t="n"/>
      <c r="AF14" s="453" t="n"/>
      <c r="AG14" s="453" t="n"/>
      <c r="AH14" s="453" t="n"/>
      <c r="AI14" s="453" t="n"/>
      <c r="AJ14" s="453" t="n"/>
      <c r="AK14" s="453" t="n"/>
      <c r="AL14" s="453" t="n"/>
      <c r="AM14" s="453" t="n"/>
      <c r="AN14" s="453" t="n"/>
      <c r="AO14" s="454" t="n"/>
      <c r="AP14" s="530">
        <f>I14</f>
        <v/>
      </c>
      <c r="AQ14" s="453" t="n"/>
      <c r="AR14" s="453" t="n"/>
      <c r="AS14" s="453" t="n"/>
      <c r="AT14" s="453" t="n"/>
      <c r="AU14" s="453" t="n"/>
      <c r="AV14" s="453" t="n"/>
      <c r="AW14" s="453" t="n"/>
      <c r="AX14" s="453" t="n"/>
      <c r="AY14" s="453" t="n"/>
      <c r="AZ14" s="461" t="n"/>
      <c r="BE14" s="324" t="inlineStr">
        <is>
          <t xml:space="preserve">Valor da parcela atual = </t>
        </is>
      </c>
      <c r="BF14" s="462" t="n"/>
      <c r="BG14" s="462" t="n"/>
      <c r="BH14" s="462" t="n"/>
      <c r="BI14" s="462" t="n"/>
      <c r="BJ14" s="462" t="n"/>
      <c r="BK14" s="463" t="n"/>
      <c r="BL14" s="531">
        <f>BL12/BL13</f>
        <v/>
      </c>
      <c r="BM14" s="462" t="n"/>
      <c r="BN14" s="462" t="n"/>
      <c r="BO14" s="462" t="n"/>
      <c r="BP14" s="462" t="n"/>
      <c r="BQ14" s="462" t="n"/>
      <c r="BR14" s="462" t="n"/>
      <c r="BS14" s="462" t="n"/>
      <c r="BT14" s="462" t="n"/>
      <c r="BU14" s="462" t="n"/>
      <c r="BV14" s="462" t="n"/>
      <c r="BW14" s="462" t="n"/>
      <c r="BX14" s="462" t="n"/>
      <c r="BY14" s="462" t="n"/>
      <c r="BZ14" s="462" t="n"/>
      <c r="CA14" s="462" t="n"/>
      <c r="CB14" s="465" t="n"/>
      <c r="CE14" s="457" t="n"/>
      <c r="CI14" s="452" t="n"/>
      <c r="CJ14" s="458" t="n"/>
      <c r="CK14" s="457" t="n"/>
      <c r="CL14" s="35" t="n"/>
    </row>
    <row r="15" ht="15" customFormat="1" customHeight="1" s="33" thickBot="1">
      <c r="C15" s="272" t="inlineStr">
        <is>
          <t xml:space="preserve">Valor financiado total no contrato = </t>
        </is>
      </c>
      <c r="D15" s="453" t="n"/>
      <c r="E15" s="453" t="n"/>
      <c r="F15" s="453" t="n"/>
      <c r="G15" s="453" t="n"/>
      <c r="H15" s="454" t="n"/>
      <c r="I15" s="527" t="n"/>
      <c r="J15" s="453" t="n"/>
      <c r="K15" s="453" t="n"/>
      <c r="L15" s="453" t="n"/>
      <c r="M15" s="453" t="n"/>
      <c r="N15" s="453" t="n"/>
      <c r="O15" s="453" t="n"/>
      <c r="P15" s="453" t="n"/>
      <c r="Q15" s="453" t="n"/>
      <c r="R15" s="453" t="n"/>
      <c r="S15" s="453" t="n"/>
      <c r="T15" s="453" t="n"/>
      <c r="U15" s="453" t="n"/>
      <c r="V15" s="453" t="n"/>
      <c r="W15" s="453" t="n"/>
      <c r="X15" s="453" t="n"/>
      <c r="Y15" s="454" t="n"/>
      <c r="AD15" s="272" t="inlineStr">
        <is>
          <t xml:space="preserve">Valor financiado total no contrato = </t>
        </is>
      </c>
      <c r="AE15" s="453" t="n"/>
      <c r="AF15" s="453" t="n"/>
      <c r="AG15" s="453" t="n"/>
      <c r="AH15" s="453" t="n"/>
      <c r="AI15" s="453" t="n"/>
      <c r="AJ15" s="453" t="n"/>
      <c r="AK15" s="453" t="n"/>
      <c r="AL15" s="453" t="n"/>
      <c r="AM15" s="453" t="n"/>
      <c r="AN15" s="453" t="n"/>
      <c r="AO15" s="454" t="n"/>
      <c r="AP15" s="527">
        <f>SUM(AP8:AZ14)</f>
        <v/>
      </c>
      <c r="AQ15" s="453" t="n"/>
      <c r="AR15" s="453" t="n"/>
      <c r="AS15" s="453" t="n"/>
      <c r="AT15" s="453" t="n"/>
      <c r="AU15" s="453" t="n"/>
      <c r="AV15" s="453" t="n"/>
      <c r="AW15" s="453" t="n"/>
      <c r="AX15" s="453" t="n"/>
      <c r="AY15" s="453" t="n"/>
      <c r="AZ15" s="454" t="n"/>
      <c r="BE15" s="466" t="n"/>
      <c r="BF15" s="467" t="n"/>
      <c r="BG15" s="467" t="n"/>
      <c r="BH15" s="467" t="n"/>
      <c r="BI15" s="467" t="n"/>
      <c r="BJ15" s="467" t="n"/>
      <c r="BK15" s="468" t="n"/>
      <c r="BL15" s="469" t="n"/>
      <c r="BM15" s="467" t="n"/>
      <c r="BN15" s="467" t="n"/>
      <c r="BO15" s="467" t="n"/>
      <c r="BP15" s="467" t="n"/>
      <c r="BQ15" s="467" t="n"/>
      <c r="BR15" s="467" t="n"/>
      <c r="BS15" s="467" t="n"/>
      <c r="BT15" s="467" t="n"/>
      <c r="BU15" s="467" t="n"/>
      <c r="BV15" s="467" t="n"/>
      <c r="BW15" s="467" t="n"/>
      <c r="BX15" s="467" t="n"/>
      <c r="BY15" s="467" t="n"/>
      <c r="BZ15" s="467" t="n"/>
      <c r="CA15" s="467" t="n"/>
      <c r="CB15" s="470" t="n"/>
      <c r="CE15" s="457" t="n"/>
      <c r="CI15" s="452" t="n"/>
      <c r="CJ15" s="458" t="n"/>
      <c r="CK15" s="457" t="n"/>
      <c r="CL15" s="35" t="n"/>
    </row>
    <row r="16" ht="15" customFormat="1" customHeight="1" s="33" thickBot="1">
      <c r="C16" s="272" t="inlineStr">
        <is>
          <t xml:space="preserve">Quantidade de parcelas = </t>
        </is>
      </c>
      <c r="D16" s="453" t="n"/>
      <c r="E16" s="453" t="n"/>
      <c r="F16" s="453" t="n"/>
      <c r="G16" s="453" t="n"/>
      <c r="H16" s="454" t="n"/>
      <c r="I16" s="290">
        <f>DADOS!$B$9</f>
        <v/>
      </c>
      <c r="J16" s="453" t="n"/>
      <c r="K16" s="453" t="n"/>
      <c r="L16" s="453" t="n"/>
      <c r="M16" s="453" t="n"/>
      <c r="N16" s="453" t="n"/>
      <c r="O16" s="453" t="n"/>
      <c r="P16" s="453" t="n"/>
      <c r="Q16" s="453" t="n"/>
      <c r="R16" s="453" t="n"/>
      <c r="S16" s="453" t="n"/>
      <c r="T16" s="453" t="n"/>
      <c r="U16" s="453" t="n"/>
      <c r="V16" s="453" t="n"/>
      <c r="W16" s="453" t="n"/>
      <c r="X16" s="453" t="n"/>
      <c r="Y16" s="454" t="n"/>
      <c r="AD16" s="272" t="inlineStr">
        <is>
          <t xml:space="preserve">Taxa média = </t>
        </is>
      </c>
      <c r="AE16" s="453" t="n"/>
      <c r="AF16" s="453" t="n"/>
      <c r="AG16" s="453" t="n"/>
      <c r="AH16" s="453" t="n"/>
      <c r="AI16" s="453" t="n"/>
      <c r="AJ16" s="453" t="n"/>
      <c r="AK16" s="453" t="n"/>
      <c r="AL16" s="453" t="n"/>
      <c r="AM16" s="453" t="n"/>
      <c r="AN16" s="453" t="n"/>
      <c r="AO16" s="454" t="n"/>
      <c r="AP16" s="312">
        <f>DADOS!$B$12</f>
        <v/>
      </c>
      <c r="AQ16" s="453" t="n"/>
      <c r="AR16" s="453" t="n"/>
      <c r="AS16" s="453" t="n"/>
      <c r="AT16" s="453" t="n"/>
      <c r="AU16" s="453" t="n"/>
      <c r="AV16" s="453" t="n"/>
      <c r="AW16" s="453" t="n"/>
      <c r="AX16" s="453" t="n"/>
      <c r="AY16" s="453" t="n"/>
      <c r="AZ16" s="454" t="n"/>
      <c r="CE16" s="457" t="n"/>
      <c r="CI16" s="452" t="n"/>
      <c r="CJ16" s="458" t="n"/>
      <c r="CK16" s="457" t="n"/>
      <c r="CL16" s="35" t="n"/>
    </row>
    <row r="17" ht="15" customFormat="1" customHeight="1" s="33">
      <c r="C17" s="272" t="inlineStr">
        <is>
          <t xml:space="preserve">Valor da parcela cobrada = </t>
        </is>
      </c>
      <c r="D17" s="453" t="n"/>
      <c r="E17" s="453" t="n"/>
      <c r="F17" s="453" t="n"/>
      <c r="G17" s="453" t="n"/>
      <c r="H17" s="454" t="n"/>
      <c r="I17" s="561">
        <f>DADOS!$B$10</f>
        <v/>
      </c>
      <c r="J17" s="453" t="n"/>
      <c r="K17" s="453" t="n"/>
      <c r="L17" s="453" t="n"/>
      <c r="M17" s="453" t="n"/>
      <c r="N17" s="453" t="n"/>
      <c r="O17" s="453" t="n"/>
      <c r="P17" s="453" t="n"/>
      <c r="Q17" s="453" t="n"/>
      <c r="R17" s="453" t="n"/>
      <c r="S17" s="453" t="n"/>
      <c r="T17" s="453" t="n"/>
      <c r="U17" s="453" t="n"/>
      <c r="V17" s="453" t="n"/>
      <c r="W17" s="453" t="n"/>
      <c r="X17" s="453" t="n"/>
      <c r="Y17" s="454" t="n"/>
      <c r="AD17" s="272" t="inlineStr">
        <is>
          <t>Valor da parcela recalculada =</t>
        </is>
      </c>
      <c r="AE17" s="453" t="n"/>
      <c r="AF17" s="453" t="n"/>
      <c r="AG17" s="453" t="n"/>
      <c r="AH17" s="453" t="n"/>
      <c r="AI17" s="453" t="n"/>
      <c r="AJ17" s="453" t="n"/>
      <c r="AK17" s="453" t="n"/>
      <c r="AL17" s="453" t="n"/>
      <c r="AM17" s="453" t="n"/>
      <c r="AN17" s="453" t="n"/>
      <c r="AO17" s="454" t="n"/>
      <c r="AP17" s="532">
        <f>AH122</f>
        <v/>
      </c>
      <c r="AQ17" s="453" t="n"/>
      <c r="AR17" s="453" t="n"/>
      <c r="AS17" s="453" t="n"/>
      <c r="AT17" s="453" t="n"/>
      <c r="AU17" s="453" t="n"/>
      <c r="AV17" s="453" t="n"/>
      <c r="AW17" s="453" t="n"/>
      <c r="AX17" s="453" t="n"/>
      <c r="AY17" s="453" t="n"/>
      <c r="AZ17" s="454" t="n"/>
      <c r="BE17" s="278" t="inlineStr">
        <is>
          <t xml:space="preserve">Saldo do contrato = </t>
        </is>
      </c>
      <c r="BF17" s="445" t="n"/>
      <c r="BG17" s="445" t="n"/>
      <c r="BH17" s="445" t="n"/>
      <c r="BI17" s="445" t="n"/>
      <c r="BJ17" s="445" t="n"/>
      <c r="BK17" s="446" t="n"/>
      <c r="BL17" s="524">
        <f>BL13*I17</f>
        <v/>
      </c>
      <c r="BM17" s="445" t="n"/>
      <c r="BN17" s="445" t="n"/>
      <c r="BO17" s="445" t="n"/>
      <c r="BP17" s="445" t="n"/>
      <c r="BQ17" s="445" t="n"/>
      <c r="BR17" s="445" t="n"/>
      <c r="BS17" s="445" t="n"/>
      <c r="BT17" s="445" t="n"/>
      <c r="BU17" s="445" t="n"/>
      <c r="BV17" s="445" t="n"/>
      <c r="BW17" s="445" t="n"/>
      <c r="BX17" s="445" t="n"/>
      <c r="BY17" s="445" t="n"/>
      <c r="BZ17" s="445" t="n"/>
      <c r="CA17" s="445" t="n"/>
      <c r="CB17" s="446" t="n"/>
      <c r="CE17" s="457" t="n"/>
      <c r="CI17" s="452" t="n"/>
      <c r="CJ17" s="458" t="n"/>
      <c r="CK17" s="457" t="n"/>
      <c r="CL17" s="35" t="n"/>
    </row>
    <row r="18" ht="15" customFormat="1" customHeight="1" s="33" thickBot="1">
      <c r="C18" s="272" t="inlineStr">
        <is>
          <t xml:space="preserve">Taxa pactuada = </t>
        </is>
      </c>
      <c r="D18" s="453" t="n"/>
      <c r="E18" s="453" t="n"/>
      <c r="F18" s="453" t="n"/>
      <c r="G18" s="453" t="n"/>
      <c r="H18" s="454" t="n"/>
      <c r="I18" s="312">
        <f>DADOS!$B$11</f>
        <v/>
      </c>
      <c r="J18" s="453" t="n"/>
      <c r="K18" s="453" t="n"/>
      <c r="L18" s="453" t="n"/>
      <c r="M18" s="453" t="n"/>
      <c r="N18" s="453" t="n"/>
      <c r="O18" s="453" t="n"/>
      <c r="P18" s="453" t="n"/>
      <c r="Q18" s="453" t="n"/>
      <c r="R18" s="453" t="n"/>
      <c r="S18" s="453" t="n"/>
      <c r="T18" s="453" t="n"/>
      <c r="U18" s="453" t="n"/>
      <c r="V18" s="453" t="n"/>
      <c r="W18" s="453" t="n"/>
      <c r="X18" s="453" t="n"/>
      <c r="Y18" s="454" t="n"/>
      <c r="AD18" s="411" t="inlineStr">
        <is>
          <t xml:space="preserve">Valor final recalculado do contrato = </t>
        </is>
      </c>
      <c r="AE18" s="453" t="n"/>
      <c r="AF18" s="453" t="n"/>
      <c r="AG18" s="453" t="n"/>
      <c r="AH18" s="453" t="n"/>
      <c r="AI18" s="453" t="n"/>
      <c r="AJ18" s="453" t="n"/>
      <c r="AK18" s="453" t="n"/>
      <c r="AL18" s="453" t="n"/>
      <c r="AM18" s="453" t="n"/>
      <c r="AN18" s="453" t="n"/>
      <c r="AO18" s="454" t="n"/>
      <c r="AP18" s="528">
        <f>I16*AP17</f>
        <v/>
      </c>
      <c r="AQ18" s="453" t="n"/>
      <c r="AR18" s="453" t="n"/>
      <c r="AS18" s="453" t="n"/>
      <c r="AT18" s="453" t="n"/>
      <c r="AU18" s="453" t="n"/>
      <c r="AV18" s="453" t="n"/>
      <c r="AW18" s="453" t="n"/>
      <c r="AX18" s="453" t="n"/>
      <c r="AY18" s="453" t="n"/>
      <c r="AZ18" s="454" t="n"/>
      <c r="BE18" s="314" t="inlineStr">
        <is>
          <t xml:space="preserve">(-) Saldo incontroverso = </t>
        </is>
      </c>
      <c r="BF18" s="462" t="n"/>
      <c r="BG18" s="462" t="n"/>
      <c r="BH18" s="462" t="n"/>
      <c r="BI18" s="462" t="n"/>
      <c r="BJ18" s="462" t="n"/>
      <c r="BK18" s="463" t="n"/>
      <c r="BL18" s="533">
        <f>BL13*BL14</f>
        <v/>
      </c>
      <c r="BM18" s="462" t="n"/>
      <c r="BN18" s="462" t="n"/>
      <c r="BO18" s="462" t="n"/>
      <c r="BP18" s="462" t="n"/>
      <c r="BQ18" s="462" t="n"/>
      <c r="BR18" s="462" t="n"/>
      <c r="BS18" s="462" t="n"/>
      <c r="BT18" s="462" t="n"/>
      <c r="BU18" s="462" t="n"/>
      <c r="BV18" s="462" t="n"/>
      <c r="BW18" s="462" t="n"/>
      <c r="BX18" s="462" t="n"/>
      <c r="BY18" s="462" t="n"/>
      <c r="BZ18" s="462" t="n"/>
      <c r="CA18" s="462" t="n"/>
      <c r="CB18" s="463" t="n"/>
      <c r="CE18" s="457" t="n"/>
      <c r="CI18" s="452" t="n"/>
      <c r="CJ18" s="458" t="n"/>
      <c r="CK18" s="457" t="n"/>
      <c r="CL18" s="35" t="n"/>
    </row>
    <row r="19" ht="15" customFormat="1" customHeight="1" s="33" thickBot="1">
      <c r="C19" s="331" t="inlineStr">
        <is>
          <t xml:space="preserve">Valor final do contrato = </t>
        </is>
      </c>
      <c r="D19" s="473" t="n"/>
      <c r="E19" s="473" t="n"/>
      <c r="F19" s="473" t="n"/>
      <c r="G19" s="473" t="n"/>
      <c r="H19" s="474" t="n"/>
      <c r="I19" s="534">
        <f>I16*I17</f>
        <v/>
      </c>
      <c r="J19" s="473" t="n"/>
      <c r="K19" s="473" t="n"/>
      <c r="L19" s="473" t="n"/>
      <c r="M19" s="473" t="n"/>
      <c r="N19" s="473" t="n"/>
      <c r="O19" s="473" t="n"/>
      <c r="P19" s="473" t="n"/>
      <c r="Q19" s="473" t="n"/>
      <c r="R19" s="473" t="n"/>
      <c r="S19" s="473" t="n"/>
      <c r="T19" s="473" t="n"/>
      <c r="U19" s="473" t="n"/>
      <c r="V19" s="473" t="n"/>
      <c r="W19" s="473" t="n"/>
      <c r="X19" s="473" t="n"/>
      <c r="Y19" s="474" t="n"/>
      <c r="AD19" s="335" t="inlineStr">
        <is>
          <t xml:space="preserve">Diferença  cobrada a mais por parcela = </t>
        </is>
      </c>
      <c r="AE19" s="453" t="n"/>
      <c r="AF19" s="453" t="n"/>
      <c r="AG19" s="453" t="n"/>
      <c r="AH19" s="453" t="n"/>
      <c r="AI19" s="453" t="n"/>
      <c r="AJ19" s="453" t="n"/>
      <c r="AK19" s="453" t="n"/>
      <c r="AL19" s="453" t="n"/>
      <c r="AM19" s="453" t="n"/>
      <c r="AN19" s="453" t="n"/>
      <c r="AO19" s="454" t="n"/>
      <c r="AP19" s="535">
        <f>I17-AP17</f>
        <v/>
      </c>
      <c r="AQ19" s="453" t="n"/>
      <c r="AR19" s="453" t="n"/>
      <c r="AS19" s="453" t="n"/>
      <c r="AT19" s="453" t="n"/>
      <c r="AU19" s="453" t="n"/>
      <c r="AV19" s="453" t="n"/>
      <c r="AW19" s="453" t="n"/>
      <c r="AX19" s="453" t="n"/>
      <c r="AY19" s="453" t="n"/>
      <c r="AZ19" s="454" t="n"/>
      <c r="BE19" s="339" t="inlineStr">
        <is>
          <t xml:space="preserve">Saldo controvertido total = </t>
        </is>
      </c>
      <c r="BF19" s="445" t="n"/>
      <c r="BG19" s="445" t="n"/>
      <c r="BH19" s="445" t="n"/>
      <c r="BI19" s="445" t="n"/>
      <c r="BJ19" s="445" t="n"/>
      <c r="BK19" s="446" t="n"/>
      <c r="BL19" s="536">
        <f>BL17-BL18</f>
        <v/>
      </c>
      <c r="BM19" s="445" t="n"/>
      <c r="BN19" s="445" t="n"/>
      <c r="BO19" s="445" t="n"/>
      <c r="BP19" s="445" t="n"/>
      <c r="BQ19" s="445" t="n"/>
      <c r="BR19" s="445" t="n"/>
      <c r="BS19" s="445" t="n"/>
      <c r="BT19" s="445" t="n"/>
      <c r="BU19" s="445" t="n"/>
      <c r="BV19" s="445" t="n"/>
      <c r="BW19" s="445" t="n"/>
      <c r="BX19" s="445" t="n"/>
      <c r="BY19" s="445" t="n"/>
      <c r="BZ19" s="445" t="n"/>
      <c r="CA19" s="445" t="n"/>
      <c r="CB19" s="446" t="n"/>
      <c r="CE19" s="457" t="n"/>
      <c r="CI19" s="452" t="n"/>
      <c r="CJ19" s="458" t="n"/>
      <c r="CK19" s="457" t="n"/>
      <c r="CL19" s="35" t="n"/>
    </row>
    <row r="20" ht="15" customFormat="1" customHeight="1" s="33" thickBot="1">
      <c r="AD20" s="320" t="inlineStr">
        <is>
          <t xml:space="preserve">Montante cobrado a mais pelo banco = </t>
        </is>
      </c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4" t="n"/>
      <c r="AP20" s="537">
        <f>I19-AP18</f>
        <v/>
      </c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4" t="n"/>
      <c r="BE20" s="324" t="inlineStr">
        <is>
          <t xml:space="preserve">Saldo controvertido por parcela = </t>
        </is>
      </c>
      <c r="BF20" s="473" t="n"/>
      <c r="BG20" s="473" t="n"/>
      <c r="BH20" s="473" t="n"/>
      <c r="BI20" s="473" t="n"/>
      <c r="BJ20" s="473" t="n"/>
      <c r="BK20" s="474" t="n"/>
      <c r="BL20" s="538">
        <f>BL19/BL13</f>
        <v/>
      </c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4" t="n"/>
      <c r="CE20" s="457" t="n"/>
      <c r="CI20" s="452" t="n"/>
      <c r="CJ20" s="458" t="n"/>
      <c r="CK20" s="457" t="n"/>
      <c r="CL20" s="35" t="n"/>
    </row>
    <row r="21" hidden="1" ht="9.75" customHeight="1">
      <c r="CE21" s="480" t="n"/>
      <c r="CI21" s="481" t="n"/>
      <c r="CJ21" s="482" t="n"/>
      <c r="CK21" s="480" t="n"/>
    </row>
    <row r="22" hidden="1" ht="9.75" customHeight="1">
      <c r="CE22" s="480" t="n"/>
      <c r="CI22" s="481" t="n"/>
      <c r="CJ22" s="482" t="n"/>
      <c r="CK22" s="480" t="n"/>
    </row>
    <row r="23" hidden="1" ht="9.75" customHeight="1">
      <c r="CE23" s="480" t="n"/>
      <c r="CI23" s="481" t="n"/>
      <c r="CJ23" s="482" t="n"/>
      <c r="CK23" s="480" t="n"/>
    </row>
    <row r="24" hidden="1" ht="9.75" customHeight="1">
      <c r="BE24" s="1" t="inlineStr">
        <is>
          <t>Saldo controvertido por parcela</t>
        </is>
      </c>
      <c r="CE24" s="480" t="n"/>
      <c r="CI24" s="481" t="n"/>
      <c r="CJ24" s="482" t="n"/>
      <c r="CK24" s="480" t="n"/>
    </row>
    <row r="25" ht="9.75" customHeight="1">
      <c r="CE25" s="480" t="n"/>
      <c r="CI25" s="481" t="n"/>
      <c r="CJ25" s="482" t="n"/>
      <c r="CK25" s="480" t="n"/>
    </row>
    <row r="26">
      <c r="C26" s="539" t="inlineStr">
        <is>
          <t>CONFORME PACTUADO</t>
        </is>
      </c>
      <c r="D26" s="462" t="n"/>
      <c r="E26" s="462" t="n"/>
      <c r="F26" s="462" t="n"/>
      <c r="G26" s="462" t="n"/>
      <c r="H26" s="462" t="n"/>
      <c r="I26" s="462" t="n"/>
      <c r="J26" s="462" t="n"/>
      <c r="K26" s="462" t="n"/>
      <c r="L26" s="462" t="n"/>
      <c r="M26" s="462" t="n"/>
      <c r="N26" s="462" t="n"/>
      <c r="O26" s="462" t="n"/>
      <c r="P26" s="462" t="n"/>
      <c r="Q26" s="462" t="n"/>
      <c r="R26" s="462" t="n"/>
      <c r="S26" s="462" t="n"/>
      <c r="T26" s="462" t="n"/>
      <c r="U26" s="462" t="n"/>
      <c r="V26" s="462" t="n"/>
      <c r="W26" s="462" t="n"/>
      <c r="X26" s="462" t="n"/>
      <c r="Y26" s="463" t="n"/>
      <c r="AD26" s="539" t="inlineStr">
        <is>
          <t>PARCELA COM TAXA MÉDIA E EXPURGO DE ABUSIVIDADES</t>
        </is>
      </c>
      <c r="AE26" s="462" t="n"/>
      <c r="AF26" s="462" t="n"/>
      <c r="AG26" s="462" t="n"/>
      <c r="AH26" s="462" t="n"/>
      <c r="AI26" s="462" t="n"/>
      <c r="AJ26" s="462" t="n"/>
      <c r="AK26" s="462" t="n"/>
      <c r="AL26" s="462" t="n"/>
      <c r="AM26" s="462" t="n"/>
      <c r="AN26" s="462" t="n"/>
      <c r="AO26" s="462" t="n"/>
      <c r="AP26" s="462" t="n"/>
      <c r="AQ26" s="462" t="n"/>
      <c r="AR26" s="462" t="n"/>
      <c r="AS26" s="462" t="n"/>
      <c r="AT26" s="462" t="n"/>
      <c r="AU26" s="462" t="n"/>
      <c r="AV26" s="462" t="n"/>
      <c r="AW26" s="462" t="n"/>
      <c r="AX26" s="462" t="n"/>
      <c r="AY26" s="462" t="n"/>
      <c r="AZ26" s="463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  <c r="BU26" s="56" t="n"/>
      <c r="BV26" s="56" t="n"/>
      <c r="BW26" s="56" t="n"/>
      <c r="BX26" s="56" t="n"/>
      <c r="BY26" s="56" t="n"/>
      <c r="BZ26" s="56" t="n"/>
      <c r="CA26" s="56" t="n"/>
      <c r="CB26" s="56" t="n"/>
      <c r="CC26" s="56" t="n"/>
      <c r="CD26" s="56" t="n"/>
      <c r="CE26" s="484" t="n"/>
      <c r="CI26" s="481" t="n"/>
      <c r="CK26" s="484" t="n"/>
      <c r="CL26" s="481" t="n"/>
    </row>
    <row r="27" hidden="1" ht="13.5" customHeight="1">
      <c r="C27" s="6" t="n"/>
      <c r="Y27" s="7" t="n"/>
      <c r="AD27" s="6" t="n"/>
      <c r="AZ27" s="7" t="n"/>
      <c r="CE27" s="485" t="n"/>
      <c r="CI27" s="486" t="n"/>
      <c r="CJ27" s="482" t="n"/>
      <c r="CK27" s="485" t="n"/>
      <c r="CL27" s="481" t="n"/>
    </row>
    <row r="28" hidden="1" ht="12" customHeight="1">
      <c r="C28" s="9" t="n"/>
      <c r="D28" s="10" t="n"/>
      <c r="Y28" s="7" t="n"/>
      <c r="AD28" s="9" t="n"/>
      <c r="AE28" s="10" t="n"/>
      <c r="AZ28" s="7" t="n"/>
      <c r="BE28" s="10" t="n"/>
      <c r="BF28" s="10" t="n"/>
      <c r="CE28" s="5" t="n"/>
      <c r="CI28" s="11" t="n"/>
      <c r="CK28" s="5" t="n"/>
      <c r="CL28" s="481" t="n"/>
    </row>
    <row r="29" ht="12" customHeight="1" thickBot="1">
      <c r="C29" s="9" t="n"/>
      <c r="D29" s="10" t="n"/>
      <c r="Y29" s="7" t="n"/>
      <c r="AD29" s="9" t="n"/>
      <c r="AE29" s="10" t="n"/>
      <c r="AZ29" s="7" t="n"/>
      <c r="BE29" s="10" t="n"/>
      <c r="BF29" s="10" t="n"/>
      <c r="CE29" s="480" t="n"/>
      <c r="CK29" s="480" t="n"/>
    </row>
    <row r="30" ht="24" customHeight="1">
      <c r="C30" s="39" t="inlineStr">
        <is>
          <t xml:space="preserve">Valor financiado total = </t>
        </is>
      </c>
      <c r="D30" s="40" t="n"/>
      <c r="E30" s="41" t="n"/>
      <c r="F30" s="41" t="n"/>
      <c r="G30" s="41" t="n"/>
      <c r="H30" s="540">
        <f>I15</f>
        <v/>
      </c>
      <c r="I30" s="453" t="n"/>
      <c r="J30" s="453" t="n"/>
      <c r="K30" s="453" t="n"/>
      <c r="L30" s="453" t="n"/>
      <c r="M30" s="453" t="n"/>
      <c r="N30" s="453" t="n"/>
      <c r="O30" s="453" t="n"/>
      <c r="P30" s="453" t="n"/>
      <c r="Q30" s="453" t="n"/>
      <c r="R30" s="453" t="n"/>
      <c r="S30" s="454" t="n"/>
      <c r="T30" s="10" t="n"/>
      <c r="Y30" s="541" t="n"/>
      <c r="AD30" s="345" t="inlineStr">
        <is>
          <t>Valor financiado ajustado = 
(com expurgo de tarifas e/ou seguros)</t>
        </is>
      </c>
      <c r="AE30" s="453" t="n"/>
      <c r="AF30" s="453" t="n"/>
      <c r="AG30" s="453" t="n"/>
      <c r="AH30" s="453" t="n"/>
      <c r="AI30" s="540">
        <f>AP15</f>
        <v/>
      </c>
      <c r="AJ30" s="453" t="n"/>
      <c r="AK30" s="453" t="n"/>
      <c r="AL30" s="453" t="n"/>
      <c r="AM30" s="453" t="n"/>
      <c r="AN30" s="453" t="n"/>
      <c r="AO30" s="453" t="n"/>
      <c r="AP30" s="453" t="n"/>
      <c r="AQ30" s="453" t="n"/>
      <c r="AR30" s="453" t="n"/>
      <c r="AS30" s="453" t="n"/>
      <c r="AT30" s="454" t="n"/>
      <c r="AU30" s="10" t="n"/>
      <c r="AZ30" s="541" t="n"/>
      <c r="BE30" s="542" t="inlineStr">
        <is>
          <t>PERCENTUAL DA TAXA COBRADADA SUPERIOR A MÉDIA</t>
        </is>
      </c>
      <c r="BF30" s="441" t="n"/>
      <c r="BG30" s="441" t="n"/>
      <c r="BH30" s="444" t="n"/>
      <c r="BJ30" s="62" t="n"/>
      <c r="BK30" s="542" t="inlineStr">
        <is>
          <t>TOTAL NOMINAL DE COBRANÇAS INDEVIDAS</t>
        </is>
      </c>
      <c r="BL30" s="441" t="n"/>
      <c r="BM30" s="441" t="n"/>
      <c r="BN30" s="441" t="n"/>
      <c r="BO30" s="441" t="n"/>
      <c r="BP30" s="441" t="n"/>
      <c r="BQ30" s="441" t="n"/>
      <c r="BR30" s="441" t="n"/>
      <c r="BS30" s="441" t="n"/>
      <c r="BT30" s="441" t="n"/>
      <c r="BU30" s="441" t="n"/>
      <c r="BV30" s="441" t="n"/>
      <c r="BW30" s="441" t="n"/>
      <c r="BX30" s="441" t="n"/>
      <c r="BY30" s="441" t="n"/>
      <c r="BZ30" s="441" t="n"/>
      <c r="CA30" s="441" t="n"/>
      <c r="CB30" s="444" t="n"/>
      <c r="CD30" s="490" t="n"/>
      <c r="CE30" s="480" t="n"/>
      <c r="CF30" s="5" t="n"/>
      <c r="CG30" s="5" t="n"/>
      <c r="CK30" s="480" t="n"/>
    </row>
    <row r="31" ht="12" customHeight="1">
      <c r="C31" s="39" t="inlineStr">
        <is>
          <t xml:space="preserve">Taxa de juros ao mês = </t>
        </is>
      </c>
      <c r="D31" s="40" t="n"/>
      <c r="E31" s="41" t="n"/>
      <c r="F31" s="41" t="n"/>
      <c r="G31" s="41" t="n"/>
      <c r="H31" s="350">
        <f>I18</f>
        <v/>
      </c>
      <c r="I31" s="453" t="n"/>
      <c r="J31" s="453" t="n"/>
      <c r="K31" s="453" t="n"/>
      <c r="L31" s="453" t="n"/>
      <c r="M31" s="453" t="n"/>
      <c r="N31" s="453" t="n"/>
      <c r="O31" s="453" t="n"/>
      <c r="P31" s="453" t="n"/>
      <c r="Q31" s="453" t="n"/>
      <c r="R31" s="40" t="n"/>
      <c r="S31" s="42" t="n"/>
      <c r="Y31" s="541" t="n"/>
      <c r="AC31" s="14" t="n"/>
      <c r="AD31" s="39" t="inlineStr">
        <is>
          <t>Taxa média de juros ao mês =</t>
        </is>
      </c>
      <c r="AE31" s="40" t="n"/>
      <c r="AF31" s="41" t="n"/>
      <c r="AG31" s="41" t="n"/>
      <c r="AH31" s="41" t="n"/>
      <c r="AI31" s="350">
        <f>AP16</f>
        <v/>
      </c>
      <c r="AJ31" s="453" t="n"/>
      <c r="AK31" s="453" t="n"/>
      <c r="AL31" s="453" t="n"/>
      <c r="AM31" s="453" t="n"/>
      <c r="AN31" s="453" t="n"/>
      <c r="AO31" s="453" t="n"/>
      <c r="AP31" s="453" t="n"/>
      <c r="AQ31" s="453" t="n"/>
      <c r="AR31" s="453" t="n"/>
      <c r="AS31" s="40" t="n"/>
      <c r="AT31" s="42" t="n"/>
      <c r="AZ31" s="541" t="n"/>
      <c r="BE31" s="543">
        <f>H31/AI31-100%</f>
        <v/>
      </c>
      <c r="BH31" s="492" t="n"/>
      <c r="BJ31" s="63" t="n"/>
      <c r="BK31" s="544">
        <f>SUM(I9:Y13)</f>
        <v/>
      </c>
      <c r="CB31" s="492" t="n"/>
      <c r="CD31" s="490" t="n"/>
      <c r="CE31" s="480" t="n"/>
      <c r="CI31" s="480" t="n"/>
      <c r="CK31" s="480" t="n"/>
    </row>
    <row r="32" ht="12" customHeight="1" thickBot="1">
      <c r="C32" s="39" t="inlineStr">
        <is>
          <t xml:space="preserve">Quantidade de parcelas = </t>
        </is>
      </c>
      <c r="D32" s="40" t="n"/>
      <c r="E32" s="41" t="n"/>
      <c r="F32" s="41" t="n"/>
      <c r="G32" s="41" t="n"/>
      <c r="H32" s="41" t="n"/>
      <c r="I32" s="363">
        <f>I16</f>
        <v/>
      </c>
      <c r="J32" s="453" t="n"/>
      <c r="K32" s="453" t="n"/>
      <c r="L32" s="453" t="n"/>
      <c r="M32" s="453" t="n"/>
      <c r="N32" s="453" t="n"/>
      <c r="O32" s="453" t="n"/>
      <c r="P32" s="41" t="n"/>
      <c r="Q32" s="41" t="n"/>
      <c r="R32" s="41" t="n"/>
      <c r="S32" s="43" t="n"/>
      <c r="Y32" s="7" t="n"/>
      <c r="AD32" s="39" t="inlineStr">
        <is>
          <t>Quantidade de parcelas =</t>
        </is>
      </c>
      <c r="AE32" s="40" t="n"/>
      <c r="AF32" s="41" t="n"/>
      <c r="AG32" s="41" t="n"/>
      <c r="AH32" s="41" t="n"/>
      <c r="AI32" s="41" t="n"/>
      <c r="AJ32" s="363">
        <f>I16</f>
        <v/>
      </c>
      <c r="AK32" s="453" t="n"/>
      <c r="AL32" s="453" t="n"/>
      <c r="AM32" s="453" t="n"/>
      <c r="AN32" s="453" t="n"/>
      <c r="AO32" s="453" t="n"/>
      <c r="AP32" s="453" t="n"/>
      <c r="AQ32" s="41" t="n"/>
      <c r="AR32" s="41" t="n"/>
      <c r="AS32" s="41" t="n"/>
      <c r="AT32" s="43" t="n"/>
      <c r="AZ32" s="7" t="n"/>
      <c r="BE32" s="466" t="n"/>
      <c r="BF32" s="467" t="n"/>
      <c r="BG32" s="467" t="n"/>
      <c r="BH32" s="470" t="n"/>
      <c r="BJ32" s="64" t="n"/>
      <c r="BK32" s="466" t="n"/>
      <c r="BL32" s="467" t="n"/>
      <c r="BM32" s="467" t="n"/>
      <c r="BN32" s="467" t="n"/>
      <c r="BO32" s="467" t="n"/>
      <c r="BP32" s="467" t="n"/>
      <c r="BQ32" s="467" t="n"/>
      <c r="BR32" s="467" t="n"/>
      <c r="BS32" s="467" t="n"/>
      <c r="BT32" s="467" t="n"/>
      <c r="BU32" s="467" t="n"/>
      <c r="BV32" s="467" t="n"/>
      <c r="BW32" s="467" t="n"/>
      <c r="BX32" s="467" t="n"/>
      <c r="BY32" s="467" t="n"/>
      <c r="BZ32" s="467" t="n"/>
      <c r="CA32" s="467" t="n"/>
      <c r="CB32" s="470" t="n"/>
      <c r="CE32" s="45" t="n"/>
      <c r="CI32" s="480" t="n"/>
      <c r="CK32" s="45" t="n"/>
    </row>
    <row r="33" ht="9" customHeight="1">
      <c r="B33" s="388" t="n"/>
      <c r="C33" s="6" t="n"/>
      <c r="Y33" s="7" t="n"/>
      <c r="AD33" s="6" t="n"/>
      <c r="AZ33" s="7" t="n"/>
      <c r="CE33" s="46" t="n"/>
      <c r="CK33" s="46" t="n"/>
    </row>
    <row r="34" ht="3" customHeight="1">
      <c r="B34" s="388" t="n"/>
      <c r="C34" s="365" t="inlineStr">
        <is>
          <t>Valor da parcela</t>
        </is>
      </c>
      <c r="D34" s="10" t="n"/>
      <c r="E34" s="366" t="inlineStr">
        <is>
          <t>=</t>
        </is>
      </c>
      <c r="F34" s="10" t="n"/>
      <c r="G34" s="366" t="inlineStr">
        <is>
          <t>PV</t>
        </is>
      </c>
      <c r="H34" s="10" t="n"/>
      <c r="I34" s="366" t="inlineStr">
        <is>
          <t>x</t>
        </is>
      </c>
      <c r="J34" s="10" t="n"/>
      <c r="K34" s="10" t="n"/>
      <c r="L34" s="10" t="n"/>
      <c r="M34" s="10" t="n"/>
      <c r="N34" s="366" t="n"/>
      <c r="O34" s="366" t="n">
        <v>1</v>
      </c>
      <c r="P34" s="366" t="n"/>
      <c r="Q34" s="366" t="inlineStr">
        <is>
          <t>+</t>
        </is>
      </c>
      <c r="R34" s="366" t="n"/>
      <c r="S34" s="366" t="inlineStr">
        <is>
          <t>i</t>
        </is>
      </c>
      <c r="T34" s="366" t="n"/>
      <c r="U34" s="367" t="inlineStr">
        <is>
          <t>n</t>
        </is>
      </c>
      <c r="V34" s="10" t="n"/>
      <c r="W34" s="366" t="inlineStr">
        <is>
          <t>x</t>
        </is>
      </c>
      <c r="X34" s="29" t="n"/>
      <c r="Y34" s="364" t="inlineStr">
        <is>
          <t>i</t>
        </is>
      </c>
      <c r="AD34" s="365" t="inlineStr">
        <is>
          <t>Valor da parcela</t>
        </is>
      </c>
      <c r="AE34" s="10" t="n"/>
      <c r="AF34" s="366" t="inlineStr">
        <is>
          <t>=</t>
        </is>
      </c>
      <c r="AG34" s="10" t="n"/>
      <c r="AH34" s="366" t="inlineStr">
        <is>
          <t>PV</t>
        </is>
      </c>
      <c r="AI34" s="10" t="n"/>
      <c r="AJ34" s="366" t="inlineStr">
        <is>
          <t>x</t>
        </is>
      </c>
      <c r="AK34" s="10" t="n"/>
      <c r="AL34" s="10" t="n"/>
      <c r="AM34" s="10" t="n"/>
      <c r="AN34" s="10" t="n"/>
      <c r="AO34" s="366" t="n"/>
      <c r="AP34" s="366" t="n">
        <v>1</v>
      </c>
      <c r="AQ34" s="366" t="n"/>
      <c r="AR34" s="366" t="inlineStr">
        <is>
          <t>+</t>
        </is>
      </c>
      <c r="AS34" s="366" t="n"/>
      <c r="AT34" s="366" t="inlineStr">
        <is>
          <t>i</t>
        </is>
      </c>
      <c r="AU34" s="366" t="n"/>
      <c r="AV34" s="367" t="inlineStr">
        <is>
          <t>n</t>
        </is>
      </c>
      <c r="AW34" s="10" t="n"/>
      <c r="AX34" s="366" t="inlineStr">
        <is>
          <t>x</t>
        </is>
      </c>
      <c r="AY34" s="29" t="n"/>
      <c r="AZ34" s="364" t="inlineStr">
        <is>
          <t>i</t>
        </is>
      </c>
      <c r="BE34" s="57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366" t="n"/>
      <c r="BT34" s="10" t="n"/>
      <c r="BU34" s="366" t="n"/>
      <c r="BV34" s="10" t="n"/>
      <c r="BW34" s="366" t="n"/>
      <c r="BX34" s="10" t="n"/>
      <c r="BY34" s="366" t="n"/>
      <c r="BZ34" s="10" t="n"/>
      <c r="CA34" s="10" t="n"/>
      <c r="CB34" s="10" t="n"/>
      <c r="CC34" s="29" t="n"/>
      <c r="CD34" s="10" t="n"/>
    </row>
    <row r="35" ht="3" customHeight="1">
      <c r="B35" s="388" t="n"/>
      <c r="C35" s="494" t="n"/>
      <c r="D35" s="10" t="n"/>
      <c r="F35" s="10" t="n"/>
      <c r="H35" s="10" t="n"/>
      <c r="J35" s="10" t="n"/>
      <c r="K35" s="10" t="n"/>
      <c r="L35" s="10" t="n"/>
      <c r="M35" s="10" t="n"/>
      <c r="N35" s="366" t="n"/>
      <c r="P35" s="366" t="n"/>
      <c r="R35" s="366" t="n"/>
      <c r="T35" s="366" t="n"/>
      <c r="V35" s="10" t="n"/>
      <c r="X35" s="29" t="n"/>
      <c r="Y35" s="495" t="n"/>
      <c r="AD35" s="494" t="n"/>
      <c r="AE35" s="10" t="n"/>
      <c r="AG35" s="10" t="n"/>
      <c r="AI35" s="10" t="n"/>
      <c r="AK35" s="10" t="n"/>
      <c r="AL35" s="10" t="n"/>
      <c r="AM35" s="10" t="n"/>
      <c r="AN35" s="10" t="n"/>
      <c r="AO35" s="366" t="n"/>
      <c r="AQ35" s="366" t="n"/>
      <c r="AS35" s="366" t="n"/>
      <c r="AU35" s="366" t="n"/>
      <c r="AW35" s="10" t="n"/>
      <c r="AY35" s="29" t="n"/>
      <c r="AZ35" s="495" t="n"/>
      <c r="BE35" s="57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366" t="n"/>
      <c r="BT35" s="10" t="n"/>
      <c r="BU35" s="366" t="n"/>
      <c r="BV35" s="10" t="n"/>
      <c r="BW35" s="366" t="n"/>
      <c r="BX35" s="10" t="n"/>
      <c r="BY35" s="366" t="n"/>
      <c r="BZ35" s="10" t="n"/>
      <c r="CA35" s="10" t="n"/>
      <c r="CB35" s="10" t="n"/>
      <c r="CC35" s="29" t="n"/>
      <c r="CD35" s="10" t="n"/>
    </row>
    <row r="36" ht="3" customHeight="1">
      <c r="B36" s="388" t="n"/>
      <c r="C36" s="494" t="n"/>
      <c r="D36" s="10" t="n"/>
      <c r="F36" s="10" t="n"/>
      <c r="H36" s="10" t="n"/>
      <c r="J36" s="10" t="n"/>
      <c r="K36" s="10" t="n"/>
      <c r="L36" s="10" t="n"/>
      <c r="M36" s="10" t="n"/>
      <c r="N36" s="366" t="n"/>
      <c r="P36" s="366" t="n"/>
      <c r="R36" s="366" t="n"/>
      <c r="T36" s="366" t="n"/>
      <c r="V36" s="10" t="n"/>
      <c r="X36" s="29" t="n"/>
      <c r="Y36" s="495" t="n"/>
      <c r="AD36" s="494" t="n"/>
      <c r="AE36" s="10" t="n"/>
      <c r="AG36" s="10" t="n"/>
      <c r="AI36" s="10" t="n"/>
      <c r="AK36" s="10" t="n"/>
      <c r="AL36" s="10" t="n"/>
      <c r="AM36" s="10" t="n"/>
      <c r="AN36" s="10" t="n"/>
      <c r="AO36" s="366" t="n"/>
      <c r="AQ36" s="366" t="n"/>
      <c r="AS36" s="366" t="n"/>
      <c r="AU36" s="366" t="n"/>
      <c r="AW36" s="10" t="n"/>
      <c r="AY36" s="29" t="n"/>
      <c r="AZ36" s="495" t="n"/>
      <c r="BE36" s="57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366" t="n"/>
      <c r="BT36" s="10" t="n"/>
      <c r="BU36" s="366" t="n"/>
      <c r="BV36" s="10" t="n"/>
      <c r="BW36" s="366" t="n"/>
      <c r="BX36" s="10" t="n"/>
      <c r="BY36" s="366" t="n"/>
      <c r="BZ36" s="10" t="n"/>
      <c r="CA36" s="10" t="n"/>
      <c r="CB36" s="10" t="n"/>
      <c r="CC36" s="29" t="n"/>
      <c r="CD36" s="10" t="n"/>
    </row>
    <row r="37" ht="3" customHeight="1">
      <c r="B37" s="388" t="n"/>
      <c r="C37" s="494" t="n"/>
      <c r="D37" s="10" t="n"/>
      <c r="F37" s="10" t="n"/>
      <c r="H37" s="10" t="n"/>
      <c r="J37" s="10" t="n"/>
      <c r="K37" s="10" t="n"/>
      <c r="L37" s="10" t="n"/>
      <c r="M37" s="10" t="n"/>
      <c r="N37" s="10" t="n"/>
      <c r="P37" s="10" t="n"/>
      <c r="R37" s="10" t="n"/>
      <c r="T37" s="366" t="n"/>
      <c r="U37" s="366" t="n"/>
      <c r="V37" s="10" t="n"/>
      <c r="X37" s="10" t="n"/>
      <c r="Y37" s="495" t="n"/>
      <c r="AD37" s="494" t="n"/>
      <c r="AE37" s="10" t="n"/>
      <c r="AG37" s="10" t="n"/>
      <c r="AI37" s="10" t="n"/>
      <c r="AK37" s="10" t="n"/>
      <c r="AL37" s="10" t="n"/>
      <c r="AM37" s="10" t="n"/>
      <c r="AN37" s="10" t="n"/>
      <c r="AO37" s="10" t="n"/>
      <c r="AQ37" s="10" t="n"/>
      <c r="AS37" s="10" t="n"/>
      <c r="AU37" s="366" t="n"/>
      <c r="AV37" s="366" t="n"/>
      <c r="AW37" s="10" t="n"/>
      <c r="AY37" s="10" t="n"/>
      <c r="AZ37" s="495" t="n"/>
      <c r="BE37" s="57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366" t="n"/>
      <c r="BZ37" s="366" t="n"/>
      <c r="CA37" s="10" t="n"/>
      <c r="CB37" s="10" t="n"/>
      <c r="CC37" s="10" t="n"/>
      <c r="CD37" s="10" t="n"/>
    </row>
    <row r="38" ht="3" customHeight="1" thickBot="1">
      <c r="B38" s="388" t="n"/>
      <c r="C38" s="494" t="n"/>
      <c r="D38" s="10" t="n"/>
      <c r="F38" s="10" t="n"/>
      <c r="H38" s="10" t="n"/>
      <c r="J38" s="10" t="n"/>
      <c r="K38" s="10" t="n"/>
      <c r="L38" s="10" t="n"/>
      <c r="M38" s="10" t="n"/>
      <c r="N38" s="10" t="n"/>
      <c r="P38" s="10" t="n"/>
      <c r="R38" s="10" t="n"/>
      <c r="T38" s="366" t="n"/>
      <c r="U38" s="366" t="n"/>
      <c r="V38" s="10" t="n"/>
      <c r="X38" s="10" t="n"/>
      <c r="Y38" s="495" t="n"/>
      <c r="AD38" s="494" t="n"/>
      <c r="AE38" s="10" t="n"/>
      <c r="AG38" s="10" t="n"/>
      <c r="AI38" s="10" t="n"/>
      <c r="AK38" s="10" t="n"/>
      <c r="AL38" s="10" t="n"/>
      <c r="AM38" s="10" t="n"/>
      <c r="AN38" s="10" t="n"/>
      <c r="AO38" s="10" t="n"/>
      <c r="AQ38" s="10" t="n"/>
      <c r="AS38" s="10" t="n"/>
      <c r="AU38" s="366" t="n"/>
      <c r="AV38" s="366" t="n"/>
      <c r="AW38" s="10" t="n"/>
      <c r="AY38" s="10" t="n"/>
      <c r="AZ38" s="495" t="n"/>
      <c r="BE38" s="57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366" t="n"/>
      <c r="BZ38" s="366" t="n"/>
      <c r="CA38" s="10" t="n"/>
      <c r="CB38" s="10" t="n"/>
      <c r="CC38" s="10" t="n"/>
      <c r="CD38" s="10" t="n"/>
    </row>
    <row r="39" ht="3" customHeight="1">
      <c r="B39" s="388" t="n"/>
      <c r="C39" s="494" t="n"/>
      <c r="D39" s="10" t="n"/>
      <c r="F39" s="10" t="n"/>
      <c r="H39" s="10" t="n"/>
      <c r="J39" s="10" t="n"/>
      <c r="K39" s="10" t="n"/>
      <c r="L39" s="10" t="n"/>
      <c r="M39" s="10" t="n"/>
      <c r="N39" s="366" t="n"/>
      <c r="P39" s="366" t="n"/>
      <c r="R39" s="366" t="n"/>
      <c r="T39" s="366" t="n"/>
      <c r="U39" s="366" t="n"/>
      <c r="V39" s="10" t="n"/>
      <c r="X39" s="10" t="n"/>
      <c r="Y39" s="495" t="n"/>
      <c r="AD39" s="494" t="n"/>
      <c r="AE39" s="10" t="n"/>
      <c r="AG39" s="10" t="n"/>
      <c r="AI39" s="10" t="n"/>
      <c r="AK39" s="10" t="n"/>
      <c r="AL39" s="10" t="n"/>
      <c r="AM39" s="10" t="n"/>
      <c r="AN39" s="10" t="n"/>
      <c r="AO39" s="366" t="n"/>
      <c r="AQ39" s="366" t="n"/>
      <c r="AS39" s="366" t="n"/>
      <c r="AU39" s="366" t="n"/>
      <c r="AV39" s="366" t="n"/>
      <c r="AW39" s="10" t="n"/>
      <c r="AY39" s="10" t="n"/>
      <c r="AZ39" s="495" t="n"/>
      <c r="BE39" s="562" t="inlineStr">
        <is>
          <t>TAXA EFETIVAMENTE COBRADA</t>
        </is>
      </c>
      <c r="BF39" s="441" t="n"/>
      <c r="BG39" s="441" t="n"/>
      <c r="BH39" s="441" t="n"/>
      <c r="BI39" s="441" t="n"/>
      <c r="BJ39" s="441" t="n"/>
      <c r="BK39" s="441" t="n"/>
      <c r="BL39" s="441" t="n"/>
      <c r="BM39" s="441" t="n"/>
      <c r="BN39" s="441" t="n"/>
      <c r="BO39" s="441" t="n"/>
      <c r="BP39" s="441" t="n"/>
      <c r="BQ39" s="441" t="n"/>
      <c r="BR39" s="441" t="n"/>
      <c r="BS39" s="441" t="n"/>
      <c r="BT39" s="441" t="n"/>
      <c r="BU39" s="441" t="n"/>
      <c r="BV39" s="441" t="n"/>
      <c r="BW39" s="441" t="n"/>
      <c r="BX39" s="441" t="n"/>
      <c r="BY39" s="441" t="n"/>
      <c r="BZ39" s="441" t="n"/>
      <c r="CA39" s="441" t="n"/>
      <c r="CB39" s="444" t="n"/>
      <c r="CC39" s="10" t="n"/>
      <c r="CD39" s="10" t="n"/>
    </row>
    <row r="40" ht="3" customHeight="1">
      <c r="B40" s="388" t="n"/>
      <c r="C40" s="494" t="n"/>
      <c r="D40" s="366" t="n"/>
      <c r="F40" s="10" t="n"/>
      <c r="H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8" t="n"/>
      <c r="AD40" s="494" t="n"/>
      <c r="AE40" s="366" t="n"/>
      <c r="AG40" s="10" t="n"/>
      <c r="AI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8" t="n"/>
      <c r="BE40" s="497" t="n"/>
      <c r="CB40" s="492" t="n"/>
      <c r="CC40" s="10" t="n"/>
      <c r="CD40" s="10" t="n"/>
    </row>
    <row r="41" ht="3" customHeight="1">
      <c r="B41" s="388" t="n"/>
      <c r="C41" s="494" t="n"/>
      <c r="D41" s="366" t="n"/>
      <c r="F41" s="10" t="n"/>
      <c r="H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8" t="n"/>
      <c r="AD41" s="494" t="n"/>
      <c r="AE41" s="366" t="n"/>
      <c r="AG41" s="10" t="n"/>
      <c r="AI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8" t="n"/>
      <c r="BE41" s="497" t="n"/>
      <c r="CB41" s="492" t="n"/>
      <c r="CC41" s="10" t="n"/>
      <c r="CD41" s="10" t="n"/>
    </row>
    <row r="42" ht="3" customHeight="1">
      <c r="B42" s="388" t="n"/>
      <c r="C42" s="494" t="n"/>
      <c r="D42" s="10" t="n"/>
      <c r="F42" s="10" t="n"/>
      <c r="H42" s="10" t="n"/>
      <c r="J42" s="10" t="n"/>
      <c r="K42" s="10" t="n"/>
      <c r="L42" s="10" t="n"/>
      <c r="M42" s="10" t="n"/>
      <c r="N42" s="366" t="n"/>
      <c r="O42" s="366" t="n">
        <v>1</v>
      </c>
      <c r="P42" s="366" t="n"/>
      <c r="Q42" s="366" t="inlineStr">
        <is>
          <t>+</t>
        </is>
      </c>
      <c r="R42" s="366" t="n"/>
      <c r="S42" s="366" t="inlineStr">
        <is>
          <t>i</t>
        </is>
      </c>
      <c r="T42" s="366" t="n"/>
      <c r="U42" s="367" t="inlineStr">
        <is>
          <t>n</t>
        </is>
      </c>
      <c r="V42" s="10" t="n"/>
      <c r="W42" s="366" t="inlineStr">
        <is>
          <t>-</t>
        </is>
      </c>
      <c r="X42" s="29" t="n"/>
      <c r="Y42" s="364" t="n">
        <v>1</v>
      </c>
      <c r="AD42" s="494" t="n"/>
      <c r="AE42" s="10" t="n"/>
      <c r="AG42" s="10" t="n"/>
      <c r="AI42" s="10" t="n"/>
      <c r="AK42" s="10" t="n"/>
      <c r="AL42" s="10" t="n"/>
      <c r="AM42" s="10" t="n"/>
      <c r="AN42" s="10" t="n"/>
      <c r="AO42" s="366" t="n"/>
      <c r="AP42" s="366" t="n">
        <v>1</v>
      </c>
      <c r="AQ42" s="366" t="n"/>
      <c r="AR42" s="366" t="inlineStr">
        <is>
          <t>+</t>
        </is>
      </c>
      <c r="AS42" s="366" t="n"/>
      <c r="AT42" s="366" t="inlineStr">
        <is>
          <t>i</t>
        </is>
      </c>
      <c r="AU42" s="366" t="n"/>
      <c r="AV42" s="367" t="inlineStr">
        <is>
          <t>n</t>
        </is>
      </c>
      <c r="AW42" s="10" t="n"/>
      <c r="AX42" s="366" t="inlineStr">
        <is>
          <t>-</t>
        </is>
      </c>
      <c r="AY42" s="29" t="n"/>
      <c r="AZ42" s="364" t="n">
        <v>1</v>
      </c>
      <c r="BE42" s="497" t="n"/>
      <c r="CB42" s="492" t="n"/>
      <c r="CC42" s="29" t="n"/>
      <c r="CD42" s="10" t="n"/>
    </row>
    <row r="43" ht="3" customHeight="1">
      <c r="B43" s="388" t="n"/>
      <c r="C43" s="494" t="n"/>
      <c r="D43" s="10" t="n"/>
      <c r="F43" s="10" t="n"/>
      <c r="H43" s="10" t="n"/>
      <c r="J43" s="10" t="n"/>
      <c r="K43" s="10" t="n"/>
      <c r="L43" s="10" t="n"/>
      <c r="M43" s="10" t="n"/>
      <c r="N43" s="366" t="n"/>
      <c r="P43" s="366" t="n"/>
      <c r="R43" s="366" t="n"/>
      <c r="T43" s="366" t="n"/>
      <c r="V43" s="10" t="n"/>
      <c r="X43" s="29" t="n"/>
      <c r="Y43" s="495" t="n"/>
      <c r="AD43" s="494" t="n"/>
      <c r="AE43" s="10" t="n"/>
      <c r="AG43" s="10" t="n"/>
      <c r="AI43" s="10" t="n"/>
      <c r="AK43" s="10" t="n"/>
      <c r="AL43" s="10" t="n"/>
      <c r="AM43" s="10" t="n"/>
      <c r="AN43" s="10" t="n"/>
      <c r="AO43" s="366" t="n"/>
      <c r="AQ43" s="366" t="n"/>
      <c r="AS43" s="366" t="n"/>
      <c r="AU43" s="366" t="n"/>
      <c r="AW43" s="10" t="n"/>
      <c r="AY43" s="29" t="n"/>
      <c r="AZ43" s="495" t="n"/>
      <c r="BE43" s="497" t="n"/>
      <c r="CB43" s="492" t="n"/>
      <c r="CC43" s="29" t="n"/>
      <c r="CD43" s="10" t="n"/>
    </row>
    <row r="44" ht="3" customHeight="1">
      <c r="B44" s="388" t="n"/>
      <c r="C44" s="494" t="n"/>
      <c r="D44" s="10" t="n"/>
      <c r="F44" s="10" t="n"/>
      <c r="H44" s="10" t="n"/>
      <c r="J44" s="10" t="n"/>
      <c r="K44" s="10" t="n"/>
      <c r="L44" s="10" t="n"/>
      <c r="M44" s="10" t="n"/>
      <c r="N44" s="366" t="n"/>
      <c r="P44" s="366" t="n"/>
      <c r="R44" s="366" t="n"/>
      <c r="T44" s="366" t="n"/>
      <c r="V44" s="10" t="n"/>
      <c r="X44" s="29" t="n"/>
      <c r="Y44" s="495" t="n"/>
      <c r="AD44" s="494" t="n"/>
      <c r="AE44" s="10" t="n"/>
      <c r="AG44" s="10" t="n"/>
      <c r="AI44" s="10" t="n"/>
      <c r="AK44" s="10" t="n"/>
      <c r="AL44" s="10" t="n"/>
      <c r="AM44" s="10" t="n"/>
      <c r="AN44" s="10" t="n"/>
      <c r="AO44" s="366" t="n"/>
      <c r="AQ44" s="366" t="n"/>
      <c r="AS44" s="366" t="n"/>
      <c r="AU44" s="366" t="n"/>
      <c r="AW44" s="10" t="n"/>
      <c r="AY44" s="29" t="n"/>
      <c r="AZ44" s="495" t="n"/>
      <c r="BE44" s="497" t="n"/>
      <c r="CB44" s="492" t="n"/>
      <c r="CC44" s="29" t="n"/>
      <c r="CD44" s="10" t="n"/>
    </row>
    <row r="45" ht="3" customHeight="1">
      <c r="B45" s="388" t="n"/>
      <c r="C45" s="494" t="n"/>
      <c r="D45" s="10" t="n"/>
      <c r="F45" s="10" t="n"/>
      <c r="H45" s="10" t="n"/>
      <c r="J45" s="10" t="n"/>
      <c r="K45" s="10" t="n"/>
      <c r="L45" s="10" t="n"/>
      <c r="M45" s="10" t="n"/>
      <c r="N45" s="10" t="n"/>
      <c r="P45" s="10" t="n"/>
      <c r="R45" s="10" t="n"/>
      <c r="T45" s="366" t="n"/>
      <c r="U45" s="366" t="n"/>
      <c r="V45" s="10" t="n"/>
      <c r="X45" s="10" t="n"/>
      <c r="Y45" s="495" t="n"/>
      <c r="AD45" s="494" t="n"/>
      <c r="AE45" s="10" t="n"/>
      <c r="AG45" s="10" t="n"/>
      <c r="AI45" s="10" t="n"/>
      <c r="AK45" s="10" t="n"/>
      <c r="AL45" s="10" t="n"/>
      <c r="AM45" s="10" t="n"/>
      <c r="AN45" s="10" t="n"/>
      <c r="AO45" s="10" t="n"/>
      <c r="AQ45" s="10" t="n"/>
      <c r="AS45" s="10" t="n"/>
      <c r="AU45" s="366" t="n"/>
      <c r="AV45" s="366" t="n"/>
      <c r="AW45" s="10" t="n"/>
      <c r="AY45" s="10" t="n"/>
      <c r="AZ45" s="495" t="n"/>
      <c r="BE45" s="497" t="n"/>
      <c r="CB45" s="492" t="n"/>
      <c r="CC45" s="10" t="n"/>
      <c r="CD45" s="10" t="n"/>
    </row>
    <row r="46" ht="3" customHeight="1">
      <c r="B46" s="388" t="n"/>
      <c r="C46" s="494" t="n"/>
      <c r="D46" s="10" t="n"/>
      <c r="F46" s="10" t="n"/>
      <c r="H46" s="10" t="n"/>
      <c r="J46" s="10" t="n"/>
      <c r="K46" s="10" t="n"/>
      <c r="L46" s="10" t="n"/>
      <c r="M46" s="10" t="n"/>
      <c r="N46" s="10" t="n"/>
      <c r="P46" s="10" t="n"/>
      <c r="R46" s="10" t="n"/>
      <c r="T46" s="366" t="n"/>
      <c r="U46" s="366" t="n"/>
      <c r="V46" s="10" t="n"/>
      <c r="X46" s="10" t="n"/>
      <c r="Y46" s="495" t="n"/>
      <c r="AD46" s="494" t="n"/>
      <c r="AE46" s="10" t="n"/>
      <c r="AG46" s="10" t="n"/>
      <c r="AI46" s="10" t="n"/>
      <c r="AK46" s="10" t="n"/>
      <c r="AL46" s="10" t="n"/>
      <c r="AM46" s="10" t="n"/>
      <c r="AN46" s="10" t="n"/>
      <c r="AO46" s="10" t="n"/>
      <c r="AQ46" s="10" t="n"/>
      <c r="AS46" s="10" t="n"/>
      <c r="AU46" s="366" t="n"/>
      <c r="AV46" s="366" t="n"/>
      <c r="AW46" s="10" t="n"/>
      <c r="AY46" s="10" t="n"/>
      <c r="AZ46" s="495" t="n"/>
      <c r="BE46" s="563">
        <f>RATE(I16,I17,-I15)</f>
        <v/>
      </c>
      <c r="CB46" s="492" t="n"/>
      <c r="CC46" s="10" t="n"/>
      <c r="CD46" s="10" t="n"/>
    </row>
    <row r="47" ht="3" customHeight="1">
      <c r="B47" s="388" t="n"/>
      <c r="C47" s="494" t="n"/>
      <c r="D47" s="10" t="n"/>
      <c r="F47" s="10" t="n"/>
      <c r="H47" s="10" t="n"/>
      <c r="J47" s="10" t="n"/>
      <c r="K47" s="10" t="n"/>
      <c r="L47" s="10" t="n"/>
      <c r="M47" s="10" t="n"/>
      <c r="N47" s="366" t="n"/>
      <c r="P47" s="366" t="n"/>
      <c r="R47" s="366" t="n"/>
      <c r="T47" s="366" t="n"/>
      <c r="U47" s="366" t="n"/>
      <c r="V47" s="10" t="n"/>
      <c r="X47" s="10" t="n"/>
      <c r="Y47" s="495" t="n"/>
      <c r="AD47" s="494" t="n"/>
      <c r="AE47" s="10" t="n"/>
      <c r="AG47" s="10" t="n"/>
      <c r="AI47" s="10" t="n"/>
      <c r="AK47" s="10" t="n"/>
      <c r="AL47" s="10" t="n"/>
      <c r="AM47" s="10" t="n"/>
      <c r="AN47" s="10" t="n"/>
      <c r="AO47" s="366" t="n"/>
      <c r="AQ47" s="366" t="n"/>
      <c r="AS47" s="366" t="n"/>
      <c r="AU47" s="366" t="n"/>
      <c r="AV47" s="366" t="n"/>
      <c r="AW47" s="10" t="n"/>
      <c r="AY47" s="10" t="n"/>
      <c r="AZ47" s="495" t="n"/>
      <c r="BE47" s="497" t="n"/>
      <c r="CB47" s="492" t="n"/>
      <c r="CC47" s="10" t="n"/>
      <c r="CD47" s="10" t="n"/>
    </row>
    <row r="48" ht="3" customHeight="1">
      <c r="C48" s="494" t="n"/>
      <c r="D48" s="10" t="n"/>
      <c r="F48" s="10" t="n"/>
      <c r="H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8" t="n"/>
      <c r="AD48" s="494" t="n"/>
      <c r="AE48" s="10" t="n"/>
      <c r="AG48" s="10" t="n"/>
      <c r="AI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8" t="n"/>
      <c r="BE48" s="497" t="n"/>
      <c r="CB48" s="492" t="n"/>
      <c r="CC48" s="10" t="n"/>
      <c r="CD48" s="10" t="n"/>
    </row>
    <row r="49" ht="9" customHeight="1" thickBot="1">
      <c r="C49" s="9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8" t="n"/>
      <c r="AD49" s="9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8" t="n"/>
      <c r="BE49" s="466" t="n"/>
      <c r="BF49" s="467" t="n"/>
      <c r="BG49" s="467" t="n"/>
      <c r="BH49" s="467" t="n"/>
      <c r="BI49" s="467" t="n"/>
      <c r="BJ49" s="467" t="n"/>
      <c r="BK49" s="467" t="n"/>
      <c r="BL49" s="467" t="n"/>
      <c r="BM49" s="467" t="n"/>
      <c r="BN49" s="467" t="n"/>
      <c r="BO49" s="467" t="n"/>
      <c r="BP49" s="467" t="n"/>
      <c r="BQ49" s="467" t="n"/>
      <c r="BR49" s="467" t="n"/>
      <c r="BS49" s="467" t="n"/>
      <c r="BT49" s="467" t="n"/>
      <c r="BU49" s="467" t="n"/>
      <c r="BV49" s="467" t="n"/>
      <c r="BW49" s="467" t="n"/>
      <c r="BX49" s="467" t="n"/>
      <c r="BY49" s="467" t="n"/>
      <c r="BZ49" s="467" t="n"/>
      <c r="CA49" s="467" t="n"/>
      <c r="CB49" s="470" t="n"/>
      <c r="CC49" s="10" t="n"/>
      <c r="CD49" s="10" t="n"/>
    </row>
    <row r="50" ht="3" customHeight="1">
      <c r="B50" s="388" t="n"/>
      <c r="C50" s="365" t="inlineStr">
        <is>
          <t>Valor da parcela</t>
        </is>
      </c>
      <c r="D50" s="10" t="n"/>
      <c r="E50" s="366" t="inlineStr">
        <is>
          <t>=</t>
        </is>
      </c>
      <c r="F50" s="10" t="n"/>
      <c r="G50" s="391">
        <f>H30</f>
        <v/>
      </c>
      <c r="H50" s="10" t="n"/>
      <c r="I50" s="366" t="inlineStr">
        <is>
          <t>x</t>
        </is>
      </c>
      <c r="J50" s="10" t="n"/>
      <c r="K50" s="10" t="n"/>
      <c r="L50" s="10" t="n"/>
      <c r="M50" s="10" t="n"/>
      <c r="N50" s="366" t="n"/>
      <c r="O50" s="366" t="n">
        <v>1</v>
      </c>
      <c r="P50" s="366" t="n"/>
      <c r="Q50" s="366" t="inlineStr">
        <is>
          <t>+</t>
        </is>
      </c>
      <c r="R50" s="366" t="n"/>
      <c r="S50" s="381">
        <f>H31</f>
        <v/>
      </c>
      <c r="T50" s="366" t="n"/>
      <c r="U50" s="382">
        <f>I32</f>
        <v/>
      </c>
      <c r="V50" s="10" t="n"/>
      <c r="W50" s="366" t="inlineStr">
        <is>
          <t>x</t>
        </is>
      </c>
      <c r="X50" s="29" t="n"/>
      <c r="Y50" s="383">
        <f>S50</f>
        <v/>
      </c>
      <c r="AD50" s="365" t="inlineStr">
        <is>
          <t>Valor da parcela</t>
        </is>
      </c>
      <c r="AE50" s="10" t="n"/>
      <c r="AF50" s="366" t="inlineStr">
        <is>
          <t>=</t>
        </is>
      </c>
      <c r="AG50" s="10" t="n"/>
      <c r="AH50" s="391">
        <f>AI30</f>
        <v/>
      </c>
      <c r="AI50" s="10" t="n"/>
      <c r="AJ50" s="366" t="inlineStr">
        <is>
          <t>x</t>
        </is>
      </c>
      <c r="AK50" s="10" t="n"/>
      <c r="AL50" s="10" t="n"/>
      <c r="AM50" s="10" t="n"/>
      <c r="AN50" s="10" t="n"/>
      <c r="AO50" s="366" t="n"/>
      <c r="AP50" s="366" t="n">
        <v>1</v>
      </c>
      <c r="AQ50" s="366" t="n"/>
      <c r="AR50" s="366" t="inlineStr">
        <is>
          <t>+</t>
        </is>
      </c>
      <c r="AS50" s="366" t="n"/>
      <c r="AT50" s="381">
        <f>AI31</f>
        <v/>
      </c>
      <c r="AU50" s="366" t="n"/>
      <c r="AV50" s="382">
        <f>AJ32</f>
        <v/>
      </c>
      <c r="AW50" s="10" t="n"/>
      <c r="AX50" s="366" t="inlineStr">
        <is>
          <t>x</t>
        </is>
      </c>
      <c r="AY50" s="29" t="n"/>
      <c r="AZ50" s="383">
        <f>AT50</f>
        <v/>
      </c>
      <c r="BE50" s="57" t="n"/>
      <c r="BF50" s="10" t="n"/>
      <c r="BG50" s="10" t="n"/>
      <c r="BH50" s="10" t="n"/>
      <c r="BI50" s="10" t="n"/>
      <c r="BJ50" s="10" t="n"/>
      <c r="BK50" s="10" t="n"/>
      <c r="BL50" s="58" t="n"/>
      <c r="BM50" s="10" t="n"/>
      <c r="BN50" s="10" t="n"/>
      <c r="BO50" s="10" t="n"/>
      <c r="BP50" s="10" t="n"/>
      <c r="BQ50" s="10" t="n"/>
      <c r="BR50" s="10" t="n"/>
      <c r="BS50" s="366" t="n"/>
      <c r="BT50" s="10" t="n"/>
      <c r="BU50" s="366" t="n"/>
      <c r="BV50" s="10" t="n"/>
      <c r="BW50" s="366" t="n"/>
      <c r="BX50" s="500" t="n"/>
      <c r="BY50" s="366" t="n"/>
      <c r="BZ50" s="60" t="n"/>
      <c r="CA50" s="10" t="n"/>
      <c r="CB50" s="10" t="n"/>
      <c r="CC50" s="29" t="n"/>
      <c r="CD50" s="500" t="n"/>
    </row>
    <row r="51" ht="3" customHeight="1">
      <c r="B51" s="388" t="n"/>
      <c r="C51" s="494" t="n"/>
      <c r="D51" s="10" t="n"/>
      <c r="F51" s="10" t="n"/>
      <c r="H51" s="10" t="n"/>
      <c r="J51" s="10" t="n"/>
      <c r="K51" s="10" t="n"/>
      <c r="L51" s="10" t="n"/>
      <c r="M51" s="10" t="n"/>
      <c r="N51" s="366" t="n"/>
      <c r="P51" s="366" t="n"/>
      <c r="R51" s="366" t="n"/>
      <c r="T51" s="366" t="n"/>
      <c r="V51" s="10" t="n"/>
      <c r="X51" s="29" t="n"/>
      <c r="Y51" s="495" t="n"/>
      <c r="AD51" s="494" t="n"/>
      <c r="AE51" s="10" t="n"/>
      <c r="AG51" s="10" t="n"/>
      <c r="AI51" s="10" t="n"/>
      <c r="AK51" s="10" t="n"/>
      <c r="AL51" s="10" t="n"/>
      <c r="AM51" s="10" t="n"/>
      <c r="AN51" s="10" t="n"/>
      <c r="AO51" s="366" t="n"/>
      <c r="AQ51" s="366" t="n"/>
      <c r="AS51" s="366" t="n"/>
      <c r="AU51" s="366" t="n"/>
      <c r="AW51" s="10" t="n"/>
      <c r="AY51" s="29" t="n"/>
      <c r="AZ51" s="495" t="n"/>
      <c r="BE51" s="57" t="n"/>
      <c r="BF51" s="10" t="n"/>
      <c r="BG51" s="10" t="n"/>
      <c r="BH51" s="10" t="n"/>
      <c r="BI51" s="10" t="n"/>
      <c r="BJ51" s="10" t="n"/>
      <c r="BK51" s="10" t="n"/>
      <c r="BL51" s="58" t="n"/>
      <c r="BM51" s="10" t="n"/>
      <c r="BN51" s="10" t="n"/>
      <c r="BO51" s="10" t="n"/>
      <c r="BP51" s="10" t="n"/>
      <c r="BQ51" s="10" t="n"/>
      <c r="BR51" s="10" t="n"/>
      <c r="BS51" s="366" t="n"/>
      <c r="BT51" s="10" t="n"/>
      <c r="BU51" s="366" t="n"/>
      <c r="BV51" s="10" t="n"/>
      <c r="BW51" s="366" t="n"/>
      <c r="BX51" s="500" t="n"/>
      <c r="BY51" s="366" t="n"/>
      <c r="BZ51" s="60" t="n"/>
      <c r="CA51" s="10" t="n"/>
      <c r="CB51" s="10" t="n"/>
      <c r="CC51" s="29" t="n"/>
      <c r="CD51" s="500" t="n"/>
    </row>
    <row r="52" ht="3" customHeight="1">
      <c r="B52" s="388" t="n"/>
      <c r="C52" s="494" t="n"/>
      <c r="D52" s="10" t="n"/>
      <c r="F52" s="10" t="n"/>
      <c r="H52" s="10" t="n"/>
      <c r="J52" s="10" t="n"/>
      <c r="K52" s="10" t="n"/>
      <c r="L52" s="10" t="n"/>
      <c r="M52" s="10" t="n"/>
      <c r="N52" s="366" t="n"/>
      <c r="P52" s="366" t="n"/>
      <c r="R52" s="366" t="n"/>
      <c r="T52" s="366" t="n"/>
      <c r="V52" s="10" t="n"/>
      <c r="X52" s="29" t="n"/>
      <c r="Y52" s="495" t="n"/>
      <c r="AD52" s="494" t="n"/>
      <c r="AE52" s="10" t="n"/>
      <c r="AG52" s="10" t="n"/>
      <c r="AI52" s="10" t="n"/>
      <c r="AK52" s="10" t="n"/>
      <c r="AL52" s="10" t="n"/>
      <c r="AM52" s="10" t="n"/>
      <c r="AN52" s="10" t="n"/>
      <c r="AO52" s="366" t="n"/>
      <c r="AQ52" s="366" t="n"/>
      <c r="AS52" s="366" t="n"/>
      <c r="AU52" s="366" t="n"/>
      <c r="AW52" s="10" t="n"/>
      <c r="AY52" s="29" t="n"/>
      <c r="AZ52" s="495" t="n"/>
      <c r="BE52" s="57" t="n"/>
      <c r="BF52" s="10" t="n"/>
      <c r="BG52" s="10" t="n"/>
      <c r="BH52" s="10" t="n"/>
      <c r="BI52" s="10" t="n"/>
      <c r="BJ52" s="10" t="n"/>
      <c r="BK52" s="10" t="n"/>
      <c r="BL52" s="58" t="n"/>
      <c r="BM52" s="10" t="n"/>
      <c r="BN52" s="10" t="n"/>
      <c r="BO52" s="10" t="n"/>
      <c r="BP52" s="10" t="n"/>
      <c r="BQ52" s="10" t="n"/>
      <c r="BR52" s="10" t="n"/>
      <c r="BS52" s="366" t="n"/>
      <c r="BT52" s="10" t="n"/>
      <c r="BU52" s="366" t="n"/>
      <c r="BV52" s="10" t="n"/>
      <c r="BW52" s="366" t="n"/>
      <c r="BX52" s="500" t="n"/>
      <c r="BY52" s="366" t="n"/>
      <c r="BZ52" s="60" t="n"/>
      <c r="CA52" s="10" t="n"/>
      <c r="CB52" s="10" t="n"/>
      <c r="CC52" s="29" t="n"/>
      <c r="CD52" s="500" t="n"/>
    </row>
    <row r="53" ht="3" customHeight="1">
      <c r="B53" s="388" t="n"/>
      <c r="C53" s="494" t="n"/>
      <c r="D53" s="10" t="n"/>
      <c r="F53" s="10" t="n"/>
      <c r="H53" s="10" t="n"/>
      <c r="J53" s="10" t="n"/>
      <c r="K53" s="10" t="n"/>
      <c r="L53" s="10" t="n"/>
      <c r="M53" s="10" t="n"/>
      <c r="N53" s="10" t="n"/>
      <c r="P53" s="10" t="n"/>
      <c r="R53" s="10" t="n"/>
      <c r="T53" s="366" t="n"/>
      <c r="U53" s="366" t="n"/>
      <c r="V53" s="10" t="n"/>
      <c r="X53" s="10" t="n"/>
      <c r="Y53" s="495" t="n"/>
      <c r="AD53" s="494" t="n"/>
      <c r="AE53" s="10" t="n"/>
      <c r="AG53" s="10" t="n"/>
      <c r="AI53" s="10" t="n"/>
      <c r="AK53" s="10" t="n"/>
      <c r="AL53" s="10" t="n"/>
      <c r="AM53" s="10" t="n"/>
      <c r="AN53" s="10" t="n"/>
      <c r="AO53" s="10" t="n"/>
      <c r="AQ53" s="10" t="n"/>
      <c r="AS53" s="10" t="n"/>
      <c r="AU53" s="366" t="n"/>
      <c r="AV53" s="366" t="n"/>
      <c r="AW53" s="10" t="n"/>
      <c r="AY53" s="10" t="n"/>
      <c r="AZ53" s="495" t="n"/>
      <c r="BE53" s="57" t="n"/>
      <c r="BF53" s="10" t="n"/>
      <c r="BG53" s="10" t="n"/>
      <c r="BH53" s="10" t="n"/>
      <c r="BI53" s="10" t="n"/>
      <c r="BJ53" s="10" t="n"/>
      <c r="BK53" s="10" t="n"/>
      <c r="BL53" s="58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500" t="n"/>
      <c r="BY53" s="366" t="n"/>
      <c r="BZ53" s="366" t="n"/>
      <c r="CA53" s="10" t="n"/>
      <c r="CB53" s="10" t="n"/>
      <c r="CC53" s="10" t="n"/>
      <c r="CD53" s="500" t="n"/>
    </row>
    <row r="54" ht="3" customHeight="1">
      <c r="B54" s="388" t="n"/>
      <c r="C54" s="494" t="n"/>
      <c r="D54" s="10" t="n"/>
      <c r="F54" s="10" t="n"/>
      <c r="H54" s="10" t="n"/>
      <c r="J54" s="10" t="n"/>
      <c r="K54" s="10" t="n"/>
      <c r="L54" s="10" t="n"/>
      <c r="M54" s="10" t="n"/>
      <c r="N54" s="10" t="n"/>
      <c r="P54" s="10" t="n"/>
      <c r="R54" s="10" t="n"/>
      <c r="T54" s="366" t="n"/>
      <c r="U54" s="366" t="n"/>
      <c r="V54" s="10" t="n"/>
      <c r="X54" s="10" t="n"/>
      <c r="Y54" s="495" t="n"/>
      <c r="AD54" s="494" t="n"/>
      <c r="AE54" s="10" t="n"/>
      <c r="AG54" s="10" t="n"/>
      <c r="AI54" s="10" t="n"/>
      <c r="AK54" s="10" t="n"/>
      <c r="AL54" s="10" t="n"/>
      <c r="AM54" s="10" t="n"/>
      <c r="AN54" s="10" t="n"/>
      <c r="AO54" s="10" t="n"/>
      <c r="AQ54" s="10" t="n"/>
      <c r="AS54" s="10" t="n"/>
      <c r="AU54" s="366" t="n"/>
      <c r="AV54" s="366" t="n"/>
      <c r="AW54" s="10" t="n"/>
      <c r="AY54" s="10" t="n"/>
      <c r="AZ54" s="495" t="n"/>
      <c r="BE54" s="57" t="n"/>
      <c r="BF54" s="10" t="n"/>
      <c r="BG54" s="10" t="n"/>
      <c r="BH54" s="10" t="n"/>
      <c r="BI54" s="10" t="n"/>
      <c r="BJ54" s="10" t="n"/>
      <c r="BK54" s="10" t="n"/>
      <c r="BL54" s="58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500" t="n"/>
      <c r="BY54" s="366" t="n"/>
      <c r="BZ54" s="366" t="n"/>
      <c r="CA54" s="10" t="n"/>
      <c r="CB54" s="10" t="n"/>
      <c r="CC54" s="10" t="n"/>
      <c r="CD54" s="500" t="n"/>
    </row>
    <row r="55" ht="3" customHeight="1">
      <c r="B55" s="388" t="n"/>
      <c r="C55" s="494" t="n"/>
      <c r="D55" s="10" t="n"/>
      <c r="F55" s="10" t="n"/>
      <c r="H55" s="10" t="n"/>
      <c r="J55" s="10" t="n"/>
      <c r="K55" s="10" t="n"/>
      <c r="L55" s="10" t="n"/>
      <c r="M55" s="10" t="n"/>
      <c r="N55" s="366" t="n"/>
      <c r="P55" s="366" t="n"/>
      <c r="R55" s="366" t="n"/>
      <c r="T55" s="366" t="n"/>
      <c r="U55" s="366" t="n"/>
      <c r="V55" s="10" t="n"/>
      <c r="X55" s="10" t="n"/>
      <c r="Y55" s="495" t="n"/>
      <c r="AD55" s="494" t="n"/>
      <c r="AE55" s="10" t="n"/>
      <c r="AG55" s="10" t="n"/>
      <c r="AI55" s="10" t="n"/>
      <c r="AK55" s="10" t="n"/>
      <c r="AL55" s="10" t="n"/>
      <c r="AM55" s="10" t="n"/>
      <c r="AN55" s="10" t="n"/>
      <c r="AO55" s="366" t="n"/>
      <c r="AQ55" s="366" t="n"/>
      <c r="AS55" s="366" t="n"/>
      <c r="AU55" s="366" t="n"/>
      <c r="AV55" s="366" t="n"/>
      <c r="AW55" s="10" t="n"/>
      <c r="AY55" s="10" t="n"/>
      <c r="AZ55" s="495" t="n"/>
      <c r="BE55" s="57" t="n"/>
      <c r="BF55" s="10" t="n"/>
      <c r="BG55" s="10" t="n"/>
      <c r="BH55" s="10" t="n"/>
      <c r="BI55" s="10" t="n"/>
      <c r="BJ55" s="10" t="n"/>
      <c r="BK55" s="10" t="n"/>
      <c r="BL55" s="58" t="n"/>
      <c r="BM55" s="10" t="n"/>
      <c r="BN55" s="10" t="n"/>
      <c r="BO55" s="10" t="n"/>
      <c r="BP55" s="10" t="n"/>
      <c r="BQ55" s="10" t="n"/>
      <c r="BR55" s="10" t="n"/>
      <c r="BS55" s="366" t="n"/>
      <c r="BT55" s="10" t="n"/>
      <c r="BU55" s="366" t="n"/>
      <c r="BV55" s="10" t="n"/>
      <c r="BW55" s="366" t="n"/>
      <c r="BX55" s="500" t="n"/>
      <c r="BY55" s="366" t="n"/>
      <c r="BZ55" s="366" t="n"/>
      <c r="CA55" s="10" t="n"/>
      <c r="CB55" s="10" t="n"/>
      <c r="CC55" s="10" t="n"/>
      <c r="CD55" s="500" t="n"/>
    </row>
    <row r="56" ht="0.75" customHeight="1">
      <c r="B56" s="388" t="n"/>
      <c r="C56" s="494" t="n"/>
      <c r="D56" s="366" t="n"/>
      <c r="F56" s="10" t="n"/>
      <c r="H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8" t="n"/>
      <c r="AD56" s="494" t="n"/>
      <c r="AE56" s="366" t="n"/>
      <c r="AG56" s="10" t="n"/>
      <c r="AI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8" t="n"/>
      <c r="BE56" s="57" t="n"/>
      <c r="BF56" s="366" t="n"/>
      <c r="BG56" s="10" t="n"/>
      <c r="BH56" s="10" t="n"/>
      <c r="BI56" s="10" t="n"/>
      <c r="BJ56" s="10" t="n"/>
      <c r="BK56" s="10" t="n"/>
      <c r="BL56" s="58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</row>
    <row r="57" hidden="1" ht="3" customHeight="1">
      <c r="B57" s="388" t="n"/>
      <c r="C57" s="494" t="n"/>
      <c r="D57" s="366" t="n"/>
      <c r="F57" s="10" t="n"/>
      <c r="H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8" t="n"/>
      <c r="AD57" s="494" t="n"/>
      <c r="AE57" s="366" t="n"/>
      <c r="AG57" s="10" t="n"/>
      <c r="AI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8" t="n"/>
      <c r="BE57" s="57" t="n"/>
      <c r="BF57" s="366" t="n"/>
      <c r="BG57" s="10" t="n"/>
      <c r="BH57" s="10" t="n"/>
      <c r="BI57" s="10" t="n"/>
      <c r="BJ57" s="10" t="n"/>
      <c r="BK57" s="10" t="n"/>
      <c r="BL57" s="58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</row>
    <row r="58" ht="3" customHeight="1">
      <c r="B58" s="388" t="n"/>
      <c r="C58" s="494" t="n"/>
      <c r="D58" s="10" t="n"/>
      <c r="F58" s="10" t="n"/>
      <c r="H58" s="10" t="n"/>
      <c r="J58" s="10" t="n"/>
      <c r="K58" s="10" t="n"/>
      <c r="L58" s="10" t="n"/>
      <c r="M58" s="10" t="n"/>
      <c r="N58" s="366" t="n"/>
      <c r="O58" s="366" t="n">
        <v>1</v>
      </c>
      <c r="P58" s="366" t="n"/>
      <c r="Q58" s="366" t="inlineStr">
        <is>
          <t>+</t>
        </is>
      </c>
      <c r="R58" s="366" t="n"/>
      <c r="S58" s="381">
        <f>S50</f>
        <v/>
      </c>
      <c r="T58" s="366" t="n"/>
      <c r="U58" s="382">
        <f>U50</f>
        <v/>
      </c>
      <c r="V58" s="10" t="n"/>
      <c r="W58" s="366" t="inlineStr">
        <is>
          <t>-</t>
        </is>
      </c>
      <c r="X58" s="29" t="n"/>
      <c r="Y58" s="364" t="n">
        <v>1</v>
      </c>
      <c r="AD58" s="494" t="n"/>
      <c r="AE58" s="10" t="n"/>
      <c r="AG58" s="10" t="n"/>
      <c r="AI58" s="10" t="n"/>
      <c r="AK58" s="10" t="n"/>
      <c r="AL58" s="10" t="n"/>
      <c r="AM58" s="10" t="n"/>
      <c r="AN58" s="10" t="n"/>
      <c r="AO58" s="366" t="n"/>
      <c r="AP58" s="366" t="n">
        <v>1</v>
      </c>
      <c r="AQ58" s="366" t="n"/>
      <c r="AR58" s="366" t="inlineStr">
        <is>
          <t>+</t>
        </is>
      </c>
      <c r="AS58" s="366" t="n"/>
      <c r="AT58" s="381">
        <f>AT50</f>
        <v/>
      </c>
      <c r="AU58" s="366" t="n"/>
      <c r="AV58" s="382">
        <f>AV50</f>
        <v/>
      </c>
      <c r="AW58" s="10" t="n"/>
      <c r="AX58" s="366" t="inlineStr">
        <is>
          <t>-</t>
        </is>
      </c>
      <c r="AY58" s="29" t="n"/>
      <c r="AZ58" s="364" t="n">
        <v>1</v>
      </c>
      <c r="BE58" s="57" t="n"/>
      <c r="BF58" s="10" t="n"/>
      <c r="BG58" s="10" t="n"/>
      <c r="BH58" s="10" t="n"/>
      <c r="BI58" s="10" t="n"/>
      <c r="BJ58" s="10" t="n"/>
      <c r="BK58" s="10" t="n"/>
      <c r="BL58" s="58" t="n"/>
      <c r="BM58" s="10" t="n"/>
      <c r="BN58" s="10" t="n"/>
      <c r="BO58" s="10" t="n"/>
      <c r="BP58" s="10" t="n"/>
      <c r="BQ58" s="10" t="n"/>
      <c r="BR58" s="10" t="n"/>
      <c r="BS58" s="366" t="n"/>
      <c r="BT58" s="10" t="n"/>
      <c r="BU58" s="366" t="n"/>
      <c r="BV58" s="10" t="n"/>
      <c r="BW58" s="366" t="n"/>
      <c r="BX58" s="500" t="n"/>
      <c r="BY58" s="366" t="n"/>
      <c r="BZ58" s="60" t="n"/>
      <c r="CA58" s="10" t="n"/>
      <c r="CB58" s="10" t="n"/>
      <c r="CC58" s="29" t="n"/>
      <c r="CD58" s="10" t="n"/>
    </row>
    <row r="59" ht="3" customHeight="1">
      <c r="B59" s="388" t="n"/>
      <c r="C59" s="494" t="n"/>
      <c r="D59" s="10" t="n"/>
      <c r="F59" s="10" t="n"/>
      <c r="H59" s="10" t="n"/>
      <c r="J59" s="10" t="n"/>
      <c r="K59" s="10" t="n"/>
      <c r="L59" s="10" t="n"/>
      <c r="M59" s="10" t="n"/>
      <c r="N59" s="366" t="n"/>
      <c r="P59" s="366" t="n"/>
      <c r="R59" s="366" t="n"/>
      <c r="T59" s="366" t="n"/>
      <c r="V59" s="10" t="n"/>
      <c r="X59" s="29" t="n"/>
      <c r="Y59" s="495" t="n"/>
      <c r="AD59" s="494" t="n"/>
      <c r="AE59" s="10" t="n"/>
      <c r="AG59" s="10" t="n"/>
      <c r="AI59" s="10" t="n"/>
      <c r="AK59" s="10" t="n"/>
      <c r="AL59" s="10" t="n"/>
      <c r="AM59" s="10" t="n"/>
      <c r="AN59" s="10" t="n"/>
      <c r="AO59" s="366" t="n"/>
      <c r="AQ59" s="366" t="n"/>
      <c r="AS59" s="366" t="n"/>
      <c r="AU59" s="366" t="n"/>
      <c r="AW59" s="10" t="n"/>
      <c r="AY59" s="29" t="n"/>
      <c r="AZ59" s="495" t="n"/>
      <c r="BE59" s="57" t="n"/>
      <c r="BF59" s="10" t="n"/>
      <c r="BG59" s="10" t="n"/>
      <c r="BH59" s="10" t="n"/>
      <c r="BI59" s="10" t="n"/>
      <c r="BJ59" s="10" t="n"/>
      <c r="BK59" s="10" t="n"/>
      <c r="BL59" s="58" t="n"/>
      <c r="BM59" s="10" t="n"/>
      <c r="BN59" s="10" t="n"/>
      <c r="BO59" s="10" t="n"/>
      <c r="BP59" s="10" t="n"/>
      <c r="BQ59" s="10" t="n"/>
      <c r="BR59" s="10" t="n"/>
      <c r="BS59" s="366" t="n"/>
      <c r="BT59" s="10" t="n"/>
      <c r="BU59" s="366" t="n"/>
      <c r="BV59" s="10" t="n"/>
      <c r="BW59" s="366" t="n"/>
      <c r="BX59" s="500" t="n"/>
      <c r="BY59" s="366" t="n"/>
      <c r="BZ59" s="60" t="n"/>
      <c r="CA59" s="10" t="n"/>
      <c r="CB59" s="10" t="n"/>
      <c r="CC59" s="29" t="n"/>
      <c r="CD59" s="10" t="n"/>
    </row>
    <row r="60" ht="3" customHeight="1">
      <c r="B60" s="388" t="n"/>
      <c r="C60" s="494" t="n"/>
      <c r="D60" s="10" t="n"/>
      <c r="F60" s="10" t="n"/>
      <c r="H60" s="10" t="n"/>
      <c r="J60" s="10" t="n"/>
      <c r="K60" s="10" t="n"/>
      <c r="L60" s="10" t="n"/>
      <c r="M60" s="10" t="n"/>
      <c r="N60" s="366" t="n"/>
      <c r="P60" s="366" t="n"/>
      <c r="R60" s="366" t="n"/>
      <c r="T60" s="366" t="n"/>
      <c r="V60" s="10" t="n"/>
      <c r="X60" s="29" t="n"/>
      <c r="Y60" s="495" t="n"/>
      <c r="AD60" s="494" t="n"/>
      <c r="AE60" s="10" t="n"/>
      <c r="AG60" s="10" t="n"/>
      <c r="AI60" s="10" t="n"/>
      <c r="AK60" s="10" t="n"/>
      <c r="AL60" s="10" t="n"/>
      <c r="AM60" s="10" t="n"/>
      <c r="AN60" s="10" t="n"/>
      <c r="AO60" s="366" t="n"/>
      <c r="AQ60" s="366" t="n"/>
      <c r="AS60" s="366" t="n"/>
      <c r="AU60" s="366" t="n"/>
      <c r="AW60" s="10" t="n"/>
      <c r="AY60" s="29" t="n"/>
      <c r="AZ60" s="495" t="n"/>
      <c r="BE60" s="57" t="n"/>
      <c r="BF60" s="10" t="n"/>
      <c r="BG60" s="10" t="n"/>
      <c r="BH60" s="10" t="n"/>
      <c r="BI60" s="10" t="n"/>
      <c r="BJ60" s="10" t="n"/>
      <c r="BK60" s="10" t="n"/>
      <c r="BL60" s="58" t="n"/>
      <c r="BM60" s="10" t="n"/>
      <c r="BN60" s="10" t="n"/>
      <c r="BO60" s="10" t="n"/>
      <c r="BP60" s="10" t="n"/>
      <c r="BQ60" s="10" t="n"/>
      <c r="BR60" s="10" t="n"/>
      <c r="BS60" s="366" t="n"/>
      <c r="BT60" s="10" t="n"/>
      <c r="BU60" s="366" t="n"/>
      <c r="BV60" s="10" t="n"/>
      <c r="BW60" s="366" t="n"/>
      <c r="BX60" s="500" t="n"/>
      <c r="BY60" s="366" t="n"/>
      <c r="BZ60" s="60" t="n"/>
      <c r="CA60" s="10" t="n"/>
      <c r="CB60" s="10" t="n"/>
      <c r="CC60" s="29" t="n"/>
      <c r="CD60" s="10" t="n"/>
    </row>
    <row r="61" ht="3" customHeight="1">
      <c r="B61" s="388" t="n"/>
      <c r="C61" s="494" t="n"/>
      <c r="D61" s="10" t="n"/>
      <c r="F61" s="10" t="n"/>
      <c r="H61" s="10" t="n"/>
      <c r="J61" s="10" t="n"/>
      <c r="K61" s="10" t="n"/>
      <c r="L61" s="10" t="n"/>
      <c r="M61" s="10" t="n"/>
      <c r="N61" s="10" t="n"/>
      <c r="P61" s="10" t="n"/>
      <c r="R61" s="10" t="n"/>
      <c r="T61" s="366" t="n"/>
      <c r="U61" s="366" t="n"/>
      <c r="V61" s="10" t="n"/>
      <c r="X61" s="10" t="n"/>
      <c r="Y61" s="495" t="n"/>
      <c r="AD61" s="494" t="n"/>
      <c r="AE61" s="10" t="n"/>
      <c r="AG61" s="10" t="n"/>
      <c r="AI61" s="10" t="n"/>
      <c r="AK61" s="10" t="n"/>
      <c r="AL61" s="10" t="n"/>
      <c r="AM61" s="10" t="n"/>
      <c r="AN61" s="10" t="n"/>
      <c r="AO61" s="10" t="n"/>
      <c r="AQ61" s="10" t="n"/>
      <c r="AS61" s="10" t="n"/>
      <c r="AU61" s="366" t="n"/>
      <c r="AV61" s="366" t="n"/>
      <c r="AW61" s="10" t="n"/>
      <c r="AY61" s="10" t="n"/>
      <c r="AZ61" s="495" t="n"/>
      <c r="BE61" s="57" t="n"/>
      <c r="BF61" s="10" t="n"/>
      <c r="BG61" s="10" t="n"/>
      <c r="BH61" s="10" t="n"/>
      <c r="BI61" s="10" t="n"/>
      <c r="BJ61" s="10" t="n"/>
      <c r="BK61" s="10" t="n"/>
      <c r="BL61" s="58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500" t="n"/>
      <c r="BY61" s="366" t="n"/>
      <c r="BZ61" s="366" t="n"/>
      <c r="CA61" s="10" t="n"/>
      <c r="CB61" s="10" t="n"/>
      <c r="CC61" s="10" t="n"/>
      <c r="CD61" s="10" t="n"/>
    </row>
    <row r="62" ht="3" customHeight="1">
      <c r="B62" s="388" t="n"/>
      <c r="C62" s="494" t="n"/>
      <c r="D62" s="10" t="n"/>
      <c r="F62" s="10" t="n"/>
      <c r="H62" s="10" t="n"/>
      <c r="J62" s="10" t="n"/>
      <c r="K62" s="10" t="n"/>
      <c r="L62" s="10" t="n"/>
      <c r="M62" s="10" t="n"/>
      <c r="N62" s="10" t="n"/>
      <c r="P62" s="10" t="n"/>
      <c r="R62" s="10" t="n"/>
      <c r="T62" s="366" t="n"/>
      <c r="U62" s="366" t="n"/>
      <c r="V62" s="10" t="n"/>
      <c r="X62" s="10" t="n"/>
      <c r="Y62" s="495" t="n"/>
      <c r="AD62" s="494" t="n"/>
      <c r="AE62" s="10" t="n"/>
      <c r="AG62" s="10" t="n"/>
      <c r="AI62" s="10" t="n"/>
      <c r="AK62" s="10" t="n"/>
      <c r="AL62" s="10" t="n"/>
      <c r="AM62" s="10" t="n"/>
      <c r="AN62" s="10" t="n"/>
      <c r="AO62" s="10" t="n"/>
      <c r="AQ62" s="10" t="n"/>
      <c r="AS62" s="10" t="n"/>
      <c r="AU62" s="366" t="n"/>
      <c r="AV62" s="366" t="n"/>
      <c r="AW62" s="10" t="n"/>
      <c r="AY62" s="10" t="n"/>
      <c r="AZ62" s="495" t="n"/>
      <c r="BE62" s="57" t="n"/>
      <c r="BF62" s="10" t="n"/>
      <c r="BG62" s="10" t="n"/>
      <c r="BH62" s="10" t="n"/>
      <c r="BI62" s="10" t="n"/>
      <c r="BJ62" s="10" t="n"/>
      <c r="BK62" s="10" t="n"/>
      <c r="BL62" s="58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500" t="n"/>
      <c r="BY62" s="366" t="n"/>
      <c r="BZ62" s="366" t="n"/>
      <c r="CA62" s="10" t="n"/>
      <c r="CB62" s="10" t="n"/>
      <c r="CC62" s="10" t="n"/>
      <c r="CD62" s="10" t="n"/>
    </row>
    <row r="63" ht="3" customHeight="1">
      <c r="B63" s="388" t="n"/>
      <c r="C63" s="494" t="n"/>
      <c r="D63" s="10" t="n"/>
      <c r="F63" s="10" t="n"/>
      <c r="H63" s="10" t="n"/>
      <c r="J63" s="10" t="n"/>
      <c r="K63" s="10" t="n"/>
      <c r="L63" s="10" t="n"/>
      <c r="M63" s="10" t="n"/>
      <c r="N63" s="366" t="n"/>
      <c r="P63" s="366" t="n"/>
      <c r="R63" s="366" t="n"/>
      <c r="T63" s="366" t="n"/>
      <c r="U63" s="366" t="n"/>
      <c r="V63" s="10" t="n"/>
      <c r="X63" s="10" t="n"/>
      <c r="Y63" s="495" t="n"/>
      <c r="AD63" s="494" t="n"/>
      <c r="AE63" s="10" t="n"/>
      <c r="AG63" s="10" t="n"/>
      <c r="AI63" s="10" t="n"/>
      <c r="AK63" s="10" t="n"/>
      <c r="AL63" s="10" t="n"/>
      <c r="AM63" s="10" t="n"/>
      <c r="AN63" s="10" t="n"/>
      <c r="AO63" s="366" t="n"/>
      <c r="AQ63" s="366" t="n"/>
      <c r="AS63" s="366" t="n"/>
      <c r="AU63" s="366" t="n"/>
      <c r="AV63" s="366" t="n"/>
      <c r="AW63" s="10" t="n"/>
      <c r="AY63" s="10" t="n"/>
      <c r="AZ63" s="495" t="n"/>
      <c r="BE63" s="57" t="n"/>
      <c r="BF63" s="10" t="n"/>
      <c r="BG63" s="10" t="n"/>
      <c r="BH63" s="10" t="n"/>
      <c r="BI63" s="10" t="n"/>
      <c r="BJ63" s="10" t="n"/>
      <c r="BK63" s="10" t="n"/>
      <c r="BL63" s="58" t="n"/>
      <c r="BM63" s="10" t="n"/>
      <c r="BN63" s="10" t="n"/>
      <c r="BO63" s="10" t="n"/>
      <c r="BP63" s="10" t="n"/>
      <c r="BQ63" s="10" t="n"/>
      <c r="BR63" s="10" t="n"/>
      <c r="BS63" s="366" t="n"/>
      <c r="BT63" s="10" t="n"/>
      <c r="BU63" s="366" t="n"/>
      <c r="BV63" s="10" t="n"/>
      <c r="BW63" s="366" t="n"/>
      <c r="BX63" s="500" t="n"/>
      <c r="BY63" s="366" t="n"/>
      <c r="BZ63" s="366" t="n"/>
      <c r="CA63" s="10" t="n"/>
      <c r="CB63" s="10" t="n"/>
      <c r="CC63" s="10" t="n"/>
      <c r="CD63" s="10" t="n"/>
    </row>
    <row r="64" hidden="1" ht="3" customHeight="1">
      <c r="C64" s="494" t="n"/>
      <c r="D64" s="10" t="n"/>
      <c r="F64" s="10" t="n"/>
      <c r="H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8" t="n"/>
      <c r="AD64" s="494" t="n"/>
      <c r="AE64" s="10" t="n"/>
      <c r="AG64" s="10" t="n"/>
      <c r="AI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8" t="n"/>
      <c r="BE64" s="57" t="n"/>
      <c r="BF64" s="10" t="n"/>
      <c r="BG64" s="10" t="n"/>
      <c r="BH64" s="10" t="n"/>
      <c r="BI64" s="10" t="n"/>
      <c r="BJ64" s="10" t="n"/>
      <c r="BK64" s="10" t="n"/>
      <c r="BL64" s="58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</row>
    <row r="65" hidden="1" ht="9" customHeight="1">
      <c r="C65" s="9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8" t="n"/>
      <c r="AD65" s="9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8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</row>
    <row r="66" hidden="1" ht="3" customHeight="1">
      <c r="B66" s="388" t="n"/>
      <c r="C66" s="365" t="inlineStr">
        <is>
          <t>PMT</t>
        </is>
      </c>
      <c r="D66" s="10" t="n"/>
      <c r="E66" s="366" t="inlineStr">
        <is>
          <t>=</t>
        </is>
      </c>
      <c r="F66" s="10" t="n"/>
      <c r="G66" s="391">
        <f>G50</f>
        <v/>
      </c>
      <c r="H66" s="10" t="n"/>
      <c r="I66" s="366" t="inlineStr">
        <is>
          <t>x</t>
        </is>
      </c>
      <c r="J66" s="10" t="n"/>
      <c r="K66" s="10" t="n"/>
      <c r="L66" s="10" t="n"/>
      <c r="M66" s="10" t="n"/>
      <c r="N66" s="366" t="n"/>
      <c r="O66" s="547">
        <f>O50+S50</f>
        <v/>
      </c>
      <c r="T66" s="366" t="n"/>
      <c r="U66" s="382">
        <f>U50</f>
        <v/>
      </c>
      <c r="V66" s="10" t="n"/>
      <c r="W66" s="366" t="inlineStr">
        <is>
          <t>x</t>
        </is>
      </c>
      <c r="X66" s="29" t="n"/>
      <c r="Y66" s="548">
        <f>Y50</f>
        <v/>
      </c>
      <c r="AD66" s="365" t="inlineStr">
        <is>
          <t>PMT</t>
        </is>
      </c>
      <c r="AE66" s="10" t="n"/>
      <c r="AF66" s="366" t="inlineStr">
        <is>
          <t>=</t>
        </is>
      </c>
      <c r="AG66" s="10" t="n"/>
      <c r="AH66" s="391">
        <f>AH50</f>
        <v/>
      </c>
      <c r="AI66" s="10" t="n"/>
      <c r="AJ66" s="366" t="inlineStr">
        <is>
          <t>x</t>
        </is>
      </c>
      <c r="AK66" s="10" t="n"/>
      <c r="AL66" s="10" t="n"/>
      <c r="AM66" s="10" t="n"/>
      <c r="AN66" s="10" t="n"/>
      <c r="AO66" s="366" t="n"/>
      <c r="AP66" s="547">
        <f>AP50+AT50</f>
        <v/>
      </c>
      <c r="AU66" s="366" t="n"/>
      <c r="AV66" s="382">
        <f>AV50</f>
        <v/>
      </c>
      <c r="AW66" s="10" t="n"/>
      <c r="AX66" s="366" t="inlineStr">
        <is>
          <t>x</t>
        </is>
      </c>
      <c r="AY66" s="29" t="n"/>
      <c r="AZ66" s="548">
        <f>AZ50</f>
        <v/>
      </c>
      <c r="BE66" s="57" t="n"/>
      <c r="BF66" s="10" t="n"/>
      <c r="BG66" s="10" t="n"/>
      <c r="BH66" s="10" t="n"/>
      <c r="BI66" s="10" t="n"/>
      <c r="BJ66" s="10" t="n"/>
      <c r="BK66" s="10" t="n"/>
      <c r="BL66" s="58" t="n"/>
      <c r="BM66" s="10" t="n"/>
      <c r="BN66" s="10" t="n"/>
      <c r="BO66" s="10" t="n"/>
      <c r="BP66" s="10" t="n"/>
      <c r="BQ66" s="10" t="n"/>
      <c r="BR66" s="10" t="n"/>
      <c r="BS66" s="366" t="n"/>
      <c r="BT66" s="549" t="n"/>
      <c r="BU66" s="549" t="n"/>
      <c r="BV66" s="549" t="n"/>
      <c r="BW66" s="549" t="n"/>
      <c r="BX66" s="549" t="n"/>
      <c r="BY66" s="366" t="n"/>
      <c r="BZ66" s="60" t="n"/>
      <c r="CA66" s="10" t="n"/>
      <c r="CB66" s="10" t="n"/>
      <c r="CC66" s="29" t="n"/>
      <c r="CD66" s="500" t="n"/>
    </row>
    <row r="67" hidden="1" ht="3" customHeight="1">
      <c r="B67" s="388" t="n"/>
      <c r="C67" s="494" t="n"/>
      <c r="D67" s="10" t="n"/>
      <c r="F67" s="10" t="n"/>
      <c r="H67" s="10" t="n"/>
      <c r="J67" s="10" t="n"/>
      <c r="K67" s="10" t="n"/>
      <c r="L67" s="10" t="n"/>
      <c r="M67" s="10" t="n"/>
      <c r="N67" s="366" t="n"/>
      <c r="T67" s="366" t="n"/>
      <c r="V67" s="10" t="n"/>
      <c r="X67" s="29" t="n"/>
      <c r="Y67" s="495" t="n"/>
      <c r="AD67" s="494" t="n"/>
      <c r="AE67" s="10" t="n"/>
      <c r="AG67" s="10" t="n"/>
      <c r="AI67" s="10" t="n"/>
      <c r="AK67" s="10" t="n"/>
      <c r="AL67" s="10" t="n"/>
      <c r="AM67" s="10" t="n"/>
      <c r="AN67" s="10" t="n"/>
      <c r="AO67" s="366" t="n"/>
      <c r="AU67" s="366" t="n"/>
      <c r="AW67" s="10" t="n"/>
      <c r="AY67" s="29" t="n"/>
      <c r="AZ67" s="495" t="n"/>
      <c r="BE67" s="57" t="n"/>
      <c r="BF67" s="10" t="n"/>
      <c r="BG67" s="10" t="n"/>
      <c r="BH67" s="10" t="n"/>
      <c r="BI67" s="10" t="n"/>
      <c r="BJ67" s="10" t="n"/>
      <c r="BK67" s="10" t="n"/>
      <c r="BL67" s="58" t="n"/>
      <c r="BM67" s="10" t="n"/>
      <c r="BN67" s="10" t="n"/>
      <c r="BO67" s="10" t="n"/>
      <c r="BP67" s="10" t="n"/>
      <c r="BQ67" s="10" t="n"/>
      <c r="BR67" s="10" t="n"/>
      <c r="BS67" s="366" t="n"/>
      <c r="BT67" s="549" t="n"/>
      <c r="BU67" s="549" t="n"/>
      <c r="BV67" s="549" t="n"/>
      <c r="BW67" s="549" t="n"/>
      <c r="BX67" s="549" t="n"/>
      <c r="BY67" s="366" t="n"/>
      <c r="BZ67" s="60" t="n"/>
      <c r="CA67" s="10" t="n"/>
      <c r="CB67" s="10" t="n"/>
      <c r="CC67" s="29" t="n"/>
      <c r="CD67" s="500" t="n"/>
    </row>
    <row r="68" hidden="1" ht="3" customHeight="1">
      <c r="B68" s="388" t="n"/>
      <c r="C68" s="494" t="n"/>
      <c r="D68" s="10" t="n"/>
      <c r="F68" s="10" t="n"/>
      <c r="H68" s="10" t="n"/>
      <c r="J68" s="10" t="n"/>
      <c r="K68" s="10" t="n"/>
      <c r="L68" s="10" t="n"/>
      <c r="M68" s="10" t="n"/>
      <c r="N68" s="366" t="n"/>
      <c r="T68" s="366" t="n"/>
      <c r="V68" s="10" t="n"/>
      <c r="X68" s="29" t="n"/>
      <c r="Y68" s="495" t="n"/>
      <c r="AD68" s="494" t="n"/>
      <c r="AE68" s="10" t="n"/>
      <c r="AG68" s="10" t="n"/>
      <c r="AI68" s="10" t="n"/>
      <c r="AK68" s="10" t="n"/>
      <c r="AL68" s="10" t="n"/>
      <c r="AM68" s="10" t="n"/>
      <c r="AN68" s="10" t="n"/>
      <c r="AO68" s="366" t="n"/>
      <c r="AU68" s="366" t="n"/>
      <c r="AW68" s="10" t="n"/>
      <c r="AY68" s="29" t="n"/>
      <c r="AZ68" s="495" t="n"/>
      <c r="BE68" s="57" t="n"/>
      <c r="BF68" s="10" t="n"/>
      <c r="BG68" s="10" t="n"/>
      <c r="BH68" s="10" t="n"/>
      <c r="BI68" s="10" t="n"/>
      <c r="BJ68" s="10" t="n"/>
      <c r="BK68" s="10" t="n"/>
      <c r="BL68" s="58" t="n"/>
      <c r="BM68" s="10" t="n"/>
      <c r="BN68" s="10" t="n"/>
      <c r="BO68" s="10" t="n"/>
      <c r="BP68" s="10" t="n"/>
      <c r="BQ68" s="10" t="n"/>
      <c r="BR68" s="10" t="n"/>
      <c r="BS68" s="366" t="n"/>
      <c r="BT68" s="549" t="n"/>
      <c r="BU68" s="549" t="n"/>
      <c r="BV68" s="549" t="n"/>
      <c r="BW68" s="549" t="n"/>
      <c r="BX68" s="549" t="n"/>
      <c r="BY68" s="366" t="n"/>
      <c r="BZ68" s="60" t="n"/>
      <c r="CA68" s="10" t="n"/>
      <c r="CB68" s="10" t="n"/>
      <c r="CC68" s="29" t="n"/>
      <c r="CD68" s="500" t="n"/>
    </row>
    <row r="69" hidden="1" ht="3" customHeight="1">
      <c r="B69" s="388" t="n"/>
      <c r="C69" s="494" t="n"/>
      <c r="D69" s="10" t="n"/>
      <c r="F69" s="10" t="n"/>
      <c r="H69" s="10" t="n"/>
      <c r="J69" s="10" t="n"/>
      <c r="K69" s="10" t="n"/>
      <c r="L69" s="10" t="n"/>
      <c r="M69" s="10" t="n"/>
      <c r="N69" s="10" t="n"/>
      <c r="T69" s="366" t="n"/>
      <c r="U69" s="366" t="n"/>
      <c r="V69" s="10" t="n"/>
      <c r="X69" s="10" t="n"/>
      <c r="Y69" s="495" t="n"/>
      <c r="AD69" s="494" t="n"/>
      <c r="AE69" s="10" t="n"/>
      <c r="AG69" s="10" t="n"/>
      <c r="AI69" s="10" t="n"/>
      <c r="AK69" s="10" t="n"/>
      <c r="AL69" s="10" t="n"/>
      <c r="AM69" s="10" t="n"/>
      <c r="AN69" s="10" t="n"/>
      <c r="AO69" s="10" t="n"/>
      <c r="AU69" s="366" t="n"/>
      <c r="AV69" s="366" t="n"/>
      <c r="AW69" s="10" t="n"/>
      <c r="AY69" s="10" t="n"/>
      <c r="AZ69" s="495" t="n"/>
      <c r="BE69" s="57" t="n"/>
      <c r="BF69" s="10" t="n"/>
      <c r="BG69" s="10" t="n"/>
      <c r="BH69" s="10" t="n"/>
      <c r="BI69" s="10" t="n"/>
      <c r="BJ69" s="10" t="n"/>
      <c r="BK69" s="10" t="n"/>
      <c r="BL69" s="58" t="n"/>
      <c r="BM69" s="10" t="n"/>
      <c r="BN69" s="10" t="n"/>
      <c r="BO69" s="10" t="n"/>
      <c r="BP69" s="10" t="n"/>
      <c r="BQ69" s="10" t="n"/>
      <c r="BR69" s="10" t="n"/>
      <c r="BS69" s="10" t="n"/>
      <c r="BT69" s="549" t="n"/>
      <c r="BU69" s="549" t="n"/>
      <c r="BV69" s="549" t="n"/>
      <c r="BW69" s="549" t="n"/>
      <c r="BX69" s="549" t="n"/>
      <c r="BY69" s="366" t="n"/>
      <c r="BZ69" s="366" t="n"/>
      <c r="CA69" s="10" t="n"/>
      <c r="CB69" s="10" t="n"/>
      <c r="CC69" s="10" t="n"/>
      <c r="CD69" s="500" t="n"/>
    </row>
    <row r="70" hidden="1" ht="3" customHeight="1">
      <c r="B70" s="388" t="n"/>
      <c r="C70" s="494" t="n"/>
      <c r="D70" s="10" t="n"/>
      <c r="F70" s="10" t="n"/>
      <c r="H70" s="10" t="n"/>
      <c r="J70" s="10" t="n"/>
      <c r="K70" s="10" t="n"/>
      <c r="L70" s="10" t="n"/>
      <c r="M70" s="10" t="n"/>
      <c r="N70" s="10" t="n"/>
      <c r="T70" s="366" t="n"/>
      <c r="U70" s="366" t="n"/>
      <c r="V70" s="10" t="n"/>
      <c r="X70" s="10" t="n"/>
      <c r="Y70" s="495" t="n"/>
      <c r="AD70" s="494" t="n"/>
      <c r="AE70" s="10" t="n"/>
      <c r="AG70" s="10" t="n"/>
      <c r="AI70" s="10" t="n"/>
      <c r="AK70" s="10" t="n"/>
      <c r="AL70" s="10" t="n"/>
      <c r="AM70" s="10" t="n"/>
      <c r="AN70" s="10" t="n"/>
      <c r="AO70" s="10" t="n"/>
      <c r="AU70" s="366" t="n"/>
      <c r="AV70" s="366" t="n"/>
      <c r="AW70" s="10" t="n"/>
      <c r="AY70" s="10" t="n"/>
      <c r="AZ70" s="495" t="n"/>
      <c r="BE70" s="57" t="n"/>
      <c r="BF70" s="10" t="n"/>
      <c r="BG70" s="10" t="n"/>
      <c r="BH70" s="10" t="n"/>
      <c r="BI70" s="10" t="n"/>
      <c r="BJ70" s="10" t="n"/>
      <c r="BK70" s="10" t="n"/>
      <c r="BL70" s="58" t="n"/>
      <c r="BM70" s="10" t="n"/>
      <c r="BN70" s="10" t="n"/>
      <c r="BO70" s="10" t="n"/>
      <c r="BP70" s="10" t="n"/>
      <c r="BQ70" s="10" t="n"/>
      <c r="BR70" s="10" t="n"/>
      <c r="BS70" s="10" t="n"/>
      <c r="BT70" s="549" t="n"/>
      <c r="BU70" s="549" t="n"/>
      <c r="BV70" s="549" t="n"/>
      <c r="BW70" s="549" t="n"/>
      <c r="BX70" s="549" t="n"/>
      <c r="BY70" s="366" t="n"/>
      <c r="BZ70" s="366" t="n"/>
      <c r="CA70" s="10" t="n"/>
      <c r="CB70" s="10" t="n"/>
      <c r="CC70" s="10" t="n"/>
      <c r="CD70" s="500" t="n"/>
    </row>
    <row r="71" hidden="1" ht="3" customHeight="1">
      <c r="B71" s="388" t="n"/>
      <c r="C71" s="494" t="n"/>
      <c r="D71" s="10" t="n"/>
      <c r="F71" s="10" t="n"/>
      <c r="H71" s="10" t="n"/>
      <c r="J71" s="10" t="n"/>
      <c r="K71" s="10" t="n"/>
      <c r="L71" s="10" t="n"/>
      <c r="M71" s="10" t="n"/>
      <c r="N71" s="366" t="n"/>
      <c r="T71" s="366" t="n"/>
      <c r="U71" s="366" t="n"/>
      <c r="V71" s="10" t="n"/>
      <c r="X71" s="10" t="n"/>
      <c r="Y71" s="495" t="n"/>
      <c r="AD71" s="494" t="n"/>
      <c r="AE71" s="10" t="n"/>
      <c r="AG71" s="10" t="n"/>
      <c r="AI71" s="10" t="n"/>
      <c r="AK71" s="10" t="n"/>
      <c r="AL71" s="10" t="n"/>
      <c r="AM71" s="10" t="n"/>
      <c r="AN71" s="10" t="n"/>
      <c r="AO71" s="366" t="n"/>
      <c r="AU71" s="366" t="n"/>
      <c r="AV71" s="366" t="n"/>
      <c r="AW71" s="10" t="n"/>
      <c r="AY71" s="10" t="n"/>
      <c r="AZ71" s="495" t="n"/>
      <c r="BE71" s="57" t="n"/>
      <c r="BF71" s="10" t="n"/>
      <c r="BG71" s="10" t="n"/>
      <c r="BH71" s="10" t="n"/>
      <c r="BI71" s="10" t="n"/>
      <c r="BJ71" s="10" t="n"/>
      <c r="BK71" s="10" t="n"/>
      <c r="BL71" s="58" t="n"/>
      <c r="BM71" s="10" t="n"/>
      <c r="BN71" s="10" t="n"/>
      <c r="BO71" s="10" t="n"/>
      <c r="BP71" s="10" t="n"/>
      <c r="BQ71" s="10" t="n"/>
      <c r="BR71" s="10" t="n"/>
      <c r="BS71" s="366" t="n"/>
      <c r="BT71" s="549" t="n"/>
      <c r="BU71" s="549" t="n"/>
      <c r="BV71" s="549" t="n"/>
      <c r="BW71" s="549" t="n"/>
      <c r="BX71" s="549" t="n"/>
      <c r="BY71" s="366" t="n"/>
      <c r="BZ71" s="366" t="n"/>
      <c r="CA71" s="10" t="n"/>
      <c r="CB71" s="10" t="n"/>
      <c r="CC71" s="10" t="n"/>
      <c r="CD71" s="500" t="n"/>
    </row>
    <row r="72" hidden="1" ht="3" customHeight="1">
      <c r="B72" s="388" t="n"/>
      <c r="C72" s="494" t="n"/>
      <c r="D72" s="366" t="n"/>
      <c r="F72" s="10" t="n"/>
      <c r="H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8" t="n"/>
      <c r="AD72" s="494" t="n"/>
      <c r="AE72" s="366" t="n"/>
      <c r="AG72" s="10" t="n"/>
      <c r="AI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8" t="n"/>
      <c r="BE72" s="57" t="n"/>
      <c r="BF72" s="366" t="n"/>
      <c r="BG72" s="10" t="n"/>
      <c r="BH72" s="10" t="n"/>
      <c r="BI72" s="10" t="n"/>
      <c r="BJ72" s="10" t="n"/>
      <c r="BK72" s="10" t="n"/>
      <c r="BL72" s="58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</row>
    <row r="73" hidden="1" ht="3" customHeight="1">
      <c r="B73" s="388" t="n"/>
      <c r="C73" s="494" t="n"/>
      <c r="D73" s="366" t="n"/>
      <c r="F73" s="10" t="n"/>
      <c r="H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8" t="n"/>
      <c r="AD73" s="494" t="n"/>
      <c r="AE73" s="366" t="n"/>
      <c r="AG73" s="10" t="n"/>
      <c r="AI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8" t="n"/>
      <c r="BE73" s="57" t="n"/>
      <c r="BF73" s="366" t="n"/>
      <c r="BG73" s="10" t="n"/>
      <c r="BH73" s="10" t="n"/>
      <c r="BI73" s="10" t="n"/>
      <c r="BJ73" s="10" t="n"/>
      <c r="BK73" s="10" t="n"/>
      <c r="BL73" s="58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</row>
    <row r="74" hidden="1" ht="3" customHeight="1">
      <c r="B74" s="388" t="n"/>
      <c r="C74" s="494" t="n"/>
      <c r="D74" s="10" t="n"/>
      <c r="F74" s="10" t="n"/>
      <c r="H74" s="10" t="n"/>
      <c r="J74" s="10" t="n"/>
      <c r="K74" s="10" t="n"/>
      <c r="L74" s="10" t="n"/>
      <c r="M74" s="10" t="n"/>
      <c r="N74" s="366" t="n"/>
      <c r="O74" s="547">
        <f>O66</f>
        <v/>
      </c>
      <c r="T74" s="366" t="n"/>
      <c r="U74" s="382">
        <f>U50</f>
        <v/>
      </c>
      <c r="V74" s="10" t="n"/>
      <c r="W74" s="366" t="inlineStr">
        <is>
          <t>-</t>
        </is>
      </c>
      <c r="X74" s="29" t="n"/>
      <c r="Y74" s="364" t="n">
        <v>1</v>
      </c>
      <c r="AD74" s="494" t="n"/>
      <c r="AE74" s="10" t="n"/>
      <c r="AG74" s="10" t="n"/>
      <c r="AI74" s="10" t="n"/>
      <c r="AK74" s="10" t="n"/>
      <c r="AL74" s="10" t="n"/>
      <c r="AM74" s="10" t="n"/>
      <c r="AN74" s="10" t="n"/>
      <c r="AO74" s="366" t="n"/>
      <c r="AP74" s="547">
        <f>AP66</f>
        <v/>
      </c>
      <c r="AU74" s="366" t="n"/>
      <c r="AV74" s="382">
        <f>AV50</f>
        <v/>
      </c>
      <c r="AW74" s="10" t="n"/>
      <c r="AX74" s="366" t="inlineStr">
        <is>
          <t>-</t>
        </is>
      </c>
      <c r="AY74" s="29" t="n"/>
      <c r="AZ74" s="364" t="n">
        <v>1</v>
      </c>
      <c r="BE74" s="57" t="n"/>
      <c r="BF74" s="10" t="n"/>
      <c r="BG74" s="10" t="n"/>
      <c r="BH74" s="10" t="n"/>
      <c r="BI74" s="10" t="n"/>
      <c r="BJ74" s="10" t="n"/>
      <c r="BK74" s="10" t="n"/>
      <c r="BL74" s="58" t="n"/>
      <c r="BM74" s="10" t="n"/>
      <c r="BN74" s="10" t="n"/>
      <c r="BO74" s="10" t="n"/>
      <c r="BP74" s="10" t="n"/>
      <c r="BQ74" s="10" t="n"/>
      <c r="BR74" s="10" t="n"/>
      <c r="BS74" s="366" t="n"/>
      <c r="BT74" s="549" t="n"/>
      <c r="BU74" s="549" t="n"/>
      <c r="BV74" s="549" t="n"/>
      <c r="BW74" s="549" t="n"/>
      <c r="BX74" s="549" t="n"/>
      <c r="BY74" s="366" t="n"/>
      <c r="BZ74" s="60" t="n"/>
      <c r="CA74" s="10" t="n"/>
      <c r="CB74" s="10" t="n"/>
      <c r="CC74" s="29" t="n"/>
      <c r="CD74" s="10" t="n"/>
    </row>
    <row r="75" hidden="1" ht="3" customHeight="1">
      <c r="B75" s="388" t="n"/>
      <c r="C75" s="494" t="n"/>
      <c r="D75" s="10" t="n"/>
      <c r="F75" s="10" t="n"/>
      <c r="H75" s="10" t="n"/>
      <c r="J75" s="10" t="n"/>
      <c r="K75" s="10" t="n"/>
      <c r="L75" s="10" t="n"/>
      <c r="M75" s="10" t="n"/>
      <c r="N75" s="366" t="n"/>
      <c r="T75" s="366" t="n"/>
      <c r="V75" s="10" t="n"/>
      <c r="X75" s="29" t="n"/>
      <c r="Y75" s="495" t="n"/>
      <c r="AD75" s="494" t="n"/>
      <c r="AE75" s="10" t="n"/>
      <c r="AG75" s="10" t="n"/>
      <c r="AI75" s="10" t="n"/>
      <c r="AK75" s="10" t="n"/>
      <c r="AL75" s="10" t="n"/>
      <c r="AM75" s="10" t="n"/>
      <c r="AN75" s="10" t="n"/>
      <c r="AO75" s="366" t="n"/>
      <c r="AU75" s="366" t="n"/>
      <c r="AW75" s="10" t="n"/>
      <c r="AY75" s="29" t="n"/>
      <c r="AZ75" s="495" t="n"/>
      <c r="BE75" s="57" t="n"/>
      <c r="BF75" s="10" t="n"/>
      <c r="BG75" s="10" t="n"/>
      <c r="BH75" s="10" t="n"/>
      <c r="BI75" s="10" t="n"/>
      <c r="BJ75" s="10" t="n"/>
      <c r="BK75" s="10" t="n"/>
      <c r="BL75" s="58" t="n"/>
      <c r="BM75" s="10" t="n"/>
      <c r="BN75" s="10" t="n"/>
      <c r="BO75" s="10" t="n"/>
      <c r="BP75" s="10" t="n"/>
      <c r="BQ75" s="10" t="n"/>
      <c r="BR75" s="10" t="n"/>
      <c r="BS75" s="366" t="n"/>
      <c r="BT75" s="549" t="n"/>
      <c r="BU75" s="549" t="n"/>
      <c r="BV75" s="549" t="n"/>
      <c r="BW75" s="549" t="n"/>
      <c r="BX75" s="549" t="n"/>
      <c r="BY75" s="366" t="n"/>
      <c r="BZ75" s="60" t="n"/>
      <c r="CA75" s="10" t="n"/>
      <c r="CB75" s="10" t="n"/>
      <c r="CC75" s="29" t="n"/>
      <c r="CD75" s="10" t="n"/>
    </row>
    <row r="76" hidden="1" ht="3" customHeight="1">
      <c r="B76" s="388" t="n"/>
      <c r="C76" s="494" t="n"/>
      <c r="D76" s="10" t="n"/>
      <c r="F76" s="10" t="n"/>
      <c r="H76" s="10" t="n"/>
      <c r="J76" s="10" t="n"/>
      <c r="K76" s="10" t="n"/>
      <c r="L76" s="10" t="n"/>
      <c r="M76" s="10" t="n"/>
      <c r="N76" s="366" t="n"/>
      <c r="T76" s="366" t="n"/>
      <c r="V76" s="10" t="n"/>
      <c r="X76" s="29" t="n"/>
      <c r="Y76" s="495" t="n"/>
      <c r="AD76" s="494" t="n"/>
      <c r="AE76" s="10" t="n"/>
      <c r="AG76" s="10" t="n"/>
      <c r="AI76" s="10" t="n"/>
      <c r="AK76" s="10" t="n"/>
      <c r="AL76" s="10" t="n"/>
      <c r="AM76" s="10" t="n"/>
      <c r="AN76" s="10" t="n"/>
      <c r="AO76" s="366" t="n"/>
      <c r="AU76" s="366" t="n"/>
      <c r="AW76" s="10" t="n"/>
      <c r="AY76" s="29" t="n"/>
      <c r="AZ76" s="495" t="n"/>
      <c r="BE76" s="57" t="n"/>
      <c r="BF76" s="10" t="n"/>
      <c r="BG76" s="10" t="n"/>
      <c r="BH76" s="10" t="n"/>
      <c r="BI76" s="10" t="n"/>
      <c r="BJ76" s="10" t="n"/>
      <c r="BK76" s="10" t="n"/>
      <c r="BL76" s="58" t="n"/>
      <c r="BM76" s="10" t="n"/>
      <c r="BN76" s="10" t="n"/>
      <c r="BO76" s="10" t="n"/>
      <c r="BP76" s="10" t="n"/>
      <c r="BQ76" s="10" t="n"/>
      <c r="BR76" s="10" t="n"/>
      <c r="BS76" s="366" t="n"/>
      <c r="BT76" s="549" t="n"/>
      <c r="BU76" s="549" t="n"/>
      <c r="BV76" s="549" t="n"/>
      <c r="BW76" s="549" t="n"/>
      <c r="BX76" s="549" t="n"/>
      <c r="BY76" s="366" t="n"/>
      <c r="BZ76" s="60" t="n"/>
      <c r="CA76" s="10" t="n"/>
      <c r="CB76" s="10" t="n"/>
      <c r="CC76" s="29" t="n"/>
      <c r="CD76" s="10" t="n"/>
    </row>
    <row r="77" hidden="1" ht="3" customHeight="1">
      <c r="B77" s="388" t="n"/>
      <c r="C77" s="494" t="n"/>
      <c r="D77" s="10" t="n"/>
      <c r="F77" s="10" t="n"/>
      <c r="H77" s="10" t="n"/>
      <c r="J77" s="10" t="n"/>
      <c r="K77" s="10" t="n"/>
      <c r="L77" s="10" t="n"/>
      <c r="M77" s="10" t="n"/>
      <c r="N77" s="10" t="n"/>
      <c r="T77" s="366" t="n"/>
      <c r="U77" s="366" t="n"/>
      <c r="V77" s="10" t="n"/>
      <c r="X77" s="10" t="n"/>
      <c r="Y77" s="495" t="n"/>
      <c r="AD77" s="494" t="n"/>
      <c r="AE77" s="10" t="n"/>
      <c r="AG77" s="10" t="n"/>
      <c r="AI77" s="10" t="n"/>
      <c r="AK77" s="10" t="n"/>
      <c r="AL77" s="10" t="n"/>
      <c r="AM77" s="10" t="n"/>
      <c r="AN77" s="10" t="n"/>
      <c r="AO77" s="10" t="n"/>
      <c r="AU77" s="366" t="n"/>
      <c r="AV77" s="366" t="n"/>
      <c r="AW77" s="10" t="n"/>
      <c r="AY77" s="10" t="n"/>
      <c r="AZ77" s="495" t="n"/>
      <c r="BE77" s="57" t="n"/>
      <c r="BF77" s="10" t="n"/>
      <c r="BG77" s="10" t="n"/>
      <c r="BH77" s="10" t="n"/>
      <c r="BI77" s="10" t="n"/>
      <c r="BJ77" s="10" t="n"/>
      <c r="BK77" s="10" t="n"/>
      <c r="BL77" s="58" t="n"/>
      <c r="BM77" s="10" t="n"/>
      <c r="BN77" s="10" t="n"/>
      <c r="BO77" s="10" t="n"/>
      <c r="BP77" s="10" t="n"/>
      <c r="BQ77" s="10" t="n"/>
      <c r="BR77" s="10" t="n"/>
      <c r="BS77" s="10" t="n"/>
      <c r="BT77" s="549" t="n"/>
      <c r="BU77" s="549" t="n"/>
      <c r="BV77" s="549" t="n"/>
      <c r="BW77" s="549" t="n"/>
      <c r="BX77" s="549" t="n"/>
      <c r="BY77" s="366" t="n"/>
      <c r="BZ77" s="366" t="n"/>
      <c r="CA77" s="10" t="n"/>
      <c r="CB77" s="10" t="n"/>
      <c r="CC77" s="10" t="n"/>
      <c r="CD77" s="10" t="n"/>
    </row>
    <row r="78" hidden="1" ht="3" customHeight="1">
      <c r="B78" s="388" t="n"/>
      <c r="C78" s="494" t="n"/>
      <c r="D78" s="10" t="n"/>
      <c r="F78" s="10" t="n"/>
      <c r="H78" s="10" t="n"/>
      <c r="J78" s="10" t="n"/>
      <c r="K78" s="10" t="n"/>
      <c r="L78" s="10" t="n"/>
      <c r="M78" s="10" t="n"/>
      <c r="N78" s="10" t="n"/>
      <c r="T78" s="366" t="n"/>
      <c r="U78" s="366" t="n"/>
      <c r="V78" s="10" t="n"/>
      <c r="X78" s="10" t="n"/>
      <c r="Y78" s="495" t="n"/>
      <c r="AD78" s="494" t="n"/>
      <c r="AE78" s="10" t="n"/>
      <c r="AG78" s="10" t="n"/>
      <c r="AI78" s="10" t="n"/>
      <c r="AK78" s="10" t="n"/>
      <c r="AL78" s="10" t="n"/>
      <c r="AM78" s="10" t="n"/>
      <c r="AN78" s="10" t="n"/>
      <c r="AO78" s="10" t="n"/>
      <c r="AU78" s="366" t="n"/>
      <c r="AV78" s="366" t="n"/>
      <c r="AW78" s="10" t="n"/>
      <c r="AY78" s="10" t="n"/>
      <c r="AZ78" s="495" t="n"/>
      <c r="BE78" s="57" t="n"/>
      <c r="BF78" s="10" t="n"/>
      <c r="BG78" s="10" t="n"/>
      <c r="BH78" s="10" t="n"/>
      <c r="BI78" s="10" t="n"/>
      <c r="BJ78" s="10" t="n"/>
      <c r="BK78" s="10" t="n"/>
      <c r="BL78" s="58" t="n"/>
      <c r="BM78" s="10" t="n"/>
      <c r="BN78" s="10" t="n"/>
      <c r="BO78" s="10" t="n"/>
      <c r="BP78" s="10" t="n"/>
      <c r="BQ78" s="10" t="n"/>
      <c r="BR78" s="10" t="n"/>
      <c r="BS78" s="10" t="n"/>
      <c r="BT78" s="549" t="n"/>
      <c r="BU78" s="549" t="n"/>
      <c r="BV78" s="549" t="n"/>
      <c r="BW78" s="549" t="n"/>
      <c r="BX78" s="549" t="n"/>
      <c r="BY78" s="366" t="n"/>
      <c r="BZ78" s="366" t="n"/>
      <c r="CA78" s="10" t="n"/>
      <c r="CB78" s="10" t="n"/>
      <c r="CC78" s="10" t="n"/>
      <c r="CD78" s="10" t="n"/>
    </row>
    <row r="79" hidden="1" ht="3" customHeight="1">
      <c r="B79" s="388" t="n"/>
      <c r="C79" s="494" t="n"/>
      <c r="D79" s="10" t="n"/>
      <c r="F79" s="10" t="n"/>
      <c r="H79" s="10" t="n"/>
      <c r="J79" s="10" t="n"/>
      <c r="K79" s="10" t="n"/>
      <c r="L79" s="10" t="n"/>
      <c r="M79" s="10" t="n"/>
      <c r="N79" s="366" t="n"/>
      <c r="T79" s="366" t="n"/>
      <c r="U79" s="366" t="n"/>
      <c r="V79" s="10" t="n"/>
      <c r="X79" s="10" t="n"/>
      <c r="Y79" s="495" t="n"/>
      <c r="AD79" s="494" t="n"/>
      <c r="AE79" s="10" t="n"/>
      <c r="AG79" s="10" t="n"/>
      <c r="AI79" s="10" t="n"/>
      <c r="AK79" s="10" t="n"/>
      <c r="AL79" s="10" t="n"/>
      <c r="AM79" s="10" t="n"/>
      <c r="AN79" s="10" t="n"/>
      <c r="AO79" s="366" t="n"/>
      <c r="AU79" s="366" t="n"/>
      <c r="AV79" s="366" t="n"/>
      <c r="AW79" s="10" t="n"/>
      <c r="AY79" s="10" t="n"/>
      <c r="AZ79" s="495" t="n"/>
      <c r="BE79" s="57" t="n"/>
      <c r="BF79" s="10" t="n"/>
      <c r="BG79" s="10" t="n"/>
      <c r="BH79" s="10" t="n"/>
      <c r="BI79" s="10" t="n"/>
      <c r="BJ79" s="10" t="n"/>
      <c r="BK79" s="10" t="n"/>
      <c r="BL79" s="58" t="n"/>
      <c r="BM79" s="10" t="n"/>
      <c r="BN79" s="10" t="n"/>
      <c r="BO79" s="10" t="n"/>
      <c r="BP79" s="10" t="n"/>
      <c r="BQ79" s="10" t="n"/>
      <c r="BR79" s="10" t="n"/>
      <c r="BS79" s="366" t="n"/>
      <c r="BT79" s="549" t="n"/>
      <c r="BU79" s="549" t="n"/>
      <c r="BV79" s="549" t="n"/>
      <c r="BW79" s="549" t="n"/>
      <c r="BX79" s="549" t="n"/>
      <c r="BY79" s="366" t="n"/>
      <c r="BZ79" s="366" t="n"/>
      <c r="CA79" s="10" t="n"/>
      <c r="CB79" s="10" t="n"/>
      <c r="CC79" s="10" t="n"/>
      <c r="CD79" s="10" t="n"/>
    </row>
    <row r="80" hidden="1" ht="3" customHeight="1">
      <c r="C80" s="494" t="n"/>
      <c r="D80" s="10" t="n"/>
      <c r="F80" s="10" t="n"/>
      <c r="H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8" t="n"/>
      <c r="AD80" s="494" t="n"/>
      <c r="AE80" s="10" t="n"/>
      <c r="AG80" s="10" t="n"/>
      <c r="AI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8" t="n"/>
      <c r="BE80" s="57" t="n"/>
      <c r="BF80" s="10" t="n"/>
      <c r="BG80" s="10" t="n"/>
      <c r="BH80" s="10" t="n"/>
      <c r="BI80" s="10" t="n"/>
      <c r="BJ80" s="10" t="n"/>
      <c r="BK80" s="10" t="n"/>
      <c r="BL80" s="58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</row>
    <row r="81" hidden="1" ht="9" customHeight="1">
      <c r="C81" s="9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8" t="n"/>
      <c r="AD81" s="9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8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</row>
    <row r="82" hidden="1" ht="3" customHeight="1">
      <c r="B82" s="388" t="n"/>
      <c r="C82" s="365" t="inlineStr">
        <is>
          <t>PMT</t>
        </is>
      </c>
      <c r="D82" s="10" t="n"/>
      <c r="E82" s="366" t="inlineStr">
        <is>
          <t>=</t>
        </is>
      </c>
      <c r="F82" s="10" t="n"/>
      <c r="G82" s="391">
        <f>G66</f>
        <v/>
      </c>
      <c r="H82" s="10" t="n"/>
      <c r="I82" s="366" t="inlineStr">
        <is>
          <t>x</t>
        </is>
      </c>
      <c r="J82" s="10" t="n"/>
      <c r="K82" s="10" t="n"/>
      <c r="L82" s="10" t="n"/>
      <c r="M82" s="10" t="n"/>
      <c r="N82" s="366" t="n"/>
      <c r="O82" s="547">
        <f>POWER(O66,U66)</f>
        <v/>
      </c>
      <c r="V82" s="10" t="n"/>
      <c r="W82" s="366" t="inlineStr">
        <is>
          <t>x</t>
        </is>
      </c>
      <c r="X82" s="29" t="n"/>
      <c r="Y82" s="548">
        <f>Y66</f>
        <v/>
      </c>
      <c r="AD82" s="365" t="inlineStr">
        <is>
          <t>PMT</t>
        </is>
      </c>
      <c r="AE82" s="10" t="n"/>
      <c r="AF82" s="366" t="inlineStr">
        <is>
          <t>=</t>
        </is>
      </c>
      <c r="AG82" s="10" t="n"/>
      <c r="AH82" s="391">
        <f>AH66</f>
        <v/>
      </c>
      <c r="AI82" s="10" t="n"/>
      <c r="AJ82" s="366" t="inlineStr">
        <is>
          <t>x</t>
        </is>
      </c>
      <c r="AK82" s="10" t="n"/>
      <c r="AL82" s="10" t="n"/>
      <c r="AM82" s="10" t="n"/>
      <c r="AN82" s="10" t="n"/>
      <c r="AO82" s="366" t="n"/>
      <c r="AP82" s="547">
        <f>POWER(AP66,AV66)</f>
        <v/>
      </c>
      <c r="AW82" s="10" t="n"/>
      <c r="AX82" s="366" t="inlineStr">
        <is>
          <t>x</t>
        </is>
      </c>
      <c r="AY82" s="29" t="n"/>
      <c r="AZ82" s="548">
        <f>AZ66</f>
        <v/>
      </c>
      <c r="BE82" s="57" t="n"/>
      <c r="BF82" s="10" t="n"/>
      <c r="BG82" s="10" t="n"/>
      <c r="BH82" s="10" t="n"/>
      <c r="BI82" s="10" t="n"/>
      <c r="BJ82" s="10" t="n"/>
      <c r="BK82" s="10" t="n"/>
      <c r="BL82" s="58" t="n"/>
      <c r="BM82" s="10" t="n"/>
      <c r="BN82" s="10" t="n"/>
      <c r="BO82" s="10" t="n"/>
      <c r="BP82" s="10" t="n"/>
      <c r="BQ82" s="10" t="n"/>
      <c r="BR82" s="10" t="n"/>
      <c r="BS82" s="366" t="n"/>
      <c r="BT82" s="549" t="n"/>
      <c r="BU82" s="549" t="n"/>
      <c r="BV82" s="549" t="n"/>
      <c r="BW82" s="549" t="n"/>
      <c r="BX82" s="549" t="n"/>
      <c r="BY82" s="549" t="n"/>
      <c r="BZ82" s="549" t="n"/>
      <c r="CA82" s="10" t="n"/>
      <c r="CB82" s="10" t="n"/>
      <c r="CC82" s="29" t="n"/>
      <c r="CD82" s="500" t="n"/>
    </row>
    <row r="83" hidden="1" ht="3" customHeight="1">
      <c r="B83" s="388" t="n"/>
      <c r="C83" s="494" t="n"/>
      <c r="D83" s="10" t="n"/>
      <c r="F83" s="10" t="n"/>
      <c r="H83" s="10" t="n"/>
      <c r="J83" s="10" t="n"/>
      <c r="K83" s="10" t="n"/>
      <c r="L83" s="10" t="n"/>
      <c r="M83" s="10" t="n"/>
      <c r="N83" s="366" t="n"/>
      <c r="V83" s="10" t="n"/>
      <c r="X83" s="29" t="n"/>
      <c r="Y83" s="495" t="n"/>
      <c r="AD83" s="494" t="n"/>
      <c r="AE83" s="10" t="n"/>
      <c r="AG83" s="10" t="n"/>
      <c r="AI83" s="10" t="n"/>
      <c r="AK83" s="10" t="n"/>
      <c r="AL83" s="10" t="n"/>
      <c r="AM83" s="10" t="n"/>
      <c r="AN83" s="10" t="n"/>
      <c r="AO83" s="366" t="n"/>
      <c r="AW83" s="10" t="n"/>
      <c r="AY83" s="29" t="n"/>
      <c r="AZ83" s="495" t="n"/>
      <c r="BE83" s="57" t="n"/>
      <c r="BF83" s="10" t="n"/>
      <c r="BG83" s="10" t="n"/>
      <c r="BH83" s="10" t="n"/>
      <c r="BI83" s="10" t="n"/>
      <c r="BJ83" s="10" t="n"/>
      <c r="BK83" s="10" t="n"/>
      <c r="BL83" s="58" t="n"/>
      <c r="BM83" s="10" t="n"/>
      <c r="BN83" s="10" t="n"/>
      <c r="BO83" s="10" t="n"/>
      <c r="BP83" s="10" t="n"/>
      <c r="BQ83" s="10" t="n"/>
      <c r="BR83" s="10" t="n"/>
      <c r="BS83" s="366" t="n"/>
      <c r="BT83" s="549" t="n"/>
      <c r="BU83" s="549" t="n"/>
      <c r="BV83" s="549" t="n"/>
      <c r="BW83" s="549" t="n"/>
      <c r="BX83" s="549" t="n"/>
      <c r="BY83" s="549" t="n"/>
      <c r="BZ83" s="549" t="n"/>
      <c r="CA83" s="10" t="n"/>
      <c r="CB83" s="10" t="n"/>
      <c r="CC83" s="29" t="n"/>
      <c r="CD83" s="500" t="n"/>
    </row>
    <row r="84" hidden="1" ht="3" customHeight="1">
      <c r="B84" s="388" t="n"/>
      <c r="C84" s="494" t="n"/>
      <c r="D84" s="10" t="n"/>
      <c r="F84" s="10" t="n"/>
      <c r="H84" s="10" t="n"/>
      <c r="J84" s="10" t="n"/>
      <c r="K84" s="10" t="n"/>
      <c r="L84" s="10" t="n"/>
      <c r="M84" s="10" t="n"/>
      <c r="N84" s="366" t="n"/>
      <c r="V84" s="10" t="n"/>
      <c r="X84" s="29" t="n"/>
      <c r="Y84" s="495" t="n"/>
      <c r="AD84" s="494" t="n"/>
      <c r="AE84" s="10" t="n"/>
      <c r="AG84" s="10" t="n"/>
      <c r="AI84" s="10" t="n"/>
      <c r="AK84" s="10" t="n"/>
      <c r="AL84" s="10" t="n"/>
      <c r="AM84" s="10" t="n"/>
      <c r="AN84" s="10" t="n"/>
      <c r="AO84" s="366" t="n"/>
      <c r="AW84" s="10" t="n"/>
      <c r="AY84" s="29" t="n"/>
      <c r="AZ84" s="495" t="n"/>
      <c r="BE84" s="57" t="n"/>
      <c r="BF84" s="10" t="n"/>
      <c r="BG84" s="10" t="n"/>
      <c r="BH84" s="10" t="n"/>
      <c r="BI84" s="10" t="n"/>
      <c r="BJ84" s="10" t="n"/>
      <c r="BK84" s="10" t="n"/>
      <c r="BL84" s="58" t="n"/>
      <c r="BM84" s="10" t="n"/>
      <c r="BN84" s="10" t="n"/>
      <c r="BO84" s="10" t="n"/>
      <c r="BP84" s="10" t="n"/>
      <c r="BQ84" s="10" t="n"/>
      <c r="BR84" s="10" t="n"/>
      <c r="BS84" s="366" t="n"/>
      <c r="BT84" s="549" t="n"/>
      <c r="BU84" s="549" t="n"/>
      <c r="BV84" s="549" t="n"/>
      <c r="BW84" s="549" t="n"/>
      <c r="BX84" s="549" t="n"/>
      <c r="BY84" s="549" t="n"/>
      <c r="BZ84" s="549" t="n"/>
      <c r="CA84" s="10" t="n"/>
      <c r="CB84" s="10" t="n"/>
      <c r="CC84" s="29" t="n"/>
      <c r="CD84" s="500" t="n"/>
    </row>
    <row r="85" hidden="1" ht="3" customHeight="1">
      <c r="B85" s="388" t="n"/>
      <c r="C85" s="494" t="n"/>
      <c r="D85" s="10" t="n"/>
      <c r="F85" s="10" t="n"/>
      <c r="H85" s="10" t="n"/>
      <c r="J85" s="10" t="n"/>
      <c r="K85" s="10" t="n"/>
      <c r="L85" s="10" t="n"/>
      <c r="M85" s="10" t="n"/>
      <c r="N85" s="10" t="n"/>
      <c r="V85" s="10" t="n"/>
      <c r="X85" s="10" t="n"/>
      <c r="Y85" s="495" t="n"/>
      <c r="AD85" s="494" t="n"/>
      <c r="AE85" s="10" t="n"/>
      <c r="AG85" s="10" t="n"/>
      <c r="AI85" s="10" t="n"/>
      <c r="AK85" s="10" t="n"/>
      <c r="AL85" s="10" t="n"/>
      <c r="AM85" s="10" t="n"/>
      <c r="AN85" s="10" t="n"/>
      <c r="AO85" s="10" t="n"/>
      <c r="AW85" s="10" t="n"/>
      <c r="AY85" s="10" t="n"/>
      <c r="AZ85" s="495" t="n"/>
      <c r="BE85" s="57" t="n"/>
      <c r="BF85" s="10" t="n"/>
      <c r="BG85" s="10" t="n"/>
      <c r="BH85" s="10" t="n"/>
      <c r="BI85" s="10" t="n"/>
      <c r="BJ85" s="10" t="n"/>
      <c r="BK85" s="10" t="n"/>
      <c r="BL85" s="58" t="n"/>
      <c r="BM85" s="10" t="n"/>
      <c r="BN85" s="10" t="n"/>
      <c r="BO85" s="10" t="n"/>
      <c r="BP85" s="10" t="n"/>
      <c r="BQ85" s="10" t="n"/>
      <c r="BR85" s="10" t="n"/>
      <c r="BS85" s="10" t="n"/>
      <c r="BT85" s="549" t="n"/>
      <c r="BU85" s="549" t="n"/>
      <c r="BV85" s="549" t="n"/>
      <c r="BW85" s="549" t="n"/>
      <c r="BX85" s="549" t="n"/>
      <c r="BY85" s="549" t="n"/>
      <c r="BZ85" s="549" t="n"/>
      <c r="CA85" s="10" t="n"/>
      <c r="CB85" s="10" t="n"/>
      <c r="CC85" s="10" t="n"/>
      <c r="CD85" s="500" t="n"/>
    </row>
    <row r="86" hidden="1" ht="3" customHeight="1">
      <c r="B86" s="388" t="n"/>
      <c r="C86" s="494" t="n"/>
      <c r="D86" s="10" t="n"/>
      <c r="F86" s="10" t="n"/>
      <c r="H86" s="10" t="n"/>
      <c r="J86" s="10" t="n"/>
      <c r="K86" s="10" t="n"/>
      <c r="L86" s="10" t="n"/>
      <c r="M86" s="10" t="n"/>
      <c r="N86" s="10" t="n"/>
      <c r="V86" s="10" t="n"/>
      <c r="X86" s="10" t="n"/>
      <c r="Y86" s="495" t="n"/>
      <c r="AD86" s="494" t="n"/>
      <c r="AE86" s="10" t="n"/>
      <c r="AG86" s="10" t="n"/>
      <c r="AI86" s="10" t="n"/>
      <c r="AK86" s="10" t="n"/>
      <c r="AL86" s="10" t="n"/>
      <c r="AM86" s="10" t="n"/>
      <c r="AN86" s="10" t="n"/>
      <c r="AO86" s="10" t="n"/>
      <c r="AW86" s="10" t="n"/>
      <c r="AY86" s="10" t="n"/>
      <c r="AZ86" s="495" t="n"/>
      <c r="BE86" s="57" t="n"/>
      <c r="BF86" s="10" t="n"/>
      <c r="BG86" s="10" t="n"/>
      <c r="BH86" s="10" t="n"/>
      <c r="BI86" s="10" t="n"/>
      <c r="BJ86" s="10" t="n"/>
      <c r="BK86" s="10" t="n"/>
      <c r="BL86" s="58" t="n"/>
      <c r="BM86" s="10" t="n"/>
      <c r="BN86" s="10" t="n"/>
      <c r="BO86" s="10" t="n"/>
      <c r="BP86" s="10" t="n"/>
      <c r="BQ86" s="10" t="n"/>
      <c r="BR86" s="10" t="n"/>
      <c r="BS86" s="10" t="n"/>
      <c r="BT86" s="549" t="n"/>
      <c r="BU86" s="549" t="n"/>
      <c r="BV86" s="549" t="n"/>
      <c r="BW86" s="549" t="n"/>
      <c r="BX86" s="549" t="n"/>
      <c r="BY86" s="549" t="n"/>
      <c r="BZ86" s="549" t="n"/>
      <c r="CA86" s="10" t="n"/>
      <c r="CB86" s="10" t="n"/>
      <c r="CC86" s="10" t="n"/>
      <c r="CD86" s="500" t="n"/>
    </row>
    <row r="87" hidden="1" ht="3" customHeight="1">
      <c r="B87" s="388" t="n"/>
      <c r="C87" s="494" t="n"/>
      <c r="D87" s="10" t="n"/>
      <c r="F87" s="10" t="n"/>
      <c r="H87" s="10" t="n"/>
      <c r="J87" s="10" t="n"/>
      <c r="K87" s="10" t="n"/>
      <c r="L87" s="10" t="n"/>
      <c r="M87" s="10" t="n"/>
      <c r="N87" s="366" t="n"/>
      <c r="V87" s="10" t="n"/>
      <c r="X87" s="10" t="n"/>
      <c r="Y87" s="495" t="n"/>
      <c r="AD87" s="494" t="n"/>
      <c r="AE87" s="10" t="n"/>
      <c r="AG87" s="10" t="n"/>
      <c r="AI87" s="10" t="n"/>
      <c r="AK87" s="10" t="n"/>
      <c r="AL87" s="10" t="n"/>
      <c r="AM87" s="10" t="n"/>
      <c r="AN87" s="10" t="n"/>
      <c r="AO87" s="366" t="n"/>
      <c r="AW87" s="10" t="n"/>
      <c r="AY87" s="10" t="n"/>
      <c r="AZ87" s="495" t="n"/>
      <c r="BE87" s="57" t="n"/>
      <c r="BF87" s="10" t="n"/>
      <c r="BG87" s="10" t="n"/>
      <c r="BH87" s="10" t="n"/>
      <c r="BI87" s="10" t="n"/>
      <c r="BJ87" s="10" t="n"/>
      <c r="BK87" s="10" t="n"/>
      <c r="BL87" s="58" t="n"/>
      <c r="BM87" s="10" t="n"/>
      <c r="BN87" s="10" t="n"/>
      <c r="BO87" s="10" t="n"/>
      <c r="BP87" s="10" t="n"/>
      <c r="BQ87" s="10" t="n"/>
      <c r="BR87" s="10" t="n"/>
      <c r="BS87" s="366" t="n"/>
      <c r="BT87" s="549" t="n"/>
      <c r="BU87" s="549" t="n"/>
      <c r="BV87" s="549" t="n"/>
      <c r="BW87" s="549" t="n"/>
      <c r="BX87" s="549" t="n"/>
      <c r="BY87" s="549" t="n"/>
      <c r="BZ87" s="549" t="n"/>
      <c r="CA87" s="10" t="n"/>
      <c r="CB87" s="10" t="n"/>
      <c r="CC87" s="10" t="n"/>
      <c r="CD87" s="500" t="n"/>
    </row>
    <row r="88" hidden="1" ht="3" customHeight="1">
      <c r="B88" s="388" t="n"/>
      <c r="C88" s="494" t="n"/>
      <c r="D88" s="366" t="n"/>
      <c r="F88" s="10" t="n"/>
      <c r="H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8" t="n"/>
      <c r="Z88" s="19" t="n"/>
      <c r="AD88" s="494" t="n"/>
      <c r="AE88" s="366" t="n"/>
      <c r="AG88" s="10" t="n"/>
      <c r="AI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8" t="n"/>
      <c r="BE88" s="57" t="n"/>
      <c r="BF88" s="366" t="n"/>
      <c r="BG88" s="10" t="n"/>
      <c r="BH88" s="10" t="n"/>
      <c r="BI88" s="10" t="n"/>
      <c r="BJ88" s="10" t="n"/>
      <c r="BK88" s="10" t="n"/>
      <c r="BL88" s="58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</row>
    <row r="89" hidden="1" ht="3" customHeight="1">
      <c r="B89" s="388" t="n"/>
      <c r="C89" s="494" t="n"/>
      <c r="D89" s="366" t="n"/>
      <c r="F89" s="10" t="n"/>
      <c r="H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8" t="n"/>
      <c r="Z89" s="20" t="n"/>
      <c r="AD89" s="494" t="n"/>
      <c r="AE89" s="366" t="n"/>
      <c r="AG89" s="10" t="n"/>
      <c r="AI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8" t="n"/>
      <c r="BE89" s="57" t="n"/>
      <c r="BF89" s="366" t="n"/>
      <c r="BG89" s="10" t="n"/>
      <c r="BH89" s="10" t="n"/>
      <c r="BI89" s="10" t="n"/>
      <c r="BJ89" s="10" t="n"/>
      <c r="BK89" s="10" t="n"/>
      <c r="BL89" s="58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</row>
    <row r="90" hidden="1" ht="3" customHeight="1">
      <c r="B90" s="388" t="n"/>
      <c r="C90" s="494" t="n"/>
      <c r="D90" s="10" t="n"/>
      <c r="F90" s="10" t="n"/>
      <c r="H90" s="10" t="n"/>
      <c r="J90" s="10" t="n"/>
      <c r="K90" s="10" t="n"/>
      <c r="L90" s="10" t="n"/>
      <c r="M90" s="10" t="n"/>
      <c r="N90" s="366" t="n"/>
      <c r="O90" s="547">
        <f>O82</f>
        <v/>
      </c>
      <c r="V90" s="10" t="n"/>
      <c r="W90" s="366" t="inlineStr">
        <is>
          <t>-</t>
        </is>
      </c>
      <c r="X90" s="29" t="n"/>
      <c r="Y90" s="364" t="n">
        <v>1</v>
      </c>
      <c r="AD90" s="494" t="n"/>
      <c r="AE90" s="10" t="n"/>
      <c r="AG90" s="10" t="n"/>
      <c r="AI90" s="10" t="n"/>
      <c r="AK90" s="10" t="n"/>
      <c r="AL90" s="10" t="n"/>
      <c r="AM90" s="10" t="n"/>
      <c r="AN90" s="10" t="n"/>
      <c r="AO90" s="366" t="n"/>
      <c r="AP90" s="547">
        <f>AP82</f>
        <v/>
      </c>
      <c r="AW90" s="10" t="n"/>
      <c r="AX90" s="366" t="inlineStr">
        <is>
          <t>-</t>
        </is>
      </c>
      <c r="AY90" s="29" t="n"/>
      <c r="AZ90" s="364" t="n">
        <v>1</v>
      </c>
      <c r="BE90" s="57" t="n"/>
      <c r="BF90" s="10" t="n"/>
      <c r="BG90" s="10" t="n"/>
      <c r="BH90" s="10" t="n"/>
      <c r="BI90" s="10" t="n"/>
      <c r="BJ90" s="10" t="n"/>
      <c r="BK90" s="10" t="n"/>
      <c r="BL90" s="58" t="n"/>
      <c r="BM90" s="10" t="n"/>
      <c r="BN90" s="10" t="n"/>
      <c r="BO90" s="10" t="n"/>
      <c r="BP90" s="10" t="n"/>
      <c r="BQ90" s="10" t="n"/>
      <c r="BR90" s="10" t="n"/>
      <c r="BS90" s="366" t="n"/>
      <c r="BT90" s="549" t="n"/>
      <c r="BU90" s="549" t="n"/>
      <c r="BV90" s="549" t="n"/>
      <c r="BW90" s="549" t="n"/>
      <c r="BX90" s="549" t="n"/>
      <c r="BY90" s="549" t="n"/>
      <c r="BZ90" s="549" t="n"/>
      <c r="CA90" s="10" t="n"/>
      <c r="CB90" s="10" t="n"/>
      <c r="CC90" s="29" t="n"/>
      <c r="CD90" s="10" t="n"/>
    </row>
    <row r="91" hidden="1" ht="3" customHeight="1">
      <c r="B91" s="388" t="n"/>
      <c r="C91" s="494" t="n"/>
      <c r="D91" s="10" t="n"/>
      <c r="F91" s="10" t="n"/>
      <c r="H91" s="10" t="n"/>
      <c r="J91" s="10" t="n"/>
      <c r="K91" s="10" t="n"/>
      <c r="L91" s="10" t="n"/>
      <c r="M91" s="10" t="n"/>
      <c r="N91" s="366" t="n"/>
      <c r="V91" s="10" t="n"/>
      <c r="X91" s="29" t="n"/>
      <c r="Y91" s="495" t="n"/>
      <c r="AD91" s="494" t="n"/>
      <c r="AE91" s="10" t="n"/>
      <c r="AG91" s="10" t="n"/>
      <c r="AI91" s="10" t="n"/>
      <c r="AK91" s="10" t="n"/>
      <c r="AL91" s="10" t="n"/>
      <c r="AM91" s="10" t="n"/>
      <c r="AN91" s="10" t="n"/>
      <c r="AO91" s="366" t="n"/>
      <c r="AW91" s="10" t="n"/>
      <c r="AY91" s="29" t="n"/>
      <c r="AZ91" s="495" t="n"/>
      <c r="BE91" s="57" t="n"/>
      <c r="BF91" s="10" t="n"/>
      <c r="BG91" s="10" t="n"/>
      <c r="BH91" s="10" t="n"/>
      <c r="BI91" s="10" t="n"/>
      <c r="BJ91" s="10" t="n"/>
      <c r="BK91" s="10" t="n"/>
      <c r="BL91" s="58" t="n"/>
      <c r="BM91" s="10" t="n"/>
      <c r="BN91" s="10" t="n"/>
      <c r="BO91" s="10" t="n"/>
      <c r="BP91" s="10" t="n"/>
      <c r="BQ91" s="10" t="n"/>
      <c r="BR91" s="10" t="n"/>
      <c r="BS91" s="366" t="n"/>
      <c r="BT91" s="549" t="n"/>
      <c r="BU91" s="549" t="n"/>
      <c r="BV91" s="549" t="n"/>
      <c r="BW91" s="549" t="n"/>
      <c r="BX91" s="549" t="n"/>
      <c r="BY91" s="549" t="n"/>
      <c r="BZ91" s="549" t="n"/>
      <c r="CA91" s="10" t="n"/>
      <c r="CB91" s="10" t="n"/>
      <c r="CC91" s="29" t="n"/>
      <c r="CD91" s="10" t="n"/>
    </row>
    <row r="92" hidden="1" ht="3" customHeight="1">
      <c r="B92" s="388" t="n"/>
      <c r="C92" s="494" t="n"/>
      <c r="D92" s="10" t="n"/>
      <c r="F92" s="10" t="n"/>
      <c r="H92" s="10" t="n"/>
      <c r="J92" s="10" t="n"/>
      <c r="K92" s="10" t="n"/>
      <c r="L92" s="10" t="n"/>
      <c r="M92" s="10" t="n"/>
      <c r="N92" s="366" t="n"/>
      <c r="V92" s="10" t="n"/>
      <c r="X92" s="29" t="n"/>
      <c r="Y92" s="495" t="n"/>
      <c r="AD92" s="494" t="n"/>
      <c r="AE92" s="10" t="n"/>
      <c r="AG92" s="10" t="n"/>
      <c r="AI92" s="10" t="n"/>
      <c r="AK92" s="10" t="n"/>
      <c r="AL92" s="10" t="n"/>
      <c r="AM92" s="10" t="n"/>
      <c r="AN92" s="10" t="n"/>
      <c r="AO92" s="366" t="n"/>
      <c r="AW92" s="10" t="n"/>
      <c r="AY92" s="29" t="n"/>
      <c r="AZ92" s="495" t="n"/>
      <c r="BE92" s="57" t="n"/>
      <c r="BF92" s="10" t="n"/>
      <c r="BG92" s="10" t="n"/>
      <c r="BH92" s="10" t="n"/>
      <c r="BI92" s="10" t="n"/>
      <c r="BJ92" s="10" t="n"/>
      <c r="BK92" s="10" t="n"/>
      <c r="BL92" s="58" t="n"/>
      <c r="BM92" s="10" t="n"/>
      <c r="BN92" s="10" t="n"/>
      <c r="BO92" s="10" t="n"/>
      <c r="BP92" s="10" t="n"/>
      <c r="BQ92" s="10" t="n"/>
      <c r="BR92" s="10" t="n"/>
      <c r="BS92" s="366" t="n"/>
      <c r="BT92" s="549" t="n"/>
      <c r="BU92" s="549" t="n"/>
      <c r="BV92" s="549" t="n"/>
      <c r="BW92" s="549" t="n"/>
      <c r="BX92" s="549" t="n"/>
      <c r="BY92" s="549" t="n"/>
      <c r="BZ92" s="549" t="n"/>
      <c r="CA92" s="10" t="n"/>
      <c r="CB92" s="10" t="n"/>
      <c r="CC92" s="29" t="n"/>
      <c r="CD92" s="10" t="n"/>
    </row>
    <row r="93" hidden="1" ht="3" customHeight="1">
      <c r="B93" s="388" t="n"/>
      <c r="C93" s="494" t="n"/>
      <c r="D93" s="10" t="n"/>
      <c r="F93" s="10" t="n"/>
      <c r="H93" s="10" t="n"/>
      <c r="J93" s="10" t="n"/>
      <c r="K93" s="10" t="n"/>
      <c r="L93" s="10" t="n"/>
      <c r="M93" s="10" t="n"/>
      <c r="N93" s="10" t="n"/>
      <c r="V93" s="10" t="n"/>
      <c r="X93" s="10" t="n"/>
      <c r="Y93" s="495" t="n"/>
      <c r="AD93" s="494" t="n"/>
      <c r="AE93" s="10" t="n"/>
      <c r="AG93" s="10" t="n"/>
      <c r="AI93" s="10" t="n"/>
      <c r="AK93" s="10" t="n"/>
      <c r="AL93" s="10" t="n"/>
      <c r="AM93" s="10" t="n"/>
      <c r="AN93" s="10" t="n"/>
      <c r="AO93" s="10" t="n"/>
      <c r="AW93" s="10" t="n"/>
      <c r="AY93" s="10" t="n"/>
      <c r="AZ93" s="495" t="n"/>
      <c r="BE93" s="57" t="n"/>
      <c r="BF93" s="10" t="n"/>
      <c r="BG93" s="10" t="n"/>
      <c r="BH93" s="10" t="n"/>
      <c r="BI93" s="10" t="n"/>
      <c r="BJ93" s="10" t="n"/>
      <c r="BK93" s="10" t="n"/>
      <c r="BL93" s="58" t="n"/>
      <c r="BM93" s="10" t="n"/>
      <c r="BN93" s="10" t="n"/>
      <c r="BO93" s="10" t="n"/>
      <c r="BP93" s="10" t="n"/>
      <c r="BQ93" s="10" t="n"/>
      <c r="BR93" s="10" t="n"/>
      <c r="BS93" s="10" t="n"/>
      <c r="BT93" s="549" t="n"/>
      <c r="BU93" s="549" t="n"/>
      <c r="BV93" s="549" t="n"/>
      <c r="BW93" s="549" t="n"/>
      <c r="BX93" s="549" t="n"/>
      <c r="BY93" s="549" t="n"/>
      <c r="BZ93" s="549" t="n"/>
      <c r="CA93" s="10" t="n"/>
      <c r="CB93" s="10" t="n"/>
      <c r="CC93" s="10" t="n"/>
      <c r="CD93" s="10" t="n"/>
    </row>
    <row r="94" hidden="1" ht="3" customHeight="1">
      <c r="B94" s="388" t="n"/>
      <c r="C94" s="494" t="n"/>
      <c r="D94" s="10" t="n"/>
      <c r="F94" s="10" t="n"/>
      <c r="H94" s="10" t="n"/>
      <c r="J94" s="10" t="n"/>
      <c r="K94" s="10" t="n"/>
      <c r="L94" s="10" t="n"/>
      <c r="M94" s="10" t="n"/>
      <c r="N94" s="10" t="n"/>
      <c r="V94" s="10" t="n"/>
      <c r="X94" s="10" t="n"/>
      <c r="Y94" s="495" t="n"/>
      <c r="AD94" s="494" t="n"/>
      <c r="AE94" s="10" t="n"/>
      <c r="AG94" s="10" t="n"/>
      <c r="AI94" s="10" t="n"/>
      <c r="AK94" s="10" t="n"/>
      <c r="AL94" s="10" t="n"/>
      <c r="AM94" s="10" t="n"/>
      <c r="AN94" s="10" t="n"/>
      <c r="AO94" s="10" t="n"/>
      <c r="AW94" s="10" t="n"/>
      <c r="AY94" s="10" t="n"/>
      <c r="AZ94" s="495" t="n"/>
      <c r="BE94" s="57" t="n"/>
      <c r="BF94" s="10" t="n"/>
      <c r="BG94" s="10" t="n"/>
      <c r="BH94" s="10" t="n"/>
      <c r="BI94" s="10" t="n"/>
      <c r="BJ94" s="10" t="n"/>
      <c r="BK94" s="10" t="n"/>
      <c r="BL94" s="58" t="n"/>
      <c r="BM94" s="10" t="n"/>
      <c r="BN94" s="10" t="n"/>
      <c r="BO94" s="10" t="n"/>
      <c r="BP94" s="10" t="n"/>
      <c r="BQ94" s="10" t="n"/>
      <c r="BR94" s="10" t="n"/>
      <c r="BS94" s="10" t="n"/>
      <c r="BT94" s="549" t="n"/>
      <c r="BU94" s="549" t="n"/>
      <c r="BV94" s="549" t="n"/>
      <c r="BW94" s="549" t="n"/>
      <c r="BX94" s="549" t="n"/>
      <c r="BY94" s="549" t="n"/>
      <c r="BZ94" s="549" t="n"/>
      <c r="CA94" s="10" t="n"/>
      <c r="CB94" s="10" t="n"/>
      <c r="CC94" s="10" t="n"/>
      <c r="CD94" s="10" t="n"/>
    </row>
    <row r="95" hidden="1" ht="3" customHeight="1">
      <c r="B95" s="388" t="n"/>
      <c r="C95" s="494" t="n"/>
      <c r="D95" s="10" t="n"/>
      <c r="F95" s="10" t="n"/>
      <c r="H95" s="10" t="n"/>
      <c r="J95" s="10" t="n"/>
      <c r="K95" s="10" t="n"/>
      <c r="L95" s="10" t="n"/>
      <c r="M95" s="10" t="n"/>
      <c r="N95" s="366" t="n"/>
      <c r="V95" s="10" t="n"/>
      <c r="X95" s="10" t="n"/>
      <c r="Y95" s="495" t="n"/>
      <c r="AD95" s="494" t="n"/>
      <c r="AE95" s="10" t="n"/>
      <c r="AG95" s="10" t="n"/>
      <c r="AI95" s="10" t="n"/>
      <c r="AK95" s="10" t="n"/>
      <c r="AL95" s="10" t="n"/>
      <c r="AM95" s="10" t="n"/>
      <c r="AN95" s="10" t="n"/>
      <c r="AO95" s="366" t="n"/>
      <c r="AW95" s="10" t="n"/>
      <c r="AY95" s="10" t="n"/>
      <c r="AZ95" s="495" t="n"/>
      <c r="BE95" s="57" t="n"/>
      <c r="BF95" s="10" t="n"/>
      <c r="BG95" s="10" t="n"/>
      <c r="BH95" s="10" t="n"/>
      <c r="BI95" s="10" t="n"/>
      <c r="BJ95" s="10" t="n"/>
      <c r="BK95" s="10" t="n"/>
      <c r="BL95" s="58" t="n"/>
      <c r="BM95" s="10" t="n"/>
      <c r="BN95" s="10" t="n"/>
      <c r="BO95" s="10" t="n"/>
      <c r="BP95" s="10" t="n"/>
      <c r="BQ95" s="10" t="n"/>
      <c r="BR95" s="10" t="n"/>
      <c r="BS95" s="366" t="n"/>
      <c r="BT95" s="549" t="n"/>
      <c r="BU95" s="549" t="n"/>
      <c r="BV95" s="549" t="n"/>
      <c r="BW95" s="549" t="n"/>
      <c r="BX95" s="549" t="n"/>
      <c r="BY95" s="549" t="n"/>
      <c r="BZ95" s="549" t="n"/>
      <c r="CA95" s="10" t="n"/>
      <c r="CB95" s="10" t="n"/>
      <c r="CC95" s="10" t="n"/>
      <c r="CD95" s="10" t="n"/>
    </row>
    <row r="96" hidden="1" ht="3" customHeight="1">
      <c r="C96" s="494" t="n"/>
      <c r="D96" s="10" t="n"/>
      <c r="F96" s="10" t="n"/>
      <c r="H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8" t="n"/>
      <c r="AD96" s="494" t="n"/>
      <c r="AE96" s="10" t="n"/>
      <c r="AG96" s="10" t="n"/>
      <c r="AI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8" t="n"/>
      <c r="BE96" s="57" t="n"/>
      <c r="BF96" s="10" t="n"/>
      <c r="BG96" s="10" t="n"/>
      <c r="BH96" s="10" t="n"/>
      <c r="BI96" s="10" t="n"/>
      <c r="BJ96" s="10" t="n"/>
      <c r="BK96" s="10" t="n"/>
      <c r="BL96" s="58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</row>
    <row r="97" hidden="1" ht="9" customHeight="1">
      <c r="C97" s="9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8" t="n"/>
      <c r="AD97" s="9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8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</row>
    <row r="98" hidden="1" ht="3" customHeight="1">
      <c r="B98" s="388" t="n"/>
      <c r="C98" s="365" t="inlineStr">
        <is>
          <t>PMT</t>
        </is>
      </c>
      <c r="D98" s="10" t="n"/>
      <c r="E98" s="366" t="inlineStr">
        <is>
          <t>=</t>
        </is>
      </c>
      <c r="F98" s="10" t="n"/>
      <c r="G98" s="391">
        <f>G82</f>
        <v/>
      </c>
      <c r="H98" s="10" t="n"/>
      <c r="I98" s="366" t="inlineStr">
        <is>
          <t>x</t>
        </is>
      </c>
      <c r="J98" s="10" t="n"/>
      <c r="K98" s="10" t="n"/>
      <c r="L98" s="10" t="n"/>
      <c r="M98" s="10" t="n"/>
      <c r="N98" s="366" t="n"/>
      <c r="O98" s="547">
        <f>O82*Y82</f>
        <v/>
      </c>
      <c r="V98" s="10" t="n"/>
      <c r="W98" s="10" t="n"/>
      <c r="X98" s="10" t="n"/>
      <c r="Y98" s="18" t="n"/>
      <c r="AD98" s="365" t="inlineStr">
        <is>
          <t>PMT</t>
        </is>
      </c>
      <c r="AE98" s="10" t="n"/>
      <c r="AF98" s="366" t="inlineStr">
        <is>
          <t>=</t>
        </is>
      </c>
      <c r="AG98" s="10" t="n"/>
      <c r="AH98" s="391">
        <f>AH82</f>
        <v/>
      </c>
      <c r="AI98" s="10" t="n"/>
      <c r="AJ98" s="366" t="inlineStr">
        <is>
          <t>x</t>
        </is>
      </c>
      <c r="AK98" s="10" t="n"/>
      <c r="AL98" s="10" t="n"/>
      <c r="AM98" s="10" t="n"/>
      <c r="AN98" s="10" t="n"/>
      <c r="AO98" s="366" t="n"/>
      <c r="AP98" s="547">
        <f>AP82*AZ82</f>
        <v/>
      </c>
      <c r="AW98" s="10" t="n"/>
      <c r="AX98" s="10" t="n"/>
      <c r="AY98" s="10" t="n"/>
      <c r="AZ98" s="18" t="n"/>
      <c r="BE98" s="57" t="n"/>
      <c r="BF98" s="10" t="n"/>
      <c r="BG98" s="10" t="n"/>
      <c r="BH98" s="10" t="n"/>
      <c r="BI98" s="10" t="n"/>
      <c r="BJ98" s="10" t="n"/>
      <c r="BK98" s="10" t="n"/>
      <c r="BL98" s="58" t="n"/>
      <c r="BM98" s="10" t="n"/>
      <c r="BN98" s="10" t="n"/>
      <c r="BO98" s="10" t="n"/>
      <c r="BP98" s="10" t="n"/>
      <c r="BQ98" s="10" t="n"/>
      <c r="BR98" s="10" t="n"/>
      <c r="BS98" s="366" t="n"/>
      <c r="BT98" s="549" t="n"/>
      <c r="BU98" s="550" t="n"/>
      <c r="BV98" s="550" t="n"/>
      <c r="BW98" s="550" t="n"/>
      <c r="BX98" s="550" t="n"/>
      <c r="BY98" s="550" t="n"/>
      <c r="BZ98" s="550" t="n"/>
      <c r="CA98" s="10" t="n"/>
      <c r="CB98" s="10" t="n"/>
      <c r="CC98" s="10" t="n"/>
      <c r="CD98" s="10" t="n"/>
    </row>
    <row r="99" hidden="1" ht="3" customHeight="1">
      <c r="B99" s="388" t="n"/>
      <c r="C99" s="494" t="n"/>
      <c r="D99" s="10" t="n"/>
      <c r="F99" s="10" t="n"/>
      <c r="H99" s="10" t="n"/>
      <c r="J99" s="10" t="n"/>
      <c r="K99" s="10" t="n"/>
      <c r="L99" s="10" t="n"/>
      <c r="M99" s="10" t="n"/>
      <c r="N99" s="366" t="n"/>
      <c r="V99" s="30" t="n"/>
      <c r="W99" s="30" t="n"/>
      <c r="X99" s="30" t="n"/>
      <c r="Y99" s="21" t="n"/>
      <c r="Z99" s="22" t="n"/>
      <c r="AA99" s="22" t="n"/>
      <c r="AD99" s="494" t="n"/>
      <c r="AE99" s="10" t="n"/>
      <c r="AG99" s="10" t="n"/>
      <c r="AI99" s="10" t="n"/>
      <c r="AK99" s="10" t="n"/>
      <c r="AL99" s="10" t="n"/>
      <c r="AM99" s="10" t="n"/>
      <c r="AN99" s="10" t="n"/>
      <c r="AO99" s="366" t="n"/>
      <c r="AW99" s="30" t="n"/>
      <c r="AX99" s="30" t="n"/>
      <c r="AY99" s="30" t="n"/>
      <c r="AZ99" s="21" t="n"/>
      <c r="BE99" s="57" t="n"/>
      <c r="BF99" s="10" t="n"/>
      <c r="BG99" s="10" t="n"/>
      <c r="BH99" s="10" t="n"/>
      <c r="BI99" s="10" t="n"/>
      <c r="BJ99" s="10" t="n"/>
      <c r="BK99" s="10" t="n"/>
      <c r="BL99" s="58" t="n"/>
      <c r="BM99" s="10" t="n"/>
      <c r="BN99" s="10" t="n"/>
      <c r="BO99" s="10" t="n"/>
      <c r="BP99" s="10" t="n"/>
      <c r="BQ99" s="10" t="n"/>
      <c r="BR99" s="10" t="n"/>
      <c r="BS99" s="366" t="n"/>
      <c r="BT99" s="550" t="n"/>
      <c r="BU99" s="550" t="n"/>
      <c r="BV99" s="550" t="n"/>
      <c r="BW99" s="550" t="n"/>
      <c r="BX99" s="550" t="n"/>
      <c r="BY99" s="550" t="n"/>
      <c r="BZ99" s="550" t="n"/>
      <c r="CA99" s="30" t="n"/>
      <c r="CB99" s="30" t="n"/>
      <c r="CC99" s="30" t="n"/>
      <c r="CD99" s="30" t="n"/>
    </row>
    <row r="100" hidden="1" ht="3" customHeight="1">
      <c r="B100" s="388" t="n"/>
      <c r="C100" s="494" t="n"/>
      <c r="D100" s="10" t="n"/>
      <c r="F100" s="10" t="n"/>
      <c r="H100" s="10" t="n"/>
      <c r="J100" s="10" t="n"/>
      <c r="K100" s="10" t="n"/>
      <c r="L100" s="10" t="n"/>
      <c r="M100" s="10" t="n"/>
      <c r="N100" s="366" t="n"/>
      <c r="V100" s="30" t="n"/>
      <c r="W100" s="30" t="n"/>
      <c r="X100" s="30" t="n"/>
      <c r="Y100" s="21" t="n"/>
      <c r="Z100" s="22" t="n"/>
      <c r="AA100" s="22" t="n"/>
      <c r="AD100" s="494" t="n"/>
      <c r="AE100" s="10" t="n"/>
      <c r="AG100" s="10" t="n"/>
      <c r="AI100" s="10" t="n"/>
      <c r="AK100" s="10" t="n"/>
      <c r="AL100" s="10" t="n"/>
      <c r="AM100" s="10" t="n"/>
      <c r="AN100" s="10" t="n"/>
      <c r="AO100" s="366" t="n"/>
      <c r="AW100" s="30" t="n"/>
      <c r="AX100" s="30" t="n"/>
      <c r="AY100" s="30" t="n"/>
      <c r="AZ100" s="21" t="n"/>
      <c r="BE100" s="57" t="n"/>
      <c r="BF100" s="10" t="n"/>
      <c r="BG100" s="10" t="n"/>
      <c r="BH100" s="10" t="n"/>
      <c r="BI100" s="10" t="n"/>
      <c r="BJ100" s="10" t="n"/>
      <c r="BK100" s="10" t="n"/>
      <c r="BL100" s="58" t="n"/>
      <c r="BM100" s="10" t="n"/>
      <c r="BN100" s="10" t="n"/>
      <c r="BO100" s="10" t="n"/>
      <c r="BP100" s="10" t="n"/>
      <c r="BQ100" s="10" t="n"/>
      <c r="BR100" s="10" t="n"/>
      <c r="BS100" s="366" t="n"/>
      <c r="BT100" s="550" t="n"/>
      <c r="BU100" s="550" t="n"/>
      <c r="BV100" s="550" t="n"/>
      <c r="BW100" s="550" t="n"/>
      <c r="BX100" s="550" t="n"/>
      <c r="BY100" s="550" t="n"/>
      <c r="BZ100" s="550" t="n"/>
      <c r="CA100" s="30" t="n"/>
      <c r="CB100" s="30" t="n"/>
      <c r="CC100" s="30" t="n"/>
      <c r="CD100" s="30" t="n"/>
    </row>
    <row r="101" hidden="1" ht="3" customHeight="1">
      <c r="B101" s="388" t="n"/>
      <c r="C101" s="494" t="n"/>
      <c r="D101" s="10" t="n"/>
      <c r="F101" s="10" t="n"/>
      <c r="H101" s="10" t="n"/>
      <c r="J101" s="10" t="n"/>
      <c r="K101" s="10" t="n"/>
      <c r="L101" s="10" t="n"/>
      <c r="M101" s="10" t="n"/>
      <c r="N101" s="10" t="n"/>
      <c r="V101" s="30" t="n"/>
      <c r="W101" s="30" t="n"/>
      <c r="X101" s="30" t="n"/>
      <c r="Y101" s="21" t="n"/>
      <c r="Z101" s="22" t="n"/>
      <c r="AA101" s="22" t="n"/>
      <c r="AD101" s="494" t="n"/>
      <c r="AE101" s="10" t="n"/>
      <c r="AG101" s="10" t="n"/>
      <c r="AI101" s="10" t="n"/>
      <c r="AK101" s="10" t="n"/>
      <c r="AL101" s="10" t="n"/>
      <c r="AM101" s="10" t="n"/>
      <c r="AN101" s="10" t="n"/>
      <c r="AO101" s="10" t="n"/>
      <c r="AW101" s="30" t="n"/>
      <c r="AX101" s="30" t="n"/>
      <c r="AY101" s="30" t="n"/>
      <c r="AZ101" s="21" t="n"/>
      <c r="BE101" s="57" t="n"/>
      <c r="BF101" s="10" t="n"/>
      <c r="BG101" s="10" t="n"/>
      <c r="BH101" s="10" t="n"/>
      <c r="BI101" s="10" t="n"/>
      <c r="BJ101" s="10" t="n"/>
      <c r="BK101" s="10" t="n"/>
      <c r="BL101" s="58" t="n"/>
      <c r="BM101" s="10" t="n"/>
      <c r="BN101" s="10" t="n"/>
      <c r="BO101" s="10" t="n"/>
      <c r="BP101" s="10" t="n"/>
      <c r="BQ101" s="10" t="n"/>
      <c r="BR101" s="10" t="n"/>
      <c r="BS101" s="10" t="n"/>
      <c r="BT101" s="550" t="n"/>
      <c r="BU101" s="550" t="n"/>
      <c r="BV101" s="550" t="n"/>
      <c r="BW101" s="550" t="n"/>
      <c r="BX101" s="550" t="n"/>
      <c r="BY101" s="550" t="n"/>
      <c r="BZ101" s="550" t="n"/>
      <c r="CA101" s="30" t="n"/>
      <c r="CB101" s="30" t="n"/>
      <c r="CC101" s="30" t="n"/>
      <c r="CD101" s="30" t="n"/>
    </row>
    <row r="102" hidden="1" ht="3" customHeight="1">
      <c r="B102" s="388" t="n"/>
      <c r="C102" s="494" t="n"/>
      <c r="D102" s="10" t="n"/>
      <c r="F102" s="10" t="n"/>
      <c r="H102" s="10" t="n"/>
      <c r="J102" s="10" t="n"/>
      <c r="K102" s="10" t="n"/>
      <c r="L102" s="10" t="n"/>
      <c r="M102" s="10" t="n"/>
      <c r="N102" s="10" t="n"/>
      <c r="V102" s="30" t="n"/>
      <c r="W102" s="30" t="n"/>
      <c r="X102" s="30" t="n"/>
      <c r="Y102" s="21" t="n"/>
      <c r="Z102" s="22" t="n"/>
      <c r="AA102" s="22" t="n"/>
      <c r="AD102" s="494" t="n"/>
      <c r="AE102" s="10" t="n"/>
      <c r="AG102" s="10" t="n"/>
      <c r="AI102" s="10" t="n"/>
      <c r="AK102" s="10" t="n"/>
      <c r="AL102" s="10" t="n"/>
      <c r="AM102" s="10" t="n"/>
      <c r="AN102" s="10" t="n"/>
      <c r="AO102" s="10" t="n"/>
      <c r="AW102" s="30" t="n"/>
      <c r="AX102" s="30" t="n"/>
      <c r="AY102" s="30" t="n"/>
      <c r="AZ102" s="21" t="n"/>
      <c r="BE102" s="57" t="n"/>
      <c r="BF102" s="10" t="n"/>
      <c r="BG102" s="10" t="n"/>
      <c r="BH102" s="10" t="n"/>
      <c r="BI102" s="10" t="n"/>
      <c r="BJ102" s="10" t="n"/>
      <c r="BK102" s="10" t="n"/>
      <c r="BL102" s="58" t="n"/>
      <c r="BM102" s="10" t="n"/>
      <c r="BN102" s="10" t="n"/>
      <c r="BO102" s="10" t="n"/>
      <c r="BP102" s="10" t="n"/>
      <c r="BQ102" s="10" t="n"/>
      <c r="BR102" s="10" t="n"/>
      <c r="BS102" s="10" t="n"/>
      <c r="BT102" s="550" t="n"/>
      <c r="BU102" s="550" t="n"/>
      <c r="BV102" s="550" t="n"/>
      <c r="BW102" s="550" t="n"/>
      <c r="BX102" s="550" t="n"/>
      <c r="BY102" s="550" t="n"/>
      <c r="BZ102" s="550" t="n"/>
      <c r="CA102" s="30" t="n"/>
      <c r="CB102" s="30" t="n"/>
      <c r="CC102" s="30" t="n"/>
      <c r="CD102" s="30" t="n"/>
    </row>
    <row r="103" hidden="1" ht="3" customHeight="1">
      <c r="B103" s="388" t="n"/>
      <c r="C103" s="494" t="n"/>
      <c r="D103" s="10" t="n"/>
      <c r="F103" s="10" t="n"/>
      <c r="H103" s="10" t="n"/>
      <c r="J103" s="10" t="n"/>
      <c r="K103" s="10" t="n"/>
      <c r="L103" s="10" t="n"/>
      <c r="M103" s="10" t="n"/>
      <c r="N103" s="366" t="n"/>
      <c r="V103" s="30" t="n"/>
      <c r="W103" s="30" t="n"/>
      <c r="X103" s="30" t="n"/>
      <c r="Y103" s="21" t="n"/>
      <c r="Z103" s="22" t="n"/>
      <c r="AA103" s="22" t="n"/>
      <c r="AD103" s="494" t="n"/>
      <c r="AE103" s="10" t="n"/>
      <c r="AG103" s="10" t="n"/>
      <c r="AI103" s="10" t="n"/>
      <c r="AK103" s="10" t="n"/>
      <c r="AL103" s="10" t="n"/>
      <c r="AM103" s="10" t="n"/>
      <c r="AN103" s="10" t="n"/>
      <c r="AO103" s="366" t="n"/>
      <c r="AW103" s="30" t="n"/>
      <c r="AX103" s="30" t="n"/>
      <c r="AY103" s="30" t="n"/>
      <c r="AZ103" s="21" t="n"/>
      <c r="BE103" s="57" t="n"/>
      <c r="BF103" s="10" t="n"/>
      <c r="BG103" s="10" t="n"/>
      <c r="BH103" s="10" t="n"/>
      <c r="BI103" s="10" t="n"/>
      <c r="BJ103" s="10" t="n"/>
      <c r="BK103" s="10" t="n"/>
      <c r="BL103" s="58" t="n"/>
      <c r="BM103" s="10" t="n"/>
      <c r="BN103" s="10" t="n"/>
      <c r="BO103" s="10" t="n"/>
      <c r="BP103" s="10" t="n"/>
      <c r="BQ103" s="10" t="n"/>
      <c r="BR103" s="10" t="n"/>
      <c r="BS103" s="366" t="n"/>
      <c r="BT103" s="550" t="n"/>
      <c r="BU103" s="550" t="n"/>
      <c r="BV103" s="550" t="n"/>
      <c r="BW103" s="550" t="n"/>
      <c r="BX103" s="550" t="n"/>
      <c r="BY103" s="550" t="n"/>
      <c r="BZ103" s="550" t="n"/>
      <c r="CA103" s="30" t="n"/>
      <c r="CB103" s="30" t="n"/>
      <c r="CC103" s="30" t="n"/>
      <c r="CD103" s="30" t="n"/>
    </row>
    <row r="104" hidden="1" ht="3" customHeight="1">
      <c r="B104" s="388" t="n"/>
      <c r="C104" s="494" t="n"/>
      <c r="D104" s="366" t="n"/>
      <c r="F104" s="10" t="n"/>
      <c r="H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30" t="n"/>
      <c r="W104" s="30" t="n"/>
      <c r="X104" s="30" t="n"/>
      <c r="Y104" s="21" t="n"/>
      <c r="Z104" s="22" t="n"/>
      <c r="AA104" s="22" t="n"/>
      <c r="AD104" s="494" t="n"/>
      <c r="AE104" s="366" t="n"/>
      <c r="AG104" s="10" t="n"/>
      <c r="AI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30" t="n"/>
      <c r="AX104" s="30" t="n"/>
      <c r="AY104" s="30" t="n"/>
      <c r="AZ104" s="21" t="n"/>
      <c r="BE104" s="57" t="n"/>
      <c r="BF104" s="366" t="n"/>
      <c r="BG104" s="10" t="n"/>
      <c r="BH104" s="10" t="n"/>
      <c r="BI104" s="10" t="n"/>
      <c r="BJ104" s="10" t="n"/>
      <c r="BK104" s="10" t="n"/>
      <c r="BL104" s="58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30" t="n"/>
      <c r="CB104" s="30" t="n"/>
      <c r="CC104" s="30" t="n"/>
      <c r="CD104" s="30" t="n"/>
    </row>
    <row r="105" hidden="1" ht="3" customHeight="1">
      <c r="B105" s="388" t="n"/>
      <c r="C105" s="494" t="n"/>
      <c r="D105" s="366" t="n"/>
      <c r="F105" s="10" t="n"/>
      <c r="H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30" t="n"/>
      <c r="W105" s="30" t="n"/>
      <c r="X105" s="30" t="n"/>
      <c r="Y105" s="21" t="n"/>
      <c r="Z105" s="22" t="n"/>
      <c r="AA105" s="22" t="n"/>
      <c r="AD105" s="494" t="n"/>
      <c r="AE105" s="366" t="n"/>
      <c r="AG105" s="10" t="n"/>
      <c r="AI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30" t="n"/>
      <c r="AX105" s="30" t="n"/>
      <c r="AY105" s="30" t="n"/>
      <c r="AZ105" s="21" t="n"/>
      <c r="BE105" s="57" t="n"/>
      <c r="BF105" s="366" t="n"/>
      <c r="BG105" s="10" t="n"/>
      <c r="BH105" s="10" t="n"/>
      <c r="BI105" s="10" t="n"/>
      <c r="BJ105" s="10" t="n"/>
      <c r="BK105" s="10" t="n"/>
      <c r="BL105" s="58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30" t="n"/>
      <c r="CB105" s="30" t="n"/>
      <c r="CC105" s="30" t="n"/>
      <c r="CD105" s="30" t="n"/>
    </row>
    <row r="106" hidden="1" ht="3" customHeight="1">
      <c r="B106" s="388" t="n"/>
      <c r="C106" s="494" t="n"/>
      <c r="D106" s="10" t="n"/>
      <c r="F106" s="10" t="n"/>
      <c r="H106" s="10" t="n"/>
      <c r="J106" s="10" t="n"/>
      <c r="K106" s="10" t="n"/>
      <c r="L106" s="10" t="n"/>
      <c r="M106" s="10" t="n"/>
      <c r="N106" s="366" t="n"/>
      <c r="O106" s="547">
        <f>O90-Y90</f>
        <v/>
      </c>
      <c r="V106" s="30" t="n"/>
      <c r="W106" s="30" t="n"/>
      <c r="X106" s="30" t="n"/>
      <c r="Y106" s="21" t="n"/>
      <c r="Z106" s="22" t="n"/>
      <c r="AA106" s="22" t="n"/>
      <c r="AD106" s="494" t="n"/>
      <c r="AE106" s="10" t="n"/>
      <c r="AG106" s="10" t="n"/>
      <c r="AI106" s="10" t="n"/>
      <c r="AK106" s="10" t="n"/>
      <c r="AL106" s="10" t="n"/>
      <c r="AM106" s="10" t="n"/>
      <c r="AN106" s="10" t="n"/>
      <c r="AO106" s="366" t="n"/>
      <c r="AP106" s="547">
        <f>AP90-AZ90</f>
        <v/>
      </c>
      <c r="AW106" s="30" t="n"/>
      <c r="AX106" s="30" t="n"/>
      <c r="AY106" s="30" t="n"/>
      <c r="AZ106" s="21" t="n"/>
      <c r="BE106" s="57" t="n"/>
      <c r="BF106" s="10" t="n"/>
      <c r="BG106" s="10" t="n"/>
      <c r="BH106" s="10" t="n"/>
      <c r="BI106" s="10" t="n"/>
      <c r="BJ106" s="10" t="n"/>
      <c r="BK106" s="10" t="n"/>
      <c r="BL106" s="58" t="n"/>
      <c r="BM106" s="10" t="n"/>
      <c r="BN106" s="10" t="n"/>
      <c r="BO106" s="10" t="n"/>
      <c r="BP106" s="10" t="n"/>
      <c r="BQ106" s="10" t="n"/>
      <c r="BR106" s="10" t="n"/>
      <c r="BS106" s="366" t="n"/>
      <c r="BT106" s="549" t="n"/>
      <c r="BU106" s="550" t="n"/>
      <c r="BV106" s="550" t="n"/>
      <c r="BW106" s="550" t="n"/>
      <c r="BX106" s="550" t="n"/>
      <c r="BY106" s="550" t="n"/>
      <c r="BZ106" s="550" t="n"/>
      <c r="CA106" s="30" t="n"/>
      <c r="CB106" s="30" t="n"/>
      <c r="CC106" s="30" t="n"/>
      <c r="CD106" s="30" t="n"/>
    </row>
    <row r="107" hidden="1" ht="3" customHeight="1">
      <c r="B107" s="388" t="n"/>
      <c r="C107" s="494" t="n"/>
      <c r="D107" s="10" t="n"/>
      <c r="F107" s="10" t="n"/>
      <c r="H107" s="10" t="n"/>
      <c r="J107" s="10" t="n"/>
      <c r="K107" s="10" t="n"/>
      <c r="L107" s="10" t="n"/>
      <c r="M107" s="10" t="n"/>
      <c r="N107" s="366" t="n"/>
      <c r="V107" s="30" t="n"/>
      <c r="W107" s="30" t="n"/>
      <c r="X107" s="30" t="n"/>
      <c r="Y107" s="21" t="n"/>
      <c r="Z107" s="22" t="n"/>
      <c r="AA107" s="22" t="n"/>
      <c r="AD107" s="494" t="n"/>
      <c r="AE107" s="10" t="n"/>
      <c r="AG107" s="10" t="n"/>
      <c r="AI107" s="10" t="n"/>
      <c r="AK107" s="10" t="n"/>
      <c r="AL107" s="10" t="n"/>
      <c r="AM107" s="10" t="n"/>
      <c r="AN107" s="10" t="n"/>
      <c r="AO107" s="366" t="n"/>
      <c r="AW107" s="30" t="n"/>
      <c r="AX107" s="30" t="n"/>
      <c r="AY107" s="30" t="n"/>
      <c r="AZ107" s="21" t="n"/>
      <c r="BE107" s="57" t="n"/>
      <c r="BF107" s="10" t="n"/>
      <c r="BG107" s="10" t="n"/>
      <c r="BH107" s="10" t="n"/>
      <c r="BI107" s="10" t="n"/>
      <c r="BJ107" s="10" t="n"/>
      <c r="BK107" s="10" t="n"/>
      <c r="BL107" s="58" t="n"/>
      <c r="BM107" s="10" t="n"/>
      <c r="BN107" s="10" t="n"/>
      <c r="BO107" s="10" t="n"/>
      <c r="BP107" s="10" t="n"/>
      <c r="BQ107" s="10" t="n"/>
      <c r="BR107" s="10" t="n"/>
      <c r="BS107" s="366" t="n"/>
      <c r="BT107" s="550" t="n"/>
      <c r="BU107" s="550" t="n"/>
      <c r="BV107" s="550" t="n"/>
      <c r="BW107" s="550" t="n"/>
      <c r="BX107" s="550" t="n"/>
      <c r="BY107" s="550" t="n"/>
      <c r="BZ107" s="550" t="n"/>
      <c r="CA107" s="30" t="n"/>
      <c r="CB107" s="30" t="n"/>
      <c r="CC107" s="30" t="n"/>
      <c r="CD107" s="30" t="n"/>
    </row>
    <row r="108" hidden="1" ht="3" customHeight="1">
      <c r="B108" s="388" t="n"/>
      <c r="C108" s="494" t="n"/>
      <c r="D108" s="10" t="n"/>
      <c r="F108" s="10" t="n"/>
      <c r="H108" s="10" t="n"/>
      <c r="J108" s="10" t="n"/>
      <c r="K108" s="10" t="n"/>
      <c r="L108" s="10" t="n"/>
      <c r="M108" s="10" t="n"/>
      <c r="N108" s="366" t="n"/>
      <c r="V108" s="30" t="n"/>
      <c r="W108" s="30" t="n"/>
      <c r="X108" s="30" t="n"/>
      <c r="Y108" s="21" t="n"/>
      <c r="Z108" s="22" t="n"/>
      <c r="AA108" s="22" t="n"/>
      <c r="AD108" s="494" t="n"/>
      <c r="AE108" s="10" t="n"/>
      <c r="AG108" s="10" t="n"/>
      <c r="AI108" s="10" t="n"/>
      <c r="AK108" s="10" t="n"/>
      <c r="AL108" s="10" t="n"/>
      <c r="AM108" s="10" t="n"/>
      <c r="AN108" s="10" t="n"/>
      <c r="AO108" s="366" t="n"/>
      <c r="AW108" s="30" t="n"/>
      <c r="AX108" s="30" t="n"/>
      <c r="AY108" s="30" t="n"/>
      <c r="AZ108" s="21" t="n"/>
      <c r="BE108" s="57" t="n"/>
      <c r="BF108" s="10" t="n"/>
      <c r="BG108" s="10" t="n"/>
      <c r="BH108" s="10" t="n"/>
      <c r="BI108" s="10" t="n"/>
      <c r="BJ108" s="10" t="n"/>
      <c r="BK108" s="10" t="n"/>
      <c r="BL108" s="58" t="n"/>
      <c r="BM108" s="10" t="n"/>
      <c r="BN108" s="10" t="n"/>
      <c r="BO108" s="10" t="n"/>
      <c r="BP108" s="10" t="n"/>
      <c r="BQ108" s="10" t="n"/>
      <c r="BR108" s="10" t="n"/>
      <c r="BS108" s="366" t="n"/>
      <c r="BT108" s="550" t="n"/>
      <c r="BU108" s="550" t="n"/>
      <c r="BV108" s="550" t="n"/>
      <c r="BW108" s="550" t="n"/>
      <c r="BX108" s="550" t="n"/>
      <c r="BY108" s="550" t="n"/>
      <c r="BZ108" s="550" t="n"/>
      <c r="CA108" s="30" t="n"/>
      <c r="CB108" s="30" t="n"/>
      <c r="CC108" s="30" t="n"/>
      <c r="CD108" s="30" t="n"/>
    </row>
    <row r="109" hidden="1" ht="3" customHeight="1">
      <c r="B109" s="388" t="n"/>
      <c r="C109" s="494" t="n"/>
      <c r="D109" s="10" t="n"/>
      <c r="F109" s="10" t="n"/>
      <c r="H109" s="10" t="n"/>
      <c r="J109" s="10" t="n"/>
      <c r="K109" s="10" t="n"/>
      <c r="L109" s="10" t="n"/>
      <c r="M109" s="10" t="n"/>
      <c r="N109" s="10" t="n"/>
      <c r="V109" s="30" t="n"/>
      <c r="W109" s="30" t="n"/>
      <c r="X109" s="30" t="n"/>
      <c r="Y109" s="21" t="n"/>
      <c r="Z109" s="22" t="n"/>
      <c r="AA109" s="22" t="n"/>
      <c r="AD109" s="494" t="n"/>
      <c r="AE109" s="10" t="n"/>
      <c r="AG109" s="10" t="n"/>
      <c r="AI109" s="10" t="n"/>
      <c r="AK109" s="10" t="n"/>
      <c r="AL109" s="10" t="n"/>
      <c r="AM109" s="10" t="n"/>
      <c r="AN109" s="10" t="n"/>
      <c r="AO109" s="10" t="n"/>
      <c r="AW109" s="30" t="n"/>
      <c r="AX109" s="30" t="n"/>
      <c r="AY109" s="30" t="n"/>
      <c r="AZ109" s="21" t="n"/>
      <c r="BE109" s="57" t="n"/>
      <c r="BF109" s="10" t="n"/>
      <c r="BG109" s="10" t="n"/>
      <c r="BH109" s="10" t="n"/>
      <c r="BI109" s="10" t="n"/>
      <c r="BJ109" s="10" t="n"/>
      <c r="BK109" s="10" t="n"/>
      <c r="BL109" s="58" t="n"/>
      <c r="BM109" s="10" t="n"/>
      <c r="BN109" s="10" t="n"/>
      <c r="BO109" s="10" t="n"/>
      <c r="BP109" s="10" t="n"/>
      <c r="BQ109" s="10" t="n"/>
      <c r="BR109" s="10" t="n"/>
      <c r="BS109" s="10" t="n"/>
      <c r="BT109" s="550" t="n"/>
      <c r="BU109" s="550" t="n"/>
      <c r="BV109" s="550" t="n"/>
      <c r="BW109" s="550" t="n"/>
      <c r="BX109" s="550" t="n"/>
      <c r="BY109" s="550" t="n"/>
      <c r="BZ109" s="550" t="n"/>
      <c r="CA109" s="30" t="n"/>
      <c r="CB109" s="30" t="n"/>
      <c r="CC109" s="30" t="n"/>
      <c r="CD109" s="30" t="n"/>
    </row>
    <row r="110" hidden="1" ht="3" customHeight="1">
      <c r="B110" s="388" t="n"/>
      <c r="C110" s="494" t="n"/>
      <c r="D110" s="10" t="n"/>
      <c r="F110" s="10" t="n"/>
      <c r="H110" s="10" t="n"/>
      <c r="J110" s="10" t="n"/>
      <c r="K110" s="10" t="n"/>
      <c r="L110" s="10" t="n"/>
      <c r="M110" s="10" t="n"/>
      <c r="N110" s="10" t="n"/>
      <c r="V110" s="30" t="n"/>
      <c r="W110" s="30" t="n"/>
      <c r="X110" s="30" t="n"/>
      <c r="Y110" s="21" t="n"/>
      <c r="Z110" s="22" t="n"/>
      <c r="AA110" s="22" t="n"/>
      <c r="AD110" s="494" t="n"/>
      <c r="AE110" s="10" t="n"/>
      <c r="AG110" s="10" t="n"/>
      <c r="AI110" s="10" t="n"/>
      <c r="AK110" s="10" t="n"/>
      <c r="AL110" s="10" t="n"/>
      <c r="AM110" s="10" t="n"/>
      <c r="AN110" s="10" t="n"/>
      <c r="AO110" s="10" t="n"/>
      <c r="AW110" s="30" t="n"/>
      <c r="AX110" s="30" t="n"/>
      <c r="AY110" s="30" t="n"/>
      <c r="AZ110" s="21" t="n"/>
      <c r="BE110" s="57" t="n"/>
      <c r="BF110" s="10" t="n"/>
      <c r="BG110" s="10" t="n"/>
      <c r="BH110" s="10" t="n"/>
      <c r="BI110" s="10" t="n"/>
      <c r="BJ110" s="10" t="n"/>
      <c r="BK110" s="10" t="n"/>
      <c r="BL110" s="58" t="n"/>
      <c r="BM110" s="10" t="n"/>
      <c r="BN110" s="10" t="n"/>
      <c r="BO110" s="10" t="n"/>
      <c r="BP110" s="10" t="n"/>
      <c r="BQ110" s="10" t="n"/>
      <c r="BR110" s="10" t="n"/>
      <c r="BS110" s="10" t="n"/>
      <c r="BT110" s="550" t="n"/>
      <c r="BU110" s="550" t="n"/>
      <c r="BV110" s="550" t="n"/>
      <c r="BW110" s="550" t="n"/>
      <c r="BX110" s="550" t="n"/>
      <c r="BY110" s="550" t="n"/>
      <c r="BZ110" s="550" t="n"/>
      <c r="CA110" s="30" t="n"/>
      <c r="CB110" s="30" t="n"/>
      <c r="CC110" s="30" t="n"/>
      <c r="CD110" s="30" t="n"/>
    </row>
    <row r="111" hidden="1" ht="3" customHeight="1">
      <c r="B111" s="388" t="n"/>
      <c r="C111" s="494" t="n"/>
      <c r="D111" s="10" t="n"/>
      <c r="F111" s="10" t="n"/>
      <c r="H111" s="10" t="n"/>
      <c r="J111" s="10" t="n"/>
      <c r="K111" s="10" t="n"/>
      <c r="L111" s="10" t="n"/>
      <c r="M111" s="10" t="n"/>
      <c r="N111" s="366" t="n"/>
      <c r="V111" s="10" t="n"/>
      <c r="W111" s="10" t="n"/>
      <c r="X111" s="10" t="n"/>
      <c r="Y111" s="18" t="n"/>
      <c r="AD111" s="494" t="n"/>
      <c r="AE111" s="10" t="n"/>
      <c r="AG111" s="10" t="n"/>
      <c r="AI111" s="10" t="n"/>
      <c r="AK111" s="10" t="n"/>
      <c r="AL111" s="10" t="n"/>
      <c r="AM111" s="10" t="n"/>
      <c r="AN111" s="10" t="n"/>
      <c r="AO111" s="366" t="n"/>
      <c r="AW111" s="10" t="n"/>
      <c r="AX111" s="10" t="n"/>
      <c r="AY111" s="10" t="n"/>
      <c r="AZ111" s="18" t="n"/>
      <c r="BE111" s="57" t="n"/>
      <c r="BF111" s="10" t="n"/>
      <c r="BG111" s="10" t="n"/>
      <c r="BH111" s="10" t="n"/>
      <c r="BI111" s="10" t="n"/>
      <c r="BJ111" s="10" t="n"/>
      <c r="BK111" s="10" t="n"/>
      <c r="BL111" s="58" t="n"/>
      <c r="BM111" s="10" t="n"/>
      <c r="BN111" s="10" t="n"/>
      <c r="BO111" s="10" t="n"/>
      <c r="BP111" s="10" t="n"/>
      <c r="BQ111" s="10" t="n"/>
      <c r="BR111" s="10" t="n"/>
      <c r="BS111" s="366" t="n"/>
      <c r="BT111" s="550" t="n"/>
      <c r="BU111" s="550" t="n"/>
      <c r="BV111" s="550" t="n"/>
      <c r="BW111" s="550" t="n"/>
      <c r="BX111" s="550" t="n"/>
      <c r="BY111" s="550" t="n"/>
      <c r="BZ111" s="550" t="n"/>
      <c r="CA111" s="10" t="n"/>
      <c r="CB111" s="10" t="n"/>
      <c r="CC111" s="10" t="n"/>
      <c r="CD111" s="10" t="n"/>
    </row>
    <row r="112" hidden="1" ht="3" customHeight="1">
      <c r="C112" s="494" t="n"/>
      <c r="D112" s="10" t="n"/>
      <c r="F112" s="10" t="n"/>
      <c r="H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8" t="n"/>
      <c r="AD112" s="494" t="n"/>
      <c r="AE112" s="10" t="n"/>
      <c r="AG112" s="10" t="n"/>
      <c r="AI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8" t="n"/>
      <c r="BE112" s="57" t="n"/>
      <c r="BF112" s="10" t="n"/>
      <c r="BG112" s="10" t="n"/>
      <c r="BH112" s="10" t="n"/>
      <c r="BI112" s="10" t="n"/>
      <c r="BJ112" s="10" t="n"/>
      <c r="BK112" s="10" t="n"/>
      <c r="BL112" s="58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</row>
    <row r="113" hidden="1" ht="9" customHeight="1">
      <c r="C113" s="9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8" t="n"/>
      <c r="AD113" s="9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8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</row>
    <row r="114" hidden="1" ht="3" customHeight="1">
      <c r="B114" s="388" t="n"/>
      <c r="C114" s="365" t="inlineStr">
        <is>
          <t>PMT</t>
        </is>
      </c>
      <c r="E114" s="388" t="inlineStr">
        <is>
          <t>=</t>
        </is>
      </c>
      <c r="G114" s="391">
        <f>G98</f>
        <v/>
      </c>
      <c r="I114" s="388" t="inlineStr">
        <is>
          <t>x</t>
        </is>
      </c>
      <c r="K114" s="547">
        <f>O98/O106</f>
        <v/>
      </c>
      <c r="T114" s="551" t="n"/>
      <c r="U114" s="551" t="n"/>
      <c r="Y114" s="7" t="n"/>
      <c r="AD114" s="365" t="inlineStr">
        <is>
          <t>PMT</t>
        </is>
      </c>
      <c r="AF114" s="388" t="inlineStr">
        <is>
          <t>=</t>
        </is>
      </c>
      <c r="AH114" s="391">
        <f>AH98</f>
        <v/>
      </c>
      <c r="AJ114" s="388" t="inlineStr">
        <is>
          <t>x</t>
        </is>
      </c>
      <c r="AL114" s="547">
        <f>AP98/AP106</f>
        <v/>
      </c>
      <c r="AU114" s="551" t="n"/>
      <c r="AV114" s="551" t="n"/>
      <c r="AZ114" s="7" t="n"/>
      <c r="BE114" s="57" t="n"/>
      <c r="BL114" s="58" t="n"/>
      <c r="BP114" s="549" t="n"/>
      <c r="BQ114" s="549" t="n"/>
      <c r="BR114" s="549" t="n"/>
      <c r="BS114" s="549" t="n"/>
      <c r="BT114" s="549" t="n"/>
      <c r="BU114" s="549" t="n"/>
      <c r="BV114" s="549" t="n"/>
      <c r="BW114" s="549" t="n"/>
      <c r="BX114" s="549" t="n"/>
      <c r="BY114" s="551" t="n"/>
      <c r="BZ114" s="551" t="n"/>
    </row>
    <row r="115" hidden="1" ht="3" customHeight="1">
      <c r="B115" s="388" t="n"/>
      <c r="C115" s="494" t="n"/>
      <c r="T115" s="551" t="n"/>
      <c r="U115" s="551" t="n"/>
      <c r="Y115" s="7" t="n"/>
      <c r="AD115" s="494" t="n"/>
      <c r="AU115" s="551" t="n"/>
      <c r="AV115" s="551" t="n"/>
      <c r="AZ115" s="7" t="n"/>
      <c r="BE115" s="57" t="n"/>
      <c r="BL115" s="58" t="n"/>
      <c r="BP115" s="549" t="n"/>
      <c r="BQ115" s="549" t="n"/>
      <c r="BR115" s="549" t="n"/>
      <c r="BS115" s="549" t="n"/>
      <c r="BT115" s="549" t="n"/>
      <c r="BU115" s="549" t="n"/>
      <c r="BV115" s="549" t="n"/>
      <c r="BW115" s="549" t="n"/>
      <c r="BX115" s="549" t="n"/>
      <c r="BY115" s="551" t="n"/>
      <c r="BZ115" s="551" t="n"/>
    </row>
    <row r="116" hidden="1" ht="3" customHeight="1">
      <c r="B116" s="388" t="n"/>
      <c r="C116" s="494" t="n"/>
      <c r="T116" s="551" t="n"/>
      <c r="U116" s="551" t="n"/>
      <c r="Y116" s="7" t="n"/>
      <c r="AD116" s="494" t="n"/>
      <c r="AU116" s="551" t="n"/>
      <c r="AV116" s="551" t="n"/>
      <c r="AZ116" s="7" t="n"/>
      <c r="BE116" s="57" t="n"/>
      <c r="BL116" s="58" t="n"/>
      <c r="BP116" s="549" t="n"/>
      <c r="BQ116" s="549" t="n"/>
      <c r="BR116" s="549" t="n"/>
      <c r="BS116" s="549" t="n"/>
      <c r="BT116" s="549" t="n"/>
      <c r="BU116" s="549" t="n"/>
      <c r="BV116" s="549" t="n"/>
      <c r="BW116" s="549" t="n"/>
      <c r="BX116" s="549" t="n"/>
      <c r="BY116" s="551" t="n"/>
      <c r="BZ116" s="551" t="n"/>
    </row>
    <row r="117" hidden="1" ht="3" customHeight="1">
      <c r="B117" s="388" t="n"/>
      <c r="C117" s="494" t="n"/>
      <c r="T117" s="551" t="n"/>
      <c r="U117" s="551" t="n"/>
      <c r="Y117" s="7" t="n"/>
      <c r="AD117" s="494" t="n"/>
      <c r="AU117" s="551" t="n"/>
      <c r="AV117" s="551" t="n"/>
      <c r="AZ117" s="7" t="n"/>
      <c r="BE117" s="57" t="n"/>
      <c r="BL117" s="58" t="n"/>
      <c r="BP117" s="549" t="n"/>
      <c r="BQ117" s="549" t="n"/>
      <c r="BR117" s="549" t="n"/>
      <c r="BS117" s="549" t="n"/>
      <c r="BT117" s="549" t="n"/>
      <c r="BU117" s="549" t="n"/>
      <c r="BV117" s="549" t="n"/>
      <c r="BW117" s="549" t="n"/>
      <c r="BX117" s="549" t="n"/>
      <c r="BY117" s="551" t="n"/>
      <c r="BZ117" s="551" t="n"/>
    </row>
    <row r="118" hidden="1" ht="3" customHeight="1">
      <c r="B118" s="388" t="n"/>
      <c r="C118" s="494" t="n"/>
      <c r="T118" s="551" t="n"/>
      <c r="U118" s="551" t="n"/>
      <c r="Y118" s="7" t="n"/>
      <c r="AD118" s="494" t="n"/>
      <c r="AU118" s="551" t="n"/>
      <c r="AV118" s="551" t="n"/>
      <c r="AZ118" s="7" t="n"/>
      <c r="BE118" s="57" t="n"/>
      <c r="BL118" s="58" t="n"/>
      <c r="BP118" s="549" t="n"/>
      <c r="BQ118" s="549" t="n"/>
      <c r="BR118" s="549" t="n"/>
      <c r="BS118" s="549" t="n"/>
      <c r="BT118" s="549" t="n"/>
      <c r="BU118" s="549" t="n"/>
      <c r="BV118" s="549" t="n"/>
      <c r="BW118" s="549" t="n"/>
      <c r="BX118" s="549" t="n"/>
      <c r="BY118" s="551" t="n"/>
      <c r="BZ118" s="551" t="n"/>
    </row>
    <row r="119" hidden="1" ht="3" customHeight="1">
      <c r="B119" s="388" t="n"/>
      <c r="C119" s="494" t="n"/>
      <c r="T119" s="551" t="n"/>
      <c r="U119" s="551" t="n"/>
      <c r="Y119" s="7" t="n"/>
      <c r="AD119" s="494" t="n"/>
      <c r="AU119" s="551" t="n"/>
      <c r="AV119" s="551" t="n"/>
      <c r="AZ119" s="7" t="n"/>
      <c r="BE119" s="57" t="n"/>
      <c r="BL119" s="58" t="n"/>
      <c r="BP119" s="549" t="n"/>
      <c r="BQ119" s="549" t="n"/>
      <c r="BR119" s="549" t="n"/>
      <c r="BS119" s="549" t="n"/>
      <c r="BT119" s="549" t="n"/>
      <c r="BU119" s="549" t="n"/>
      <c r="BV119" s="549" t="n"/>
      <c r="BW119" s="549" t="n"/>
      <c r="BX119" s="549" t="n"/>
      <c r="BY119" s="551" t="n"/>
      <c r="BZ119" s="551" t="n"/>
    </row>
    <row r="120" hidden="1" ht="3" customHeight="1">
      <c r="B120" s="388" t="n"/>
      <c r="C120" s="494" t="n"/>
      <c r="D120" s="388" t="n"/>
      <c r="Y120" s="7" t="n"/>
      <c r="AD120" s="494" t="n"/>
      <c r="AE120" s="388" t="n"/>
      <c r="AZ120" s="7" t="n"/>
      <c r="BE120" s="57" t="n"/>
      <c r="BF120" s="388" t="n"/>
      <c r="BL120" s="58" t="n"/>
      <c r="BP120" s="549" t="n"/>
      <c r="BQ120" s="549" t="n"/>
      <c r="BR120" s="549" t="n"/>
      <c r="BS120" s="549" t="n"/>
      <c r="BT120" s="549" t="n"/>
      <c r="BU120" s="549" t="n"/>
      <c r="BV120" s="549" t="n"/>
      <c r="BW120" s="549" t="n"/>
      <c r="BX120" s="549" t="n"/>
    </row>
    <row r="121" hidden="1" ht="9" customHeight="1">
      <c r="C121" s="6" t="n"/>
      <c r="Y121" s="7" t="n"/>
      <c r="AD121" s="6" t="n"/>
      <c r="AZ121" s="7" t="n"/>
    </row>
    <row r="122" ht="3" customHeight="1">
      <c r="B122" s="388" t="n"/>
      <c r="C122" s="389" t="inlineStr">
        <is>
          <t>Valor da parcela</t>
        </is>
      </c>
      <c r="E122" s="390" t="inlineStr">
        <is>
          <t>=</t>
        </is>
      </c>
      <c r="G122" s="392">
        <f>(G114*K114)</f>
        <v/>
      </c>
      <c r="I122" s="388" t="n"/>
      <c r="K122" s="552" t="n"/>
      <c r="L122" s="552" t="n"/>
      <c r="M122" s="552" t="n"/>
      <c r="N122" s="552" t="n"/>
      <c r="O122" s="552" t="n"/>
      <c r="P122" s="552" t="n"/>
      <c r="Q122" s="552" t="n"/>
      <c r="R122" s="552" t="n"/>
      <c r="S122" s="552" t="n"/>
      <c r="T122" s="551" t="n"/>
      <c r="U122" s="551" t="n"/>
      <c r="Y122" s="7" t="n"/>
      <c r="AD122" s="389" t="inlineStr">
        <is>
          <t>Valor da parcela</t>
        </is>
      </c>
      <c r="AF122" s="390" t="inlineStr">
        <is>
          <t>=</t>
        </is>
      </c>
      <c r="AH122" s="392">
        <f>(AH114*AL114)</f>
        <v/>
      </c>
      <c r="AJ122" s="388" t="n"/>
      <c r="AL122" s="552" t="n"/>
      <c r="AM122" s="552" t="n"/>
      <c r="AN122" s="552" t="n"/>
      <c r="AO122" s="552" t="n"/>
      <c r="AP122" s="552" t="n"/>
      <c r="AQ122" s="552" t="n"/>
      <c r="AR122" s="552" t="n"/>
      <c r="AS122" s="552" t="n"/>
      <c r="AT122" s="552" t="n"/>
      <c r="AU122" s="551" t="n"/>
      <c r="AV122" s="551" t="n"/>
      <c r="AZ122" s="7" t="n"/>
      <c r="BE122" s="57" t="n"/>
      <c r="BG122" s="10" t="n"/>
      <c r="BL122" s="58" t="n"/>
      <c r="BN122" s="388" t="n"/>
      <c r="BP122" s="552" t="n"/>
      <c r="BQ122" s="552" t="n"/>
      <c r="BR122" s="552" t="n"/>
      <c r="BS122" s="552" t="n"/>
      <c r="BT122" s="552" t="n"/>
      <c r="BU122" s="552" t="n"/>
      <c r="BV122" s="552" t="n"/>
      <c r="BW122" s="552" t="n"/>
      <c r="BX122" s="552" t="n"/>
      <c r="BY122" s="551" t="n"/>
      <c r="BZ122" s="551" t="n"/>
    </row>
    <row r="123" ht="3" customHeight="1">
      <c r="B123" s="388" t="n"/>
      <c r="C123" s="494" t="n"/>
      <c r="I123" s="388" t="n"/>
      <c r="K123" s="552" t="n"/>
      <c r="L123" s="552" t="n"/>
      <c r="M123" s="552" t="n"/>
      <c r="N123" s="552" t="n"/>
      <c r="O123" s="552" t="n"/>
      <c r="P123" s="552" t="n"/>
      <c r="Q123" s="552" t="n"/>
      <c r="R123" s="552" t="n"/>
      <c r="S123" s="552" t="n"/>
      <c r="T123" s="551" t="n"/>
      <c r="U123" s="551" t="n"/>
      <c r="Y123" s="7" t="n"/>
      <c r="AD123" s="494" t="n"/>
      <c r="AJ123" s="388" t="n"/>
      <c r="AL123" s="552" t="n"/>
      <c r="AM123" s="552" t="n"/>
      <c r="AN123" s="552" t="n"/>
      <c r="AO123" s="552" t="n"/>
      <c r="AP123" s="552" t="n"/>
      <c r="AQ123" s="552" t="n"/>
      <c r="AR123" s="552" t="n"/>
      <c r="AS123" s="552" t="n"/>
      <c r="AT123" s="552" t="n"/>
      <c r="AU123" s="551" t="n"/>
      <c r="AV123" s="551" t="n"/>
      <c r="AZ123" s="7" t="n"/>
      <c r="BE123" s="57" t="n"/>
      <c r="BG123" s="10" t="n"/>
      <c r="BL123" s="58" t="n"/>
      <c r="BN123" s="388" t="n"/>
      <c r="BP123" s="552" t="n"/>
      <c r="BQ123" s="552" t="n"/>
      <c r="BR123" s="552" t="n"/>
      <c r="BS123" s="552" t="n"/>
      <c r="BT123" s="552" t="n"/>
      <c r="BU123" s="552" t="n"/>
      <c r="BV123" s="552" t="n"/>
      <c r="BW123" s="552" t="n"/>
      <c r="BX123" s="552" t="n"/>
      <c r="BY123" s="551" t="n"/>
      <c r="BZ123" s="551" t="n"/>
    </row>
    <row r="124" ht="3" customHeight="1">
      <c r="B124" s="388" t="n"/>
      <c r="C124" s="494" t="n"/>
      <c r="I124" s="388" t="n"/>
      <c r="K124" s="552" t="n"/>
      <c r="L124" s="552" t="n"/>
      <c r="M124" s="552" t="n"/>
      <c r="N124" s="552" t="n"/>
      <c r="O124" s="552" t="n"/>
      <c r="P124" s="552" t="n"/>
      <c r="Q124" s="552" t="n"/>
      <c r="R124" s="552" t="n"/>
      <c r="S124" s="552" t="n"/>
      <c r="T124" s="551" t="n"/>
      <c r="U124" s="551" t="n"/>
      <c r="Y124" s="7" t="n"/>
      <c r="AD124" s="494" t="n"/>
      <c r="AJ124" s="388" t="n"/>
      <c r="AL124" s="552" t="n"/>
      <c r="AM124" s="552" t="n"/>
      <c r="AN124" s="552" t="n"/>
      <c r="AO124" s="552" t="n"/>
      <c r="AP124" s="552" t="n"/>
      <c r="AQ124" s="552" t="n"/>
      <c r="AR124" s="552" t="n"/>
      <c r="AS124" s="552" t="n"/>
      <c r="AT124" s="552" t="n"/>
      <c r="AU124" s="551" t="n"/>
      <c r="AV124" s="551" t="n"/>
      <c r="AZ124" s="7" t="n"/>
      <c r="BE124" s="57" t="n"/>
      <c r="BG124" s="10" t="n"/>
      <c r="BL124" s="58" t="n"/>
      <c r="BN124" s="388" t="n"/>
      <c r="BP124" s="552" t="n"/>
      <c r="BQ124" s="552" t="n"/>
      <c r="BR124" s="552" t="n"/>
      <c r="BS124" s="552" t="n"/>
      <c r="BT124" s="552" t="n"/>
      <c r="BU124" s="552" t="n"/>
      <c r="BV124" s="552" t="n"/>
      <c r="BW124" s="552" t="n"/>
      <c r="BX124" s="552" t="n"/>
      <c r="BY124" s="551" t="n"/>
      <c r="BZ124" s="551" t="n"/>
    </row>
    <row r="125" ht="3" customHeight="1">
      <c r="B125" s="388" t="n"/>
      <c r="C125" s="494" t="n"/>
      <c r="I125" s="388" t="n"/>
      <c r="K125" s="552" t="n"/>
      <c r="L125" s="552" t="n"/>
      <c r="M125" s="552" t="n"/>
      <c r="N125" s="552" t="n"/>
      <c r="O125" s="552" t="n"/>
      <c r="P125" s="552" t="n"/>
      <c r="Q125" s="552" t="n"/>
      <c r="R125" s="552" t="n"/>
      <c r="S125" s="552" t="n"/>
      <c r="T125" s="551" t="n"/>
      <c r="U125" s="551" t="n"/>
      <c r="Y125" s="7" t="n"/>
      <c r="AD125" s="494" t="n"/>
      <c r="AJ125" s="388" t="n"/>
      <c r="AL125" s="552" t="n"/>
      <c r="AM125" s="552" t="n"/>
      <c r="AN125" s="552" t="n"/>
      <c r="AO125" s="552" t="n"/>
      <c r="AP125" s="552" t="n"/>
      <c r="AQ125" s="552" t="n"/>
      <c r="AR125" s="552" t="n"/>
      <c r="AS125" s="552" t="n"/>
      <c r="AT125" s="552" t="n"/>
      <c r="AU125" s="551" t="n"/>
      <c r="AV125" s="551" t="n"/>
      <c r="AZ125" s="7" t="n"/>
      <c r="BE125" s="57" t="n"/>
      <c r="BG125" s="10" t="n"/>
      <c r="BL125" s="58" t="n"/>
      <c r="BN125" s="388" t="n"/>
      <c r="BP125" s="552" t="n"/>
      <c r="BQ125" s="552" t="n"/>
      <c r="BR125" s="552" t="n"/>
      <c r="BS125" s="552" t="n"/>
      <c r="BT125" s="552" t="n"/>
      <c r="BU125" s="552" t="n"/>
      <c r="BV125" s="552" t="n"/>
      <c r="BW125" s="552" t="n"/>
      <c r="BX125" s="552" t="n"/>
      <c r="BY125" s="551" t="n"/>
      <c r="BZ125" s="551" t="n"/>
    </row>
    <row r="126" ht="3" customHeight="1">
      <c r="B126" s="388" t="n"/>
      <c r="C126" s="494" t="n"/>
      <c r="I126" s="388" t="n"/>
      <c r="K126" s="552" t="n"/>
      <c r="L126" s="552" t="n"/>
      <c r="M126" s="552" t="n"/>
      <c r="N126" s="552" t="n"/>
      <c r="O126" s="552" t="n"/>
      <c r="P126" s="552" t="n"/>
      <c r="Q126" s="552" t="n"/>
      <c r="R126" s="552" t="n"/>
      <c r="S126" s="552" t="n"/>
      <c r="T126" s="551" t="n"/>
      <c r="U126" s="551" t="n"/>
      <c r="Y126" s="7" t="n"/>
      <c r="AD126" s="494" t="n"/>
      <c r="AJ126" s="388" t="n"/>
      <c r="AL126" s="552" t="n"/>
      <c r="AM126" s="552" t="n"/>
      <c r="AN126" s="552" t="n"/>
      <c r="AO126" s="552" t="n"/>
      <c r="AP126" s="552" t="n"/>
      <c r="AQ126" s="552" t="n"/>
      <c r="AR126" s="552" t="n"/>
      <c r="AS126" s="552" t="n"/>
      <c r="AT126" s="552" t="n"/>
      <c r="AU126" s="551" t="n"/>
      <c r="AV126" s="551" t="n"/>
      <c r="AZ126" s="7" t="n"/>
      <c r="BE126" s="57" t="n"/>
      <c r="BG126" s="10" t="n"/>
      <c r="BL126" s="58" t="n"/>
      <c r="BN126" s="388" t="n"/>
      <c r="BP126" s="552" t="n"/>
      <c r="BQ126" s="552" t="n"/>
      <c r="BR126" s="552" t="n"/>
      <c r="BS126" s="552" t="n"/>
      <c r="BT126" s="552" t="n"/>
      <c r="BU126" s="552" t="n"/>
      <c r="BV126" s="552" t="n"/>
      <c r="BW126" s="552" t="n"/>
      <c r="BX126" s="552" t="n"/>
      <c r="BY126" s="551" t="n"/>
      <c r="BZ126" s="551" t="n"/>
    </row>
    <row r="127" ht="2.25" customHeight="1">
      <c r="B127" s="388" t="n"/>
      <c r="C127" s="494" t="n"/>
      <c r="I127" s="388" t="n"/>
      <c r="K127" s="552" t="n"/>
      <c r="L127" s="552" t="n"/>
      <c r="M127" s="552" t="n"/>
      <c r="N127" s="552" t="n"/>
      <c r="O127" s="552" t="n"/>
      <c r="P127" s="552" t="n"/>
      <c r="Q127" s="552" t="n"/>
      <c r="R127" s="552" t="n"/>
      <c r="S127" s="552" t="n"/>
      <c r="T127" s="551" t="n"/>
      <c r="U127" s="551" t="n"/>
      <c r="Y127" s="7" t="n"/>
      <c r="AD127" s="494" t="n"/>
      <c r="AJ127" s="388" t="n"/>
      <c r="AL127" s="552" t="n"/>
      <c r="AM127" s="552" t="n"/>
      <c r="AN127" s="552" t="n"/>
      <c r="AO127" s="552" t="n"/>
      <c r="AP127" s="552" t="n"/>
      <c r="AQ127" s="552" t="n"/>
      <c r="AR127" s="552" t="n"/>
      <c r="AS127" s="552" t="n"/>
      <c r="AT127" s="552" t="n"/>
      <c r="AU127" s="551" t="n"/>
      <c r="AV127" s="551" t="n"/>
      <c r="AZ127" s="7" t="n"/>
      <c r="BE127" s="57" t="n"/>
      <c r="BG127" s="10" t="n"/>
      <c r="BL127" s="58" t="n"/>
      <c r="BN127" s="388" t="n"/>
      <c r="BP127" s="552" t="n"/>
      <c r="BQ127" s="552" t="n"/>
      <c r="BR127" s="552" t="n"/>
      <c r="BS127" s="552" t="n"/>
      <c r="BT127" s="552" t="n"/>
      <c r="BU127" s="552" t="n"/>
      <c r="BV127" s="552" t="n"/>
      <c r="BW127" s="552" t="n"/>
      <c r="BX127" s="552" t="n"/>
      <c r="BY127" s="551" t="n"/>
      <c r="BZ127" s="551" t="n"/>
    </row>
    <row r="128" hidden="1" ht="3" customHeight="1">
      <c r="B128" s="388" t="n"/>
      <c r="C128" s="494" t="n"/>
      <c r="I128" s="388" t="n"/>
      <c r="K128" s="552" t="n"/>
      <c r="L128" s="552" t="n"/>
      <c r="M128" s="552" t="n"/>
      <c r="N128" s="552" t="n"/>
      <c r="O128" s="552" t="n"/>
      <c r="P128" s="552" t="n"/>
      <c r="Q128" s="552" t="n"/>
      <c r="R128" s="552" t="n"/>
      <c r="S128" s="552" t="n"/>
      <c r="T128" s="551" t="n"/>
      <c r="U128" s="551" t="n"/>
      <c r="Y128" s="7" t="n"/>
      <c r="AD128" s="494" t="n"/>
      <c r="AJ128" s="388" t="n"/>
      <c r="AL128" s="552" t="n"/>
      <c r="AM128" s="552" t="n"/>
      <c r="AN128" s="552" t="n"/>
      <c r="AO128" s="552" t="n"/>
      <c r="AP128" s="552" t="n"/>
      <c r="AQ128" s="552" t="n"/>
      <c r="AR128" s="552" t="n"/>
      <c r="AS128" s="552" t="n"/>
      <c r="AT128" s="552" t="n"/>
      <c r="AU128" s="551" t="n"/>
      <c r="AV128" s="551" t="n"/>
      <c r="AZ128" s="7" t="n"/>
      <c r="BE128" s="57" t="n"/>
      <c r="BG128" s="10" t="n"/>
      <c r="BL128" s="58" t="n"/>
      <c r="BN128" s="388" t="n"/>
      <c r="BP128" s="552" t="n"/>
      <c r="BQ128" s="552" t="n"/>
      <c r="BR128" s="552" t="n"/>
      <c r="BS128" s="552" t="n"/>
      <c r="BT128" s="552" t="n"/>
      <c r="BU128" s="552" t="n"/>
      <c r="BV128" s="552" t="n"/>
      <c r="BW128" s="552" t="n"/>
      <c r="BX128" s="552" t="n"/>
      <c r="BY128" s="551" t="n"/>
      <c r="BZ128" s="551" t="n"/>
    </row>
    <row r="129" ht="3" customHeight="1">
      <c r="B129" s="388" t="n"/>
      <c r="C129" s="507" t="n"/>
      <c r="D129" s="25" t="n"/>
      <c r="E129" s="448" t="n"/>
      <c r="F129" s="19" t="n"/>
      <c r="G129" s="448" t="n"/>
      <c r="H129" s="19" t="n"/>
      <c r="I129" s="25" t="n"/>
      <c r="J129" s="19" t="n"/>
      <c r="K129" s="553" t="n"/>
      <c r="L129" s="553" t="n"/>
      <c r="M129" s="553" t="n"/>
      <c r="N129" s="553" t="n"/>
      <c r="O129" s="553" t="n"/>
      <c r="P129" s="553" t="n"/>
      <c r="Q129" s="553" t="n"/>
      <c r="R129" s="553" t="n"/>
      <c r="S129" s="553" t="n"/>
      <c r="T129" s="19" t="n"/>
      <c r="U129" s="19" t="n"/>
      <c r="V129" s="19" t="n"/>
      <c r="W129" s="19" t="n"/>
      <c r="X129" s="19" t="n"/>
      <c r="Y129" s="27" t="n"/>
      <c r="AD129" s="507" t="n"/>
      <c r="AE129" s="25" t="n"/>
      <c r="AF129" s="448" t="n"/>
      <c r="AG129" s="19" t="n"/>
      <c r="AH129" s="448" t="n"/>
      <c r="AI129" s="19" t="n"/>
      <c r="AJ129" s="25" t="n"/>
      <c r="AK129" s="19" t="n"/>
      <c r="AL129" s="553" t="n"/>
      <c r="AM129" s="553" t="n"/>
      <c r="AN129" s="553" t="n"/>
      <c r="AO129" s="553" t="n"/>
      <c r="AP129" s="553" t="n"/>
      <c r="AQ129" s="553" t="n"/>
      <c r="AR129" s="553" t="n"/>
      <c r="AS129" s="553" t="n"/>
      <c r="AT129" s="553" t="n"/>
      <c r="AU129" s="19" t="n"/>
      <c r="AV129" s="19" t="n"/>
      <c r="AW129" s="19" t="n"/>
      <c r="AX129" s="19" t="n"/>
      <c r="AY129" s="19" t="n"/>
      <c r="AZ129" s="27" t="n"/>
      <c r="BE129" s="57" t="n"/>
      <c r="BF129" s="388" t="n"/>
      <c r="BG129" s="10" t="n"/>
      <c r="BL129" s="58" t="n"/>
      <c r="BN129" s="388" t="n"/>
      <c r="BP129" s="552" t="n"/>
      <c r="BQ129" s="552" t="n"/>
      <c r="BR129" s="552" t="n"/>
      <c r="BS129" s="552" t="n"/>
      <c r="BT129" s="552" t="n"/>
      <c r="BU129" s="552" t="n"/>
      <c r="BV129" s="552" t="n"/>
      <c r="BW129" s="552" t="n"/>
      <c r="BX129" s="552" t="n"/>
    </row>
    <row r="130" ht="15" customHeight="1" thickBot="1">
      <c r="B130" s="388" t="n"/>
      <c r="C130" s="28" t="n"/>
      <c r="D130" s="388" t="n"/>
      <c r="E130" s="10" t="n"/>
      <c r="G130" s="391" t="n"/>
      <c r="I130" s="388" t="n"/>
      <c r="K130" s="552" t="n"/>
      <c r="L130" s="552" t="n"/>
      <c r="M130" s="552" t="n"/>
      <c r="N130" s="552" t="n"/>
      <c r="O130" s="552" t="n"/>
      <c r="P130" s="552" t="n"/>
      <c r="Q130" s="552" t="n"/>
      <c r="R130" s="552" t="n"/>
      <c r="S130" s="552" t="n"/>
      <c r="AD130" s="28" t="n"/>
      <c r="AE130" s="388" t="n"/>
      <c r="AF130" s="10" t="n"/>
      <c r="AH130" s="391" t="n"/>
      <c r="AJ130" s="388" t="n"/>
      <c r="AL130" s="552" t="n"/>
      <c r="AM130" s="552" t="n"/>
      <c r="AN130" s="552" t="n"/>
      <c r="AO130" s="552" t="n"/>
      <c r="AP130" s="552" t="n"/>
      <c r="AQ130" s="552" t="n"/>
      <c r="AR130" s="552" t="n"/>
      <c r="AS130" s="552" t="n"/>
      <c r="AT130" s="552" t="n"/>
      <c r="BE130" s="28" t="n"/>
      <c r="BF130" s="388" t="n"/>
      <c r="BG130" s="10" t="n"/>
      <c r="BL130" s="391" t="n"/>
      <c r="BN130" s="388" t="n"/>
      <c r="BP130" s="552" t="n"/>
      <c r="BQ130" s="552" t="n"/>
      <c r="BR130" s="552" t="n"/>
      <c r="BS130" s="552" t="n"/>
      <c r="BT130" s="552" t="n"/>
      <c r="BU130" s="552" t="n"/>
      <c r="BV130" s="552" t="n"/>
      <c r="BW130" s="552" t="n"/>
      <c r="BX130" s="552" t="n"/>
    </row>
    <row r="131" ht="12.95" customHeight="1" thickBot="1">
      <c r="C131" s="554" t="inlineStr">
        <is>
          <t>PARCELAS CONFORME O CONTRATO</t>
        </is>
      </c>
      <c r="D131" s="441" t="n"/>
      <c r="E131" s="441" t="n"/>
      <c r="F131" s="441" t="n"/>
      <c r="G131" s="441" t="n"/>
      <c r="H131" s="441" t="n"/>
      <c r="I131" s="441" t="n"/>
      <c r="J131" s="441" t="n"/>
      <c r="K131" s="441" t="n"/>
      <c r="L131" s="441" t="n"/>
      <c r="M131" s="441" t="n"/>
      <c r="N131" s="441" t="n"/>
      <c r="O131" s="441" t="n"/>
      <c r="P131" s="441" t="n"/>
      <c r="Q131" s="441" t="n"/>
      <c r="R131" s="441" t="n"/>
      <c r="S131" s="441" t="n"/>
      <c r="T131" s="441" t="n"/>
      <c r="U131" s="441" t="n"/>
      <c r="V131" s="441" t="n"/>
      <c r="W131" s="441" t="n"/>
      <c r="X131" s="441" t="n"/>
      <c r="Y131" s="444" t="n"/>
      <c r="Z131" s="65" t="n"/>
      <c r="AA131" s="65" t="n"/>
      <c r="AB131" s="65" t="n"/>
      <c r="AC131" s="65" t="n"/>
      <c r="AD131" s="555" t="inlineStr">
        <is>
          <t>PARCELAS RECALCULADAS</t>
        </is>
      </c>
      <c r="AE131" s="437" t="n"/>
      <c r="AF131" s="437" t="n"/>
      <c r="AG131" s="437" t="n"/>
      <c r="AH131" s="437" t="n"/>
      <c r="AI131" s="437" t="n"/>
      <c r="AJ131" s="437" t="n"/>
      <c r="AK131" s="437" t="n"/>
      <c r="AL131" s="437" t="n"/>
      <c r="AM131" s="437" t="n"/>
      <c r="AN131" s="437" t="n"/>
      <c r="AO131" s="437" t="n"/>
      <c r="AP131" s="437" t="n"/>
      <c r="AQ131" s="437" t="n"/>
      <c r="AR131" s="437" t="n"/>
      <c r="AS131" s="437" t="n"/>
      <c r="AT131" s="437" t="n"/>
      <c r="AU131" s="437" t="n"/>
      <c r="AV131" s="437" t="n"/>
      <c r="AW131" s="437" t="n"/>
      <c r="AX131" s="437" t="n"/>
      <c r="AY131" s="437" t="n"/>
      <c r="AZ131" s="438" t="n"/>
      <c r="BA131" s="65" t="n"/>
      <c r="BB131" s="65" t="n"/>
      <c r="BC131" s="65" t="n"/>
      <c r="BD131" s="65" t="n"/>
      <c r="BE131" s="555" t="inlineStr">
        <is>
          <t>VALORES PAGOS PELO CLIENTE</t>
        </is>
      </c>
      <c r="BF131" s="437" t="n"/>
      <c r="BG131" s="437" t="n"/>
      <c r="BH131" s="437" t="n"/>
      <c r="BI131" s="437" t="n"/>
      <c r="BJ131" s="437" t="n"/>
      <c r="BK131" s="437" t="n"/>
      <c r="BL131" s="437" t="n"/>
      <c r="BM131" s="437" t="n"/>
      <c r="BN131" s="437" t="n"/>
      <c r="BO131" s="437" t="n"/>
      <c r="BP131" s="437" t="n"/>
      <c r="BQ131" s="437" t="n"/>
      <c r="BR131" s="437" t="n"/>
      <c r="BS131" s="437" t="n"/>
      <c r="BT131" s="437" t="n"/>
      <c r="BU131" s="437" t="n"/>
      <c r="BV131" s="437" t="n"/>
      <c r="BW131" s="437" t="n"/>
      <c r="BX131" s="437" t="n"/>
      <c r="BY131" s="437" t="n"/>
      <c r="BZ131" s="437" t="n"/>
      <c r="CA131" s="437" t="n"/>
      <c r="CB131" s="437" t="n"/>
      <c r="CC131" s="438" t="n"/>
      <c r="CI131" s="481" t="n"/>
    </row>
    <row r="132" ht="12.95" customHeight="1" thickBot="1">
      <c r="C132" s="69" t="inlineStr">
        <is>
          <t xml:space="preserve">Parcela </t>
        </is>
      </c>
      <c r="D132" s="399" t="inlineStr">
        <is>
          <t>Vencimento</t>
        </is>
      </c>
      <c r="E132" s="437" t="n"/>
      <c r="F132" s="437" t="n"/>
      <c r="G132" s="437" t="n"/>
      <c r="H132" s="437" t="n"/>
      <c r="I132" s="437" t="n"/>
      <c r="J132" s="437" t="n"/>
      <c r="K132" s="437" t="n"/>
      <c r="L132" s="437" t="n"/>
      <c r="M132" s="440" t="n"/>
      <c r="N132" s="400" t="inlineStr">
        <is>
          <t>Parcela cobrada</t>
        </is>
      </c>
      <c r="O132" s="437" t="n"/>
      <c r="P132" s="437" t="n"/>
      <c r="Q132" s="437" t="n"/>
      <c r="R132" s="437" t="n"/>
      <c r="S132" s="437" t="n"/>
      <c r="T132" s="437" t="n"/>
      <c r="U132" s="437" t="n"/>
      <c r="V132" s="437" t="n"/>
      <c r="W132" s="437" t="n"/>
      <c r="X132" s="437" t="n"/>
      <c r="Y132" s="440" t="n"/>
      <c r="Z132" s="65" t="n"/>
      <c r="AA132" s="65" t="n"/>
      <c r="AB132" s="65" t="n"/>
      <c r="AC132" s="65" t="n"/>
      <c r="AD132" s="69" t="inlineStr">
        <is>
          <t xml:space="preserve">Parcela </t>
        </is>
      </c>
      <c r="AE132" s="399" t="inlineStr">
        <is>
          <t>Vencimento</t>
        </is>
      </c>
      <c r="AF132" s="437" t="n"/>
      <c r="AG132" s="437" t="n"/>
      <c r="AH132" s="437" t="n"/>
      <c r="AI132" s="437" t="n"/>
      <c r="AJ132" s="437" t="n"/>
      <c r="AK132" s="437" t="n"/>
      <c r="AL132" s="437" t="n"/>
      <c r="AM132" s="437" t="n"/>
      <c r="AN132" s="440" t="n"/>
      <c r="AO132" s="400" t="inlineStr">
        <is>
          <t>Parcela recalculada</t>
        </is>
      </c>
      <c r="AP132" s="437" t="n"/>
      <c r="AQ132" s="437" t="n"/>
      <c r="AR132" s="437" t="n"/>
      <c r="AS132" s="437" t="n"/>
      <c r="AT132" s="437" t="n"/>
      <c r="AU132" s="437" t="n"/>
      <c r="AV132" s="437" t="n"/>
      <c r="AW132" s="437" t="n"/>
      <c r="AX132" s="437" t="n"/>
      <c r="AY132" s="437" t="n"/>
      <c r="AZ132" s="440" t="n"/>
      <c r="BA132" s="65" t="n"/>
      <c r="BB132" s="65" t="n"/>
      <c r="BC132" s="65" t="n"/>
      <c r="BD132" s="65" t="n"/>
      <c r="BE132" s="69" t="inlineStr">
        <is>
          <t xml:space="preserve">Parcela </t>
        </is>
      </c>
      <c r="BF132" s="399" t="inlineStr">
        <is>
          <t>Vencimento</t>
        </is>
      </c>
      <c r="BG132" s="437" t="n"/>
      <c r="BH132" s="437" t="n"/>
      <c r="BI132" s="437" t="n"/>
      <c r="BJ132" s="437" t="n"/>
      <c r="BK132" s="437" t="n"/>
      <c r="BL132" s="437" t="n"/>
      <c r="BM132" s="437" t="n"/>
      <c r="BN132" s="437" t="n"/>
      <c r="BO132" s="440" t="n"/>
      <c r="BP132" s="401" t="inlineStr">
        <is>
          <t>Valor pago</t>
        </is>
      </c>
      <c r="BQ132" s="437" t="n"/>
      <c r="BR132" s="437" t="n"/>
      <c r="BS132" s="437" t="n"/>
      <c r="BT132" s="437" t="n"/>
      <c r="BU132" s="437" t="n"/>
      <c r="BV132" s="437" t="n"/>
      <c r="BW132" s="437" t="n"/>
      <c r="BX132" s="437" t="n"/>
      <c r="BY132" s="437" t="n"/>
      <c r="BZ132" s="437" t="n"/>
      <c r="CA132" s="437" t="n"/>
      <c r="CB132" s="437" t="n"/>
      <c r="CC132" s="438" t="n"/>
      <c r="CI132" s="481" t="n"/>
    </row>
    <row r="133" ht="12.95" customHeight="1">
      <c r="C133" s="68" t="n">
        <v>1</v>
      </c>
      <c r="D133" s="556">
        <f>IF(C133&lt;=$I$16, $D$6, "")</f>
        <v/>
      </c>
      <c r="E133" s="448" t="n"/>
      <c r="F133" s="448" t="n"/>
      <c r="G133" s="448" t="n"/>
      <c r="H133" s="448" t="n"/>
      <c r="I133" s="448" t="n"/>
      <c r="J133" s="448" t="n"/>
      <c r="K133" s="448" t="n"/>
      <c r="L133" s="448" t="n"/>
      <c r="M133" s="449" t="n"/>
      <c r="N133" s="557">
        <f>IF(C133&lt;=$I$16, $I$17, "")</f>
        <v/>
      </c>
      <c r="O133" s="448" t="n"/>
      <c r="P133" s="448" t="n"/>
      <c r="Q133" s="448" t="n"/>
      <c r="R133" s="448" t="n"/>
      <c r="S133" s="448" t="n"/>
      <c r="T133" s="448" t="n"/>
      <c r="U133" s="448" t="n"/>
      <c r="V133" s="448" t="n"/>
      <c r="W133" s="448" t="n"/>
      <c r="X133" s="448" t="n"/>
      <c r="Y133" s="449" t="n"/>
      <c r="Z133" s="65" t="n"/>
      <c r="AA133" s="65" t="n"/>
      <c r="AB133" s="65" t="n"/>
      <c r="AC133" s="65" t="n"/>
      <c r="AD133" s="68" t="n">
        <v>1</v>
      </c>
      <c r="AE133" s="556">
        <f>D133</f>
        <v/>
      </c>
      <c r="AF133" s="448" t="n"/>
      <c r="AG133" s="448" t="n"/>
      <c r="AH133" s="448" t="n"/>
      <c r="AI133" s="448" t="n"/>
      <c r="AJ133" s="448" t="n"/>
      <c r="AK133" s="448" t="n"/>
      <c r="AL133" s="448" t="n"/>
      <c r="AM133" s="448" t="n"/>
      <c r="AN133" s="449" t="n"/>
      <c r="AO133" s="557">
        <f>AH122</f>
        <v/>
      </c>
      <c r="AP133" s="448" t="n"/>
      <c r="AQ133" s="448" t="n"/>
      <c r="AR133" s="448" t="n"/>
      <c r="AS133" s="448" t="n"/>
      <c r="AT133" s="448" t="n"/>
      <c r="AU133" s="448" t="n"/>
      <c r="AV133" s="448" t="n"/>
      <c r="AW133" s="448" t="n"/>
      <c r="AX133" s="448" t="n"/>
      <c r="AY133" s="448" t="n"/>
      <c r="AZ133" s="449" t="n"/>
      <c r="BA133" s="65" t="n"/>
      <c r="BB133" s="65" t="n"/>
      <c r="BC133" s="65" t="n"/>
      <c r="BD133" s="65" t="n"/>
      <c r="BE133" s="68" t="n">
        <v>1</v>
      </c>
      <c r="BF133" s="556">
        <f>AE133</f>
        <v/>
      </c>
      <c r="BG133" s="448" t="n"/>
      <c r="BH133" s="448" t="n"/>
      <c r="BI133" s="448" t="n"/>
      <c r="BJ133" s="448" t="n"/>
      <c r="BK133" s="448" t="n"/>
      <c r="BL133" s="448" t="n"/>
      <c r="BM133" s="448" t="n"/>
      <c r="BN133" s="448" t="n"/>
      <c r="BO133" s="449" t="n"/>
      <c r="BP133" s="564">
        <f>N133</f>
        <v/>
      </c>
      <c r="BQ133" s="448" t="n"/>
      <c r="BR133" s="448" t="n"/>
      <c r="BS133" s="448" t="n"/>
      <c r="BT133" s="448" t="n"/>
      <c r="BU133" s="448" t="n"/>
      <c r="BV133" s="448" t="n"/>
      <c r="BW133" s="448" t="n"/>
      <c r="BX133" s="448" t="n"/>
      <c r="BY133" s="448" t="n"/>
      <c r="BZ133" s="448" t="n"/>
      <c r="CA133" s="448" t="n"/>
      <c r="CB133" s="448" t="n"/>
      <c r="CC133" s="449" t="n"/>
      <c r="CI133" s="481" t="n"/>
    </row>
    <row r="134" ht="12.95" customHeight="1">
      <c r="C134" s="66" t="n">
        <v>2</v>
      </c>
      <c r="D134" s="558">
        <f>IF(C134&lt;=$I$16, EDATE($D$6, C134-1), "")</f>
        <v/>
      </c>
      <c r="E134" s="453" t="n"/>
      <c r="F134" s="453" t="n"/>
      <c r="G134" s="453" t="n"/>
      <c r="H134" s="453" t="n"/>
      <c r="I134" s="453" t="n"/>
      <c r="J134" s="453" t="n"/>
      <c r="K134" s="453" t="n"/>
      <c r="L134" s="453" t="n"/>
      <c r="M134" s="454" t="n"/>
      <c r="N134" s="559">
        <f>IF(C134&lt;=$I$16, $I$17, "")</f>
        <v/>
      </c>
      <c r="O134" s="453" t="n"/>
      <c r="P134" s="453" t="n"/>
      <c r="Q134" s="453" t="n"/>
      <c r="R134" s="453" t="n"/>
      <c r="S134" s="453" t="n"/>
      <c r="T134" s="453" t="n"/>
      <c r="U134" s="453" t="n"/>
      <c r="V134" s="453" t="n"/>
      <c r="W134" s="453" t="n"/>
      <c r="X134" s="453" t="n"/>
      <c r="Y134" s="454" t="n"/>
      <c r="Z134" s="65" t="n"/>
      <c r="AA134" s="65" t="n"/>
      <c r="AB134" s="65" t="n"/>
      <c r="AC134" s="65" t="n"/>
      <c r="AD134" s="66" t="n">
        <v>2</v>
      </c>
      <c r="AE134" s="558">
        <f>D134</f>
        <v/>
      </c>
      <c r="AF134" s="453" t="n"/>
      <c r="AG134" s="453" t="n"/>
      <c r="AH134" s="453" t="n"/>
      <c r="AI134" s="453" t="n"/>
      <c r="AJ134" s="453" t="n"/>
      <c r="AK134" s="453" t="n"/>
      <c r="AL134" s="453" t="n"/>
      <c r="AM134" s="453" t="n"/>
      <c r="AN134" s="454" t="n"/>
      <c r="AO134" s="559">
        <f>AO133</f>
        <v/>
      </c>
      <c r="AP134" s="453" t="n"/>
      <c r="AQ134" s="453" t="n"/>
      <c r="AR134" s="453" t="n"/>
      <c r="AS134" s="453" t="n"/>
      <c r="AT134" s="453" t="n"/>
      <c r="AU134" s="453" t="n"/>
      <c r="AV134" s="453" t="n"/>
      <c r="AW134" s="453" t="n"/>
      <c r="AX134" s="453" t="n"/>
      <c r="AY134" s="453" t="n"/>
      <c r="AZ134" s="454" t="n"/>
      <c r="BA134" s="65" t="n"/>
      <c r="BB134" s="65" t="n"/>
      <c r="BC134" s="65" t="n"/>
      <c r="BD134" s="65" t="n"/>
      <c r="BE134" s="66" t="n">
        <v>2</v>
      </c>
      <c r="BF134" s="558">
        <f>AE134</f>
        <v/>
      </c>
      <c r="BG134" s="453" t="n"/>
      <c r="BH134" s="453" t="n"/>
      <c r="BI134" s="453" t="n"/>
      <c r="BJ134" s="453" t="n"/>
      <c r="BK134" s="453" t="n"/>
      <c r="BL134" s="453" t="n"/>
      <c r="BM134" s="453" t="n"/>
      <c r="BN134" s="453" t="n"/>
      <c r="BO134" s="454" t="n"/>
      <c r="BP134" s="565">
        <f>BP133</f>
        <v/>
      </c>
      <c r="BQ134" s="453" t="n"/>
      <c r="BR134" s="453" t="n"/>
      <c r="BS134" s="453" t="n"/>
      <c r="BT134" s="453" t="n"/>
      <c r="BU134" s="453" t="n"/>
      <c r="BV134" s="453" t="n"/>
      <c r="BW134" s="453" t="n"/>
      <c r="BX134" s="453" t="n"/>
      <c r="BY134" s="453" t="n"/>
      <c r="BZ134" s="453" t="n"/>
      <c r="CA134" s="453" t="n"/>
      <c r="CB134" s="453" t="n"/>
      <c r="CC134" s="454" t="n"/>
      <c r="CI134" s="481" t="n"/>
    </row>
    <row r="135" ht="12.95" customHeight="1">
      <c r="C135" s="66" t="n">
        <v>3</v>
      </c>
      <c r="D135" s="558">
        <f>IF(C135&lt;=$I$16, EDATE($D$6, C135-1), "")</f>
        <v/>
      </c>
      <c r="E135" s="453" t="n"/>
      <c r="F135" s="453" t="n"/>
      <c r="G135" s="453" t="n"/>
      <c r="H135" s="453" t="n"/>
      <c r="I135" s="453" t="n"/>
      <c r="J135" s="453" t="n"/>
      <c r="K135" s="453" t="n"/>
      <c r="L135" s="453" t="n"/>
      <c r="M135" s="454" t="n"/>
      <c r="N135" s="559">
        <f>IF(C135&lt;=$I$16, $I$17, "")</f>
        <v/>
      </c>
      <c r="O135" s="453" t="n"/>
      <c r="P135" s="453" t="n"/>
      <c r="Q135" s="453" t="n"/>
      <c r="R135" s="453" t="n"/>
      <c r="S135" s="453" t="n"/>
      <c r="T135" s="453" t="n"/>
      <c r="U135" s="453" t="n"/>
      <c r="V135" s="453" t="n"/>
      <c r="W135" s="453" t="n"/>
      <c r="X135" s="453" t="n"/>
      <c r="Y135" s="454" t="n"/>
      <c r="Z135" s="65" t="n"/>
      <c r="AA135" s="65" t="n"/>
      <c r="AB135" s="65" t="n"/>
      <c r="AC135" s="65" t="n"/>
      <c r="AD135" s="66" t="n">
        <v>3</v>
      </c>
      <c r="AE135" s="558">
        <f>D135</f>
        <v/>
      </c>
      <c r="AF135" s="453" t="n"/>
      <c r="AG135" s="453" t="n"/>
      <c r="AH135" s="453" t="n"/>
      <c r="AI135" s="453" t="n"/>
      <c r="AJ135" s="453" t="n"/>
      <c r="AK135" s="453" t="n"/>
      <c r="AL135" s="453" t="n"/>
      <c r="AM135" s="453" t="n"/>
      <c r="AN135" s="454" t="n"/>
      <c r="AO135" s="559">
        <f>AO134</f>
        <v/>
      </c>
      <c r="AP135" s="453" t="n"/>
      <c r="AQ135" s="453" t="n"/>
      <c r="AR135" s="453" t="n"/>
      <c r="AS135" s="453" t="n"/>
      <c r="AT135" s="453" t="n"/>
      <c r="AU135" s="453" t="n"/>
      <c r="AV135" s="453" t="n"/>
      <c r="AW135" s="453" t="n"/>
      <c r="AX135" s="453" t="n"/>
      <c r="AY135" s="453" t="n"/>
      <c r="AZ135" s="454" t="n"/>
      <c r="BA135" s="65" t="n"/>
      <c r="BB135" s="65" t="n"/>
      <c r="BC135" s="65" t="n"/>
      <c r="BD135" s="65" t="n"/>
      <c r="BE135" s="66" t="n">
        <v>3</v>
      </c>
      <c r="BF135" s="558">
        <f>AE135</f>
        <v/>
      </c>
      <c r="BG135" s="453" t="n"/>
      <c r="BH135" s="453" t="n"/>
      <c r="BI135" s="453" t="n"/>
      <c r="BJ135" s="453" t="n"/>
      <c r="BK135" s="453" t="n"/>
      <c r="BL135" s="453" t="n"/>
      <c r="BM135" s="453" t="n"/>
      <c r="BN135" s="453" t="n"/>
      <c r="BO135" s="454" t="n"/>
      <c r="BP135" s="564">
        <f>N135</f>
        <v/>
      </c>
      <c r="BQ135" s="448" t="n"/>
      <c r="BR135" s="448" t="n"/>
      <c r="BS135" s="448" t="n"/>
      <c r="BT135" s="448" t="n"/>
      <c r="BU135" s="448" t="n"/>
      <c r="BV135" s="448" t="n"/>
      <c r="BW135" s="448" t="n"/>
      <c r="BX135" s="448" t="n"/>
      <c r="BY135" s="448" t="n"/>
      <c r="BZ135" s="448" t="n"/>
      <c r="CA135" s="448" t="n"/>
      <c r="CB135" s="448" t="n"/>
      <c r="CC135" s="449" t="n"/>
      <c r="CI135" s="481" t="n"/>
    </row>
    <row r="136" ht="12.95" customHeight="1">
      <c r="C136" s="66" t="n">
        <v>4</v>
      </c>
      <c r="D136" s="556">
        <f>IF(C136&lt;=$I$16, EDATE($D$6, C136-1), "")</f>
        <v/>
      </c>
      <c r="E136" s="448" t="n"/>
      <c r="F136" s="448" t="n"/>
      <c r="G136" s="448" t="n"/>
      <c r="H136" s="448" t="n"/>
      <c r="I136" s="448" t="n"/>
      <c r="J136" s="448" t="n"/>
      <c r="K136" s="448" t="n"/>
      <c r="L136" s="448" t="n"/>
      <c r="M136" s="449" t="n"/>
      <c r="N136" s="559">
        <f>IF(C136&lt;=$I$16, $I$17, "")</f>
        <v/>
      </c>
      <c r="O136" s="453" t="n"/>
      <c r="P136" s="453" t="n"/>
      <c r="Q136" s="453" t="n"/>
      <c r="R136" s="453" t="n"/>
      <c r="S136" s="453" t="n"/>
      <c r="T136" s="453" t="n"/>
      <c r="U136" s="453" t="n"/>
      <c r="V136" s="453" t="n"/>
      <c r="W136" s="453" t="n"/>
      <c r="X136" s="453" t="n"/>
      <c r="Y136" s="454" t="n"/>
      <c r="Z136" s="65" t="n"/>
      <c r="AA136" s="65" t="n"/>
      <c r="AB136" s="65" t="n"/>
      <c r="AC136" s="65" t="n"/>
      <c r="AD136" s="66" t="n">
        <v>4</v>
      </c>
      <c r="AE136" s="558">
        <f>D136</f>
        <v/>
      </c>
      <c r="AF136" s="453" t="n"/>
      <c r="AG136" s="453" t="n"/>
      <c r="AH136" s="453" t="n"/>
      <c r="AI136" s="453" t="n"/>
      <c r="AJ136" s="453" t="n"/>
      <c r="AK136" s="453" t="n"/>
      <c r="AL136" s="453" t="n"/>
      <c r="AM136" s="453" t="n"/>
      <c r="AN136" s="454" t="n"/>
      <c r="AO136" s="559">
        <f>AO135</f>
        <v/>
      </c>
      <c r="AP136" s="453" t="n"/>
      <c r="AQ136" s="453" t="n"/>
      <c r="AR136" s="453" t="n"/>
      <c r="AS136" s="453" t="n"/>
      <c r="AT136" s="453" t="n"/>
      <c r="AU136" s="453" t="n"/>
      <c r="AV136" s="453" t="n"/>
      <c r="AW136" s="453" t="n"/>
      <c r="AX136" s="453" t="n"/>
      <c r="AY136" s="453" t="n"/>
      <c r="AZ136" s="454" t="n"/>
      <c r="BA136" s="65" t="n"/>
      <c r="BB136" s="65" t="n"/>
      <c r="BC136" s="65" t="n"/>
      <c r="BD136" s="65" t="n"/>
      <c r="BE136" s="66" t="n">
        <v>4</v>
      </c>
      <c r="BF136" s="558">
        <f>AE136</f>
        <v/>
      </c>
      <c r="BG136" s="453" t="n"/>
      <c r="BH136" s="453" t="n"/>
      <c r="BI136" s="453" t="n"/>
      <c r="BJ136" s="453" t="n"/>
      <c r="BK136" s="453" t="n"/>
      <c r="BL136" s="453" t="n"/>
      <c r="BM136" s="453" t="n"/>
      <c r="BN136" s="453" t="n"/>
      <c r="BO136" s="454" t="n"/>
      <c r="BP136" s="565">
        <f>BP135</f>
        <v/>
      </c>
      <c r="BQ136" s="453" t="n"/>
      <c r="BR136" s="453" t="n"/>
      <c r="BS136" s="453" t="n"/>
      <c r="BT136" s="453" t="n"/>
      <c r="BU136" s="453" t="n"/>
      <c r="BV136" s="453" t="n"/>
      <c r="BW136" s="453" t="n"/>
      <c r="BX136" s="453" t="n"/>
      <c r="BY136" s="453" t="n"/>
      <c r="BZ136" s="453" t="n"/>
      <c r="CA136" s="453" t="n"/>
      <c r="CB136" s="453" t="n"/>
      <c r="CC136" s="454" t="n"/>
      <c r="CI136" s="481" t="n"/>
    </row>
    <row r="137" ht="12.95" customHeight="1">
      <c r="C137" s="66" t="n">
        <v>5</v>
      </c>
      <c r="D137" s="558">
        <f>IF(C137&lt;=$I$16, EDATE($D$6, C137-1), "")</f>
        <v/>
      </c>
      <c r="E137" s="453" t="n"/>
      <c r="F137" s="453" t="n"/>
      <c r="G137" s="453" t="n"/>
      <c r="H137" s="453" t="n"/>
      <c r="I137" s="453" t="n"/>
      <c r="J137" s="453" t="n"/>
      <c r="K137" s="453" t="n"/>
      <c r="L137" s="453" t="n"/>
      <c r="M137" s="454" t="n"/>
      <c r="N137" s="559">
        <f>IF(C137&lt;=$I$16, $I$17, "")</f>
        <v/>
      </c>
      <c r="O137" s="453" t="n"/>
      <c r="P137" s="453" t="n"/>
      <c r="Q137" s="453" t="n"/>
      <c r="R137" s="453" t="n"/>
      <c r="S137" s="453" t="n"/>
      <c r="T137" s="453" t="n"/>
      <c r="U137" s="453" t="n"/>
      <c r="V137" s="453" t="n"/>
      <c r="W137" s="453" t="n"/>
      <c r="X137" s="453" t="n"/>
      <c r="Y137" s="454" t="n"/>
      <c r="Z137" s="65" t="n"/>
      <c r="AA137" s="65" t="n"/>
      <c r="AB137" s="65" t="n"/>
      <c r="AC137" s="65" t="n"/>
      <c r="AD137" s="66" t="n">
        <v>5</v>
      </c>
      <c r="AE137" s="558">
        <f>D137</f>
        <v/>
      </c>
      <c r="AF137" s="453" t="n"/>
      <c r="AG137" s="453" t="n"/>
      <c r="AH137" s="453" t="n"/>
      <c r="AI137" s="453" t="n"/>
      <c r="AJ137" s="453" t="n"/>
      <c r="AK137" s="453" t="n"/>
      <c r="AL137" s="453" t="n"/>
      <c r="AM137" s="453" t="n"/>
      <c r="AN137" s="454" t="n"/>
      <c r="AO137" s="559">
        <f>AO136</f>
        <v/>
      </c>
      <c r="AP137" s="453" t="n"/>
      <c r="AQ137" s="453" t="n"/>
      <c r="AR137" s="453" t="n"/>
      <c r="AS137" s="453" t="n"/>
      <c r="AT137" s="453" t="n"/>
      <c r="AU137" s="453" t="n"/>
      <c r="AV137" s="453" t="n"/>
      <c r="AW137" s="453" t="n"/>
      <c r="AX137" s="453" t="n"/>
      <c r="AY137" s="453" t="n"/>
      <c r="AZ137" s="454" t="n"/>
      <c r="BA137" s="65" t="n"/>
      <c r="BB137" s="65" t="n"/>
      <c r="BC137" s="65" t="n"/>
      <c r="BD137" s="65" t="n"/>
      <c r="BE137" s="66" t="n">
        <v>5</v>
      </c>
      <c r="BF137" s="558">
        <f>AE137</f>
        <v/>
      </c>
      <c r="BG137" s="453" t="n"/>
      <c r="BH137" s="453" t="n"/>
      <c r="BI137" s="453" t="n"/>
      <c r="BJ137" s="453" t="n"/>
      <c r="BK137" s="453" t="n"/>
      <c r="BL137" s="453" t="n"/>
      <c r="BM137" s="453" t="n"/>
      <c r="BN137" s="453" t="n"/>
      <c r="BO137" s="454" t="n"/>
      <c r="BP137" s="565" t="n"/>
      <c r="BQ137" s="453" t="n"/>
      <c r="BR137" s="453" t="n"/>
      <c r="BS137" s="453" t="n"/>
      <c r="BT137" s="453" t="n"/>
      <c r="BU137" s="453" t="n"/>
      <c r="BV137" s="453" t="n"/>
      <c r="BW137" s="453" t="n"/>
      <c r="BX137" s="453" t="n"/>
      <c r="BY137" s="453" t="n"/>
      <c r="BZ137" s="453" t="n"/>
      <c r="CA137" s="453" t="n"/>
      <c r="CB137" s="453" t="n"/>
      <c r="CC137" s="454" t="n"/>
      <c r="CI137" s="481" t="n"/>
    </row>
    <row r="138" ht="12.95" customHeight="1">
      <c r="C138" s="66" t="n">
        <v>6</v>
      </c>
      <c r="D138" s="558">
        <f>IF(C138&lt;=$I$16, EDATE($D$6, C138-1), "")</f>
        <v/>
      </c>
      <c r="E138" s="453" t="n"/>
      <c r="F138" s="453" t="n"/>
      <c r="G138" s="453" t="n"/>
      <c r="H138" s="453" t="n"/>
      <c r="I138" s="453" t="n"/>
      <c r="J138" s="453" t="n"/>
      <c r="K138" s="453" t="n"/>
      <c r="L138" s="453" t="n"/>
      <c r="M138" s="454" t="n"/>
      <c r="N138" s="559">
        <f>IF(C138&lt;=$I$16, $I$17, "")</f>
        <v/>
      </c>
      <c r="O138" s="453" t="n"/>
      <c r="P138" s="453" t="n"/>
      <c r="Q138" s="453" t="n"/>
      <c r="R138" s="453" t="n"/>
      <c r="S138" s="453" t="n"/>
      <c r="T138" s="453" t="n"/>
      <c r="U138" s="453" t="n"/>
      <c r="V138" s="453" t="n"/>
      <c r="W138" s="453" t="n"/>
      <c r="X138" s="453" t="n"/>
      <c r="Y138" s="454" t="n"/>
      <c r="Z138" s="65" t="n"/>
      <c r="AA138" s="65" t="n"/>
      <c r="AB138" s="65" t="n"/>
      <c r="AC138" s="65" t="n"/>
      <c r="AD138" s="66" t="n">
        <v>6</v>
      </c>
      <c r="AE138" s="558">
        <f>D138</f>
        <v/>
      </c>
      <c r="AF138" s="453" t="n"/>
      <c r="AG138" s="453" t="n"/>
      <c r="AH138" s="453" t="n"/>
      <c r="AI138" s="453" t="n"/>
      <c r="AJ138" s="453" t="n"/>
      <c r="AK138" s="453" t="n"/>
      <c r="AL138" s="453" t="n"/>
      <c r="AM138" s="453" t="n"/>
      <c r="AN138" s="454" t="n"/>
      <c r="AO138" s="559">
        <f>AO137</f>
        <v/>
      </c>
      <c r="AP138" s="453" t="n"/>
      <c r="AQ138" s="453" t="n"/>
      <c r="AR138" s="453" t="n"/>
      <c r="AS138" s="453" t="n"/>
      <c r="AT138" s="453" t="n"/>
      <c r="AU138" s="453" t="n"/>
      <c r="AV138" s="453" t="n"/>
      <c r="AW138" s="453" t="n"/>
      <c r="AX138" s="453" t="n"/>
      <c r="AY138" s="453" t="n"/>
      <c r="AZ138" s="454" t="n"/>
      <c r="BA138" s="65" t="n"/>
      <c r="BB138" s="65" t="n"/>
      <c r="BC138" s="65" t="n"/>
      <c r="BD138" s="65" t="n"/>
      <c r="BE138" s="66" t="n">
        <v>6</v>
      </c>
      <c r="BF138" s="558">
        <f>AE138</f>
        <v/>
      </c>
      <c r="BG138" s="453" t="n"/>
      <c r="BH138" s="453" t="n"/>
      <c r="BI138" s="453" t="n"/>
      <c r="BJ138" s="453" t="n"/>
      <c r="BK138" s="453" t="n"/>
      <c r="BL138" s="453" t="n"/>
      <c r="BM138" s="453" t="n"/>
      <c r="BN138" s="453" t="n"/>
      <c r="BO138" s="454" t="n"/>
      <c r="BP138" s="565" t="n"/>
      <c r="BQ138" s="453" t="n"/>
      <c r="BR138" s="453" t="n"/>
      <c r="BS138" s="453" t="n"/>
      <c r="BT138" s="453" t="n"/>
      <c r="BU138" s="453" t="n"/>
      <c r="BV138" s="453" t="n"/>
      <c r="BW138" s="453" t="n"/>
      <c r="BX138" s="453" t="n"/>
      <c r="BY138" s="453" t="n"/>
      <c r="BZ138" s="453" t="n"/>
      <c r="CA138" s="453" t="n"/>
      <c r="CB138" s="453" t="n"/>
      <c r="CC138" s="454" t="n"/>
      <c r="CI138" s="481" t="n"/>
    </row>
    <row r="139" ht="12.95" customHeight="1">
      <c r="C139" s="66" t="n">
        <v>7</v>
      </c>
      <c r="D139" s="556">
        <f>IF(C139&lt;=$I$16, EDATE($D$6, C139-1), "")</f>
        <v/>
      </c>
      <c r="E139" s="448" t="n"/>
      <c r="F139" s="448" t="n"/>
      <c r="G139" s="448" t="n"/>
      <c r="H139" s="448" t="n"/>
      <c r="I139" s="448" t="n"/>
      <c r="J139" s="448" t="n"/>
      <c r="K139" s="448" t="n"/>
      <c r="L139" s="448" t="n"/>
      <c r="M139" s="449" t="n"/>
      <c r="N139" s="559">
        <f>IF(C139&lt;=$I$16, $I$17, "")</f>
        <v/>
      </c>
      <c r="O139" s="453" t="n"/>
      <c r="P139" s="453" t="n"/>
      <c r="Q139" s="453" t="n"/>
      <c r="R139" s="453" t="n"/>
      <c r="S139" s="453" t="n"/>
      <c r="T139" s="453" t="n"/>
      <c r="U139" s="453" t="n"/>
      <c r="V139" s="453" t="n"/>
      <c r="W139" s="453" t="n"/>
      <c r="X139" s="453" t="n"/>
      <c r="Y139" s="454" t="n"/>
      <c r="Z139" s="65" t="n"/>
      <c r="AA139" s="65" t="n"/>
      <c r="AB139" s="65" t="n"/>
      <c r="AC139" s="65" t="n"/>
      <c r="AD139" s="66" t="n">
        <v>7</v>
      </c>
      <c r="AE139" s="558">
        <f>D139</f>
        <v/>
      </c>
      <c r="AF139" s="453" t="n"/>
      <c r="AG139" s="453" t="n"/>
      <c r="AH139" s="453" t="n"/>
      <c r="AI139" s="453" t="n"/>
      <c r="AJ139" s="453" t="n"/>
      <c r="AK139" s="453" t="n"/>
      <c r="AL139" s="453" t="n"/>
      <c r="AM139" s="453" t="n"/>
      <c r="AN139" s="454" t="n"/>
      <c r="AO139" s="559">
        <f>AO138</f>
        <v/>
      </c>
      <c r="AP139" s="453" t="n"/>
      <c r="AQ139" s="453" t="n"/>
      <c r="AR139" s="453" t="n"/>
      <c r="AS139" s="453" t="n"/>
      <c r="AT139" s="453" t="n"/>
      <c r="AU139" s="453" t="n"/>
      <c r="AV139" s="453" t="n"/>
      <c r="AW139" s="453" t="n"/>
      <c r="AX139" s="453" t="n"/>
      <c r="AY139" s="453" t="n"/>
      <c r="AZ139" s="454" t="n"/>
      <c r="BA139" s="65" t="n"/>
      <c r="BB139" s="65" t="n"/>
      <c r="BC139" s="65" t="n"/>
      <c r="BD139" s="65" t="n"/>
      <c r="BE139" s="66" t="n">
        <v>7</v>
      </c>
      <c r="BF139" s="558">
        <f>AE139</f>
        <v/>
      </c>
      <c r="BG139" s="453" t="n"/>
      <c r="BH139" s="453" t="n"/>
      <c r="BI139" s="453" t="n"/>
      <c r="BJ139" s="453" t="n"/>
      <c r="BK139" s="453" t="n"/>
      <c r="BL139" s="453" t="n"/>
      <c r="BM139" s="453" t="n"/>
      <c r="BN139" s="453" t="n"/>
      <c r="BO139" s="454" t="n"/>
      <c r="BP139" s="565" t="n"/>
      <c r="BQ139" s="453" t="n"/>
      <c r="BR139" s="453" t="n"/>
      <c r="BS139" s="453" t="n"/>
      <c r="BT139" s="453" t="n"/>
      <c r="BU139" s="453" t="n"/>
      <c r="BV139" s="453" t="n"/>
      <c r="BW139" s="453" t="n"/>
      <c r="BX139" s="453" t="n"/>
      <c r="BY139" s="453" t="n"/>
      <c r="BZ139" s="453" t="n"/>
      <c r="CA139" s="453" t="n"/>
      <c r="CB139" s="453" t="n"/>
      <c r="CC139" s="454" t="n"/>
      <c r="CI139" s="481" t="n"/>
    </row>
    <row r="140" ht="12.95" customHeight="1">
      <c r="C140" s="66" t="n">
        <v>8</v>
      </c>
      <c r="D140" s="558">
        <f>IF(C140&lt;=$I$16, EDATE($D$6, C140-1), "")</f>
        <v/>
      </c>
      <c r="E140" s="453" t="n"/>
      <c r="F140" s="453" t="n"/>
      <c r="G140" s="453" t="n"/>
      <c r="H140" s="453" t="n"/>
      <c r="I140" s="453" t="n"/>
      <c r="J140" s="453" t="n"/>
      <c r="K140" s="453" t="n"/>
      <c r="L140" s="453" t="n"/>
      <c r="M140" s="454" t="n"/>
      <c r="N140" s="559">
        <f>IF(C140&lt;=$I$16, $I$17, "")</f>
        <v/>
      </c>
      <c r="O140" s="453" t="n"/>
      <c r="P140" s="453" t="n"/>
      <c r="Q140" s="453" t="n"/>
      <c r="R140" s="453" t="n"/>
      <c r="S140" s="453" t="n"/>
      <c r="T140" s="453" t="n"/>
      <c r="U140" s="453" t="n"/>
      <c r="V140" s="453" t="n"/>
      <c r="W140" s="453" t="n"/>
      <c r="X140" s="453" t="n"/>
      <c r="Y140" s="454" t="n"/>
      <c r="Z140" s="65" t="n"/>
      <c r="AA140" s="65" t="n"/>
      <c r="AB140" s="65" t="n"/>
      <c r="AC140" s="65" t="n"/>
      <c r="AD140" s="66" t="n">
        <v>8</v>
      </c>
      <c r="AE140" s="558">
        <f>D140</f>
        <v/>
      </c>
      <c r="AF140" s="453" t="n"/>
      <c r="AG140" s="453" t="n"/>
      <c r="AH140" s="453" t="n"/>
      <c r="AI140" s="453" t="n"/>
      <c r="AJ140" s="453" t="n"/>
      <c r="AK140" s="453" t="n"/>
      <c r="AL140" s="453" t="n"/>
      <c r="AM140" s="453" t="n"/>
      <c r="AN140" s="454" t="n"/>
      <c r="AO140" s="559">
        <f>AO139</f>
        <v/>
      </c>
      <c r="AP140" s="453" t="n"/>
      <c r="AQ140" s="453" t="n"/>
      <c r="AR140" s="453" t="n"/>
      <c r="AS140" s="453" t="n"/>
      <c r="AT140" s="453" t="n"/>
      <c r="AU140" s="453" t="n"/>
      <c r="AV140" s="453" t="n"/>
      <c r="AW140" s="453" t="n"/>
      <c r="AX140" s="453" t="n"/>
      <c r="AY140" s="453" t="n"/>
      <c r="AZ140" s="454" t="n"/>
      <c r="BA140" s="65" t="n"/>
      <c r="BB140" s="65" t="n"/>
      <c r="BC140" s="65" t="n"/>
      <c r="BD140" s="65" t="n"/>
      <c r="BE140" s="66" t="n">
        <v>8</v>
      </c>
      <c r="BF140" s="558">
        <f>AE140</f>
        <v/>
      </c>
      <c r="BG140" s="453" t="n"/>
      <c r="BH140" s="453" t="n"/>
      <c r="BI140" s="453" t="n"/>
      <c r="BJ140" s="453" t="n"/>
      <c r="BK140" s="453" t="n"/>
      <c r="BL140" s="453" t="n"/>
      <c r="BM140" s="453" t="n"/>
      <c r="BN140" s="453" t="n"/>
      <c r="BO140" s="454" t="n"/>
      <c r="BP140" s="565" t="n"/>
      <c r="BQ140" s="453" t="n"/>
      <c r="BR140" s="453" t="n"/>
      <c r="BS140" s="453" t="n"/>
      <c r="BT140" s="453" t="n"/>
      <c r="BU140" s="453" t="n"/>
      <c r="BV140" s="453" t="n"/>
      <c r="BW140" s="453" t="n"/>
      <c r="BX140" s="453" t="n"/>
      <c r="BY140" s="453" t="n"/>
      <c r="BZ140" s="453" t="n"/>
      <c r="CA140" s="453" t="n"/>
      <c r="CB140" s="453" t="n"/>
      <c r="CC140" s="454" t="n"/>
      <c r="CI140" s="481" t="n"/>
    </row>
    <row r="141" ht="12.95" customHeight="1">
      <c r="C141" s="66" t="n">
        <v>9</v>
      </c>
      <c r="D141" s="558">
        <f>IF(C141&lt;=$I$16, EDATE($D$6, C141-1), "")</f>
        <v/>
      </c>
      <c r="E141" s="453" t="n"/>
      <c r="F141" s="453" t="n"/>
      <c r="G141" s="453" t="n"/>
      <c r="H141" s="453" t="n"/>
      <c r="I141" s="453" t="n"/>
      <c r="J141" s="453" t="n"/>
      <c r="K141" s="453" t="n"/>
      <c r="L141" s="453" t="n"/>
      <c r="M141" s="454" t="n"/>
      <c r="N141" s="559">
        <f>IF(C141&lt;=$I$16, $I$17, "")</f>
        <v/>
      </c>
      <c r="O141" s="453" t="n"/>
      <c r="P141" s="453" t="n"/>
      <c r="Q141" s="453" t="n"/>
      <c r="R141" s="453" t="n"/>
      <c r="S141" s="453" t="n"/>
      <c r="T141" s="453" t="n"/>
      <c r="U141" s="453" t="n"/>
      <c r="V141" s="453" t="n"/>
      <c r="W141" s="453" t="n"/>
      <c r="X141" s="453" t="n"/>
      <c r="Y141" s="454" t="n"/>
      <c r="Z141" s="65" t="n"/>
      <c r="AA141" s="65" t="n"/>
      <c r="AB141" s="65" t="n"/>
      <c r="AC141" s="65" t="n"/>
      <c r="AD141" s="66" t="n">
        <v>9</v>
      </c>
      <c r="AE141" s="558">
        <f>D141</f>
        <v/>
      </c>
      <c r="AF141" s="453" t="n"/>
      <c r="AG141" s="453" t="n"/>
      <c r="AH141" s="453" t="n"/>
      <c r="AI141" s="453" t="n"/>
      <c r="AJ141" s="453" t="n"/>
      <c r="AK141" s="453" t="n"/>
      <c r="AL141" s="453" t="n"/>
      <c r="AM141" s="453" t="n"/>
      <c r="AN141" s="454" t="n"/>
      <c r="AO141" s="559">
        <f>AO140</f>
        <v/>
      </c>
      <c r="AP141" s="453" t="n"/>
      <c r="AQ141" s="453" t="n"/>
      <c r="AR141" s="453" t="n"/>
      <c r="AS141" s="453" t="n"/>
      <c r="AT141" s="453" t="n"/>
      <c r="AU141" s="453" t="n"/>
      <c r="AV141" s="453" t="n"/>
      <c r="AW141" s="453" t="n"/>
      <c r="AX141" s="453" t="n"/>
      <c r="AY141" s="453" t="n"/>
      <c r="AZ141" s="454" t="n"/>
      <c r="BA141" s="65" t="n"/>
      <c r="BB141" s="65" t="n"/>
      <c r="BC141" s="65" t="n"/>
      <c r="BD141" s="65" t="n"/>
      <c r="BE141" s="66" t="n">
        <v>9</v>
      </c>
      <c r="BF141" s="558">
        <f>AE141</f>
        <v/>
      </c>
      <c r="BG141" s="453" t="n"/>
      <c r="BH141" s="453" t="n"/>
      <c r="BI141" s="453" t="n"/>
      <c r="BJ141" s="453" t="n"/>
      <c r="BK141" s="453" t="n"/>
      <c r="BL141" s="453" t="n"/>
      <c r="BM141" s="453" t="n"/>
      <c r="BN141" s="453" t="n"/>
      <c r="BO141" s="454" t="n"/>
      <c r="BP141" s="565" t="n"/>
      <c r="BQ141" s="453" t="n"/>
      <c r="BR141" s="453" t="n"/>
      <c r="BS141" s="453" t="n"/>
      <c r="BT141" s="453" t="n"/>
      <c r="BU141" s="453" t="n"/>
      <c r="BV141" s="453" t="n"/>
      <c r="BW141" s="453" t="n"/>
      <c r="BX141" s="453" t="n"/>
      <c r="BY141" s="453" t="n"/>
      <c r="BZ141" s="453" t="n"/>
      <c r="CA141" s="453" t="n"/>
      <c r="CB141" s="453" t="n"/>
      <c r="CC141" s="454" t="n"/>
      <c r="CI141" s="481" t="n"/>
    </row>
    <row r="142" ht="12.95" customHeight="1">
      <c r="C142" s="66" t="n">
        <v>10</v>
      </c>
      <c r="D142" s="556">
        <f>IF(C142&lt;=$I$16, EDATE($D$6, C142-1), "")</f>
        <v/>
      </c>
      <c r="E142" s="448" t="n"/>
      <c r="F142" s="448" t="n"/>
      <c r="G142" s="448" t="n"/>
      <c r="H142" s="448" t="n"/>
      <c r="I142" s="448" t="n"/>
      <c r="J142" s="448" t="n"/>
      <c r="K142" s="448" t="n"/>
      <c r="L142" s="448" t="n"/>
      <c r="M142" s="449" t="n"/>
      <c r="N142" s="559">
        <f>IF(C142&lt;=$I$16, $I$17, "")</f>
        <v/>
      </c>
      <c r="O142" s="453" t="n"/>
      <c r="P142" s="453" t="n"/>
      <c r="Q142" s="453" t="n"/>
      <c r="R142" s="453" t="n"/>
      <c r="S142" s="453" t="n"/>
      <c r="T142" s="453" t="n"/>
      <c r="U142" s="453" t="n"/>
      <c r="V142" s="453" t="n"/>
      <c r="W142" s="453" t="n"/>
      <c r="X142" s="453" t="n"/>
      <c r="Y142" s="454" t="n"/>
      <c r="Z142" s="65" t="n"/>
      <c r="AA142" s="65" t="n"/>
      <c r="AB142" s="65" t="n"/>
      <c r="AC142" s="65" t="n"/>
      <c r="AD142" s="66" t="n">
        <v>10</v>
      </c>
      <c r="AE142" s="558">
        <f>D142</f>
        <v/>
      </c>
      <c r="AF142" s="453" t="n"/>
      <c r="AG142" s="453" t="n"/>
      <c r="AH142" s="453" t="n"/>
      <c r="AI142" s="453" t="n"/>
      <c r="AJ142" s="453" t="n"/>
      <c r="AK142" s="453" t="n"/>
      <c r="AL142" s="453" t="n"/>
      <c r="AM142" s="453" t="n"/>
      <c r="AN142" s="454" t="n"/>
      <c r="AO142" s="559">
        <f>AO141</f>
        <v/>
      </c>
      <c r="AP142" s="453" t="n"/>
      <c r="AQ142" s="453" t="n"/>
      <c r="AR142" s="453" t="n"/>
      <c r="AS142" s="453" t="n"/>
      <c r="AT142" s="453" t="n"/>
      <c r="AU142" s="453" t="n"/>
      <c r="AV142" s="453" t="n"/>
      <c r="AW142" s="453" t="n"/>
      <c r="AX142" s="453" t="n"/>
      <c r="AY142" s="453" t="n"/>
      <c r="AZ142" s="454" t="n"/>
      <c r="BA142" s="65" t="n"/>
      <c r="BB142" s="65" t="n"/>
      <c r="BC142" s="65" t="n"/>
      <c r="BD142" s="65" t="n"/>
      <c r="BE142" s="66" t="n">
        <v>10</v>
      </c>
      <c r="BF142" s="558">
        <f>AE142</f>
        <v/>
      </c>
      <c r="BG142" s="453" t="n"/>
      <c r="BH142" s="453" t="n"/>
      <c r="BI142" s="453" t="n"/>
      <c r="BJ142" s="453" t="n"/>
      <c r="BK142" s="453" t="n"/>
      <c r="BL142" s="453" t="n"/>
      <c r="BM142" s="453" t="n"/>
      <c r="BN142" s="453" t="n"/>
      <c r="BO142" s="454" t="n"/>
      <c r="BP142" s="565" t="n"/>
      <c r="BQ142" s="453" t="n"/>
      <c r="BR142" s="453" t="n"/>
      <c r="BS142" s="453" t="n"/>
      <c r="BT142" s="453" t="n"/>
      <c r="BU142" s="453" t="n"/>
      <c r="BV142" s="453" t="n"/>
      <c r="BW142" s="453" t="n"/>
      <c r="BX142" s="453" t="n"/>
      <c r="BY142" s="453" t="n"/>
      <c r="BZ142" s="453" t="n"/>
      <c r="CA142" s="453" t="n"/>
      <c r="CB142" s="453" t="n"/>
      <c r="CC142" s="454" t="n"/>
      <c r="CI142" s="481" t="n"/>
    </row>
    <row r="143" ht="12.95" customHeight="1">
      <c r="C143" s="66" t="n">
        <v>11</v>
      </c>
      <c r="D143" s="558">
        <f>IF(C143&lt;=$I$16, EDATE($D$6, C143-1), "")</f>
        <v/>
      </c>
      <c r="E143" s="453" t="n"/>
      <c r="F143" s="453" t="n"/>
      <c r="G143" s="453" t="n"/>
      <c r="H143" s="453" t="n"/>
      <c r="I143" s="453" t="n"/>
      <c r="J143" s="453" t="n"/>
      <c r="K143" s="453" t="n"/>
      <c r="L143" s="453" t="n"/>
      <c r="M143" s="454" t="n"/>
      <c r="N143" s="559">
        <f>IF(C143&lt;=$I$16, $I$17, "")</f>
        <v/>
      </c>
      <c r="O143" s="453" t="n"/>
      <c r="P143" s="453" t="n"/>
      <c r="Q143" s="453" t="n"/>
      <c r="R143" s="453" t="n"/>
      <c r="S143" s="453" t="n"/>
      <c r="T143" s="453" t="n"/>
      <c r="U143" s="453" t="n"/>
      <c r="V143" s="453" t="n"/>
      <c r="W143" s="453" t="n"/>
      <c r="X143" s="453" t="n"/>
      <c r="Y143" s="454" t="n"/>
      <c r="Z143" s="65" t="n"/>
      <c r="AA143" s="65" t="n"/>
      <c r="AB143" s="65" t="n"/>
      <c r="AC143" s="65" t="n"/>
      <c r="AD143" s="66" t="n">
        <v>11</v>
      </c>
      <c r="AE143" s="558">
        <f>D143</f>
        <v/>
      </c>
      <c r="AF143" s="453" t="n"/>
      <c r="AG143" s="453" t="n"/>
      <c r="AH143" s="453" t="n"/>
      <c r="AI143" s="453" t="n"/>
      <c r="AJ143" s="453" t="n"/>
      <c r="AK143" s="453" t="n"/>
      <c r="AL143" s="453" t="n"/>
      <c r="AM143" s="453" t="n"/>
      <c r="AN143" s="454" t="n"/>
      <c r="AO143" s="559">
        <f>AO142</f>
        <v/>
      </c>
      <c r="AP143" s="453" t="n"/>
      <c r="AQ143" s="453" t="n"/>
      <c r="AR143" s="453" t="n"/>
      <c r="AS143" s="453" t="n"/>
      <c r="AT143" s="453" t="n"/>
      <c r="AU143" s="453" t="n"/>
      <c r="AV143" s="453" t="n"/>
      <c r="AW143" s="453" t="n"/>
      <c r="AX143" s="453" t="n"/>
      <c r="AY143" s="453" t="n"/>
      <c r="AZ143" s="454" t="n"/>
      <c r="BA143" s="65" t="n"/>
      <c r="BB143" s="65" t="n"/>
      <c r="BC143" s="65" t="n"/>
      <c r="BD143" s="65" t="n"/>
      <c r="BE143" s="66" t="n">
        <v>11</v>
      </c>
      <c r="BF143" s="558">
        <f>AE143</f>
        <v/>
      </c>
      <c r="BG143" s="453" t="n"/>
      <c r="BH143" s="453" t="n"/>
      <c r="BI143" s="453" t="n"/>
      <c r="BJ143" s="453" t="n"/>
      <c r="BK143" s="453" t="n"/>
      <c r="BL143" s="453" t="n"/>
      <c r="BM143" s="453" t="n"/>
      <c r="BN143" s="453" t="n"/>
      <c r="BO143" s="454" t="n"/>
      <c r="BP143" s="565" t="n"/>
      <c r="BQ143" s="453" t="n"/>
      <c r="BR143" s="453" t="n"/>
      <c r="BS143" s="453" t="n"/>
      <c r="BT143" s="453" t="n"/>
      <c r="BU143" s="453" t="n"/>
      <c r="BV143" s="453" t="n"/>
      <c r="BW143" s="453" t="n"/>
      <c r="BX143" s="453" t="n"/>
      <c r="BY143" s="453" t="n"/>
      <c r="BZ143" s="453" t="n"/>
      <c r="CA143" s="453" t="n"/>
      <c r="CB143" s="453" t="n"/>
      <c r="CC143" s="454" t="n"/>
      <c r="CI143" s="481" t="n"/>
    </row>
    <row r="144" ht="12.95" customHeight="1">
      <c r="C144" s="66" t="n">
        <v>12</v>
      </c>
      <c r="D144" s="558">
        <f>IF(C144&lt;=$I$16, EDATE($D$6, C144-1), "")</f>
        <v/>
      </c>
      <c r="E144" s="453" t="n"/>
      <c r="F144" s="453" t="n"/>
      <c r="G144" s="453" t="n"/>
      <c r="H144" s="453" t="n"/>
      <c r="I144" s="453" t="n"/>
      <c r="J144" s="453" t="n"/>
      <c r="K144" s="453" t="n"/>
      <c r="L144" s="453" t="n"/>
      <c r="M144" s="454" t="n"/>
      <c r="N144" s="559">
        <f>IF(C144&lt;=$I$16, $I$17, "")</f>
        <v/>
      </c>
      <c r="O144" s="453" t="n"/>
      <c r="P144" s="453" t="n"/>
      <c r="Q144" s="453" t="n"/>
      <c r="R144" s="453" t="n"/>
      <c r="S144" s="453" t="n"/>
      <c r="T144" s="453" t="n"/>
      <c r="U144" s="453" t="n"/>
      <c r="V144" s="453" t="n"/>
      <c r="W144" s="453" t="n"/>
      <c r="X144" s="453" t="n"/>
      <c r="Y144" s="454" t="n"/>
      <c r="Z144" s="65" t="n"/>
      <c r="AA144" s="65" t="n"/>
      <c r="AB144" s="65" t="n"/>
      <c r="AC144" s="65" t="n"/>
      <c r="AD144" s="66" t="n">
        <v>12</v>
      </c>
      <c r="AE144" s="558">
        <f>D144</f>
        <v/>
      </c>
      <c r="AF144" s="453" t="n"/>
      <c r="AG144" s="453" t="n"/>
      <c r="AH144" s="453" t="n"/>
      <c r="AI144" s="453" t="n"/>
      <c r="AJ144" s="453" t="n"/>
      <c r="AK144" s="453" t="n"/>
      <c r="AL144" s="453" t="n"/>
      <c r="AM144" s="453" t="n"/>
      <c r="AN144" s="454" t="n"/>
      <c r="AO144" s="559">
        <f>AO143</f>
        <v/>
      </c>
      <c r="AP144" s="453" t="n"/>
      <c r="AQ144" s="453" t="n"/>
      <c r="AR144" s="453" t="n"/>
      <c r="AS144" s="453" t="n"/>
      <c r="AT144" s="453" t="n"/>
      <c r="AU144" s="453" t="n"/>
      <c r="AV144" s="453" t="n"/>
      <c r="AW144" s="453" t="n"/>
      <c r="AX144" s="453" t="n"/>
      <c r="AY144" s="453" t="n"/>
      <c r="AZ144" s="454" t="n"/>
      <c r="BA144" s="65" t="n"/>
      <c r="BB144" s="65" t="n"/>
      <c r="BC144" s="65" t="n"/>
      <c r="BD144" s="65" t="n"/>
      <c r="BE144" s="66" t="n">
        <v>12</v>
      </c>
      <c r="BF144" s="558">
        <f>AE144</f>
        <v/>
      </c>
      <c r="BG144" s="453" t="n"/>
      <c r="BH144" s="453" t="n"/>
      <c r="BI144" s="453" t="n"/>
      <c r="BJ144" s="453" t="n"/>
      <c r="BK144" s="453" t="n"/>
      <c r="BL144" s="453" t="n"/>
      <c r="BM144" s="453" t="n"/>
      <c r="BN144" s="453" t="n"/>
      <c r="BO144" s="454" t="n"/>
      <c r="BP144" s="407" t="n"/>
      <c r="BQ144" s="453" t="n"/>
      <c r="BR144" s="453" t="n"/>
      <c r="BS144" s="453" t="n"/>
      <c r="BT144" s="453" t="n"/>
      <c r="BU144" s="453" t="n"/>
      <c r="BV144" s="453" t="n"/>
      <c r="BW144" s="453" t="n"/>
      <c r="BX144" s="453" t="n"/>
      <c r="BY144" s="453" t="n"/>
      <c r="BZ144" s="453" t="n"/>
      <c r="CA144" s="453" t="n"/>
      <c r="CB144" s="453" t="n"/>
      <c r="CC144" s="454" t="n"/>
      <c r="CI144" s="481" t="n"/>
    </row>
    <row r="145" ht="12.95" customHeight="1">
      <c r="C145" s="66" t="n">
        <v>13</v>
      </c>
      <c r="D145" s="556">
        <f>IF(C145&lt;=$I$16, EDATE($D$6, C145-1), "")</f>
        <v/>
      </c>
      <c r="E145" s="448" t="n"/>
      <c r="F145" s="448" t="n"/>
      <c r="G145" s="448" t="n"/>
      <c r="H145" s="448" t="n"/>
      <c r="I145" s="448" t="n"/>
      <c r="J145" s="448" t="n"/>
      <c r="K145" s="448" t="n"/>
      <c r="L145" s="448" t="n"/>
      <c r="M145" s="449" t="n"/>
      <c r="N145" s="559">
        <f>IF(C145&lt;=$I$16, $I$17, "")</f>
        <v/>
      </c>
      <c r="O145" s="453" t="n"/>
      <c r="P145" s="453" t="n"/>
      <c r="Q145" s="453" t="n"/>
      <c r="R145" s="453" t="n"/>
      <c r="S145" s="453" t="n"/>
      <c r="T145" s="453" t="n"/>
      <c r="U145" s="453" t="n"/>
      <c r="V145" s="453" t="n"/>
      <c r="W145" s="453" t="n"/>
      <c r="X145" s="453" t="n"/>
      <c r="Y145" s="454" t="n"/>
      <c r="Z145" s="65" t="n"/>
      <c r="AA145" s="65" t="n"/>
      <c r="AB145" s="65" t="n"/>
      <c r="AC145" s="65" t="n"/>
      <c r="AD145" s="66" t="n">
        <v>13</v>
      </c>
      <c r="AE145" s="558">
        <f>D145</f>
        <v/>
      </c>
      <c r="AF145" s="453" t="n"/>
      <c r="AG145" s="453" t="n"/>
      <c r="AH145" s="453" t="n"/>
      <c r="AI145" s="453" t="n"/>
      <c r="AJ145" s="453" t="n"/>
      <c r="AK145" s="453" t="n"/>
      <c r="AL145" s="453" t="n"/>
      <c r="AM145" s="453" t="n"/>
      <c r="AN145" s="454" t="n"/>
      <c r="AO145" s="559">
        <f>AO144</f>
        <v/>
      </c>
      <c r="AP145" s="453" t="n"/>
      <c r="AQ145" s="453" t="n"/>
      <c r="AR145" s="453" t="n"/>
      <c r="AS145" s="453" t="n"/>
      <c r="AT145" s="453" t="n"/>
      <c r="AU145" s="453" t="n"/>
      <c r="AV145" s="453" t="n"/>
      <c r="AW145" s="453" t="n"/>
      <c r="AX145" s="453" t="n"/>
      <c r="AY145" s="453" t="n"/>
      <c r="AZ145" s="454" t="n"/>
      <c r="BA145" s="65" t="n"/>
      <c r="BB145" s="65" t="n"/>
      <c r="BC145" s="65" t="n"/>
      <c r="BD145" s="65" t="n"/>
      <c r="BE145" s="66" t="n">
        <v>13</v>
      </c>
      <c r="BF145" s="558">
        <f>AE145</f>
        <v/>
      </c>
      <c r="BG145" s="453" t="n"/>
      <c r="BH145" s="453" t="n"/>
      <c r="BI145" s="453" t="n"/>
      <c r="BJ145" s="453" t="n"/>
      <c r="BK145" s="453" t="n"/>
      <c r="BL145" s="453" t="n"/>
      <c r="BM145" s="453" t="n"/>
      <c r="BN145" s="453" t="n"/>
      <c r="BO145" s="454" t="n"/>
      <c r="BP145" s="407" t="n"/>
      <c r="BQ145" s="453" t="n"/>
      <c r="BR145" s="453" t="n"/>
      <c r="BS145" s="453" t="n"/>
      <c r="BT145" s="453" t="n"/>
      <c r="BU145" s="453" t="n"/>
      <c r="BV145" s="453" t="n"/>
      <c r="BW145" s="453" t="n"/>
      <c r="BX145" s="453" t="n"/>
      <c r="BY145" s="453" t="n"/>
      <c r="BZ145" s="453" t="n"/>
      <c r="CA145" s="453" t="n"/>
      <c r="CB145" s="453" t="n"/>
      <c r="CC145" s="454" t="n"/>
      <c r="CI145" s="481" t="n"/>
    </row>
    <row r="146" ht="12.95" customHeight="1">
      <c r="C146" s="66" t="n">
        <v>14</v>
      </c>
      <c r="D146" s="558">
        <f>IF(C146&lt;=$I$16, EDATE($D$6, C146-1), "")</f>
        <v/>
      </c>
      <c r="E146" s="453" t="n"/>
      <c r="F146" s="453" t="n"/>
      <c r="G146" s="453" t="n"/>
      <c r="H146" s="453" t="n"/>
      <c r="I146" s="453" t="n"/>
      <c r="J146" s="453" t="n"/>
      <c r="K146" s="453" t="n"/>
      <c r="L146" s="453" t="n"/>
      <c r="M146" s="454" t="n"/>
      <c r="N146" s="559">
        <f>IF(C146&lt;=$I$16, $I$17, "")</f>
        <v/>
      </c>
      <c r="O146" s="453" t="n"/>
      <c r="P146" s="453" t="n"/>
      <c r="Q146" s="453" t="n"/>
      <c r="R146" s="453" t="n"/>
      <c r="S146" s="453" t="n"/>
      <c r="T146" s="453" t="n"/>
      <c r="U146" s="453" t="n"/>
      <c r="V146" s="453" t="n"/>
      <c r="W146" s="453" t="n"/>
      <c r="X146" s="453" t="n"/>
      <c r="Y146" s="454" t="n"/>
      <c r="Z146" s="65" t="n"/>
      <c r="AA146" s="65" t="n"/>
      <c r="AB146" s="65" t="n"/>
      <c r="AC146" s="65" t="n"/>
      <c r="AD146" s="66" t="n">
        <v>14</v>
      </c>
      <c r="AE146" s="558">
        <f>D146</f>
        <v/>
      </c>
      <c r="AF146" s="453" t="n"/>
      <c r="AG146" s="453" t="n"/>
      <c r="AH146" s="453" t="n"/>
      <c r="AI146" s="453" t="n"/>
      <c r="AJ146" s="453" t="n"/>
      <c r="AK146" s="453" t="n"/>
      <c r="AL146" s="453" t="n"/>
      <c r="AM146" s="453" t="n"/>
      <c r="AN146" s="454" t="n"/>
      <c r="AO146" s="559">
        <f>AO145</f>
        <v/>
      </c>
      <c r="AP146" s="453" t="n"/>
      <c r="AQ146" s="453" t="n"/>
      <c r="AR146" s="453" t="n"/>
      <c r="AS146" s="453" t="n"/>
      <c r="AT146" s="453" t="n"/>
      <c r="AU146" s="453" t="n"/>
      <c r="AV146" s="453" t="n"/>
      <c r="AW146" s="453" t="n"/>
      <c r="AX146" s="453" t="n"/>
      <c r="AY146" s="453" t="n"/>
      <c r="AZ146" s="454" t="n"/>
      <c r="BA146" s="65" t="n"/>
      <c r="BB146" s="65" t="n"/>
      <c r="BC146" s="65" t="n"/>
      <c r="BD146" s="65" t="n"/>
      <c r="BE146" s="66" t="n">
        <v>14</v>
      </c>
      <c r="BF146" s="558">
        <f>AE146</f>
        <v/>
      </c>
      <c r="BG146" s="453" t="n"/>
      <c r="BH146" s="453" t="n"/>
      <c r="BI146" s="453" t="n"/>
      <c r="BJ146" s="453" t="n"/>
      <c r="BK146" s="453" t="n"/>
      <c r="BL146" s="453" t="n"/>
      <c r="BM146" s="453" t="n"/>
      <c r="BN146" s="453" t="n"/>
      <c r="BO146" s="454" t="n"/>
      <c r="BP146" s="407" t="n"/>
      <c r="BQ146" s="453" t="n"/>
      <c r="BR146" s="453" t="n"/>
      <c r="BS146" s="453" t="n"/>
      <c r="BT146" s="453" t="n"/>
      <c r="BU146" s="453" t="n"/>
      <c r="BV146" s="453" t="n"/>
      <c r="BW146" s="453" t="n"/>
      <c r="BX146" s="453" t="n"/>
      <c r="BY146" s="453" t="n"/>
      <c r="BZ146" s="453" t="n"/>
      <c r="CA146" s="453" t="n"/>
      <c r="CB146" s="453" t="n"/>
      <c r="CC146" s="454" t="n"/>
      <c r="CI146" s="481" t="n"/>
    </row>
    <row r="147" ht="12.95" customHeight="1">
      <c r="C147" s="66" t="n">
        <v>15</v>
      </c>
      <c r="D147" s="558">
        <f>IF(C147&lt;=$I$16, EDATE($D$6, C147-1), "")</f>
        <v/>
      </c>
      <c r="E147" s="453" t="n"/>
      <c r="F147" s="453" t="n"/>
      <c r="G147" s="453" t="n"/>
      <c r="H147" s="453" t="n"/>
      <c r="I147" s="453" t="n"/>
      <c r="J147" s="453" t="n"/>
      <c r="K147" s="453" t="n"/>
      <c r="L147" s="453" t="n"/>
      <c r="M147" s="454" t="n"/>
      <c r="N147" s="559">
        <f>IF(C147&lt;=$I$16, $I$17, "")</f>
        <v/>
      </c>
      <c r="O147" s="453" t="n"/>
      <c r="P147" s="453" t="n"/>
      <c r="Q147" s="453" t="n"/>
      <c r="R147" s="453" t="n"/>
      <c r="S147" s="453" t="n"/>
      <c r="T147" s="453" t="n"/>
      <c r="U147" s="453" t="n"/>
      <c r="V147" s="453" t="n"/>
      <c r="W147" s="453" t="n"/>
      <c r="X147" s="453" t="n"/>
      <c r="Y147" s="454" t="n"/>
      <c r="Z147" s="65" t="n"/>
      <c r="AA147" s="65" t="n"/>
      <c r="AB147" s="65" t="n"/>
      <c r="AC147" s="65" t="n"/>
      <c r="AD147" s="66" t="n">
        <v>15</v>
      </c>
      <c r="AE147" s="558">
        <f>D147</f>
        <v/>
      </c>
      <c r="AF147" s="453" t="n"/>
      <c r="AG147" s="453" t="n"/>
      <c r="AH147" s="453" t="n"/>
      <c r="AI147" s="453" t="n"/>
      <c r="AJ147" s="453" t="n"/>
      <c r="AK147" s="453" t="n"/>
      <c r="AL147" s="453" t="n"/>
      <c r="AM147" s="453" t="n"/>
      <c r="AN147" s="454" t="n"/>
      <c r="AO147" s="559">
        <f>AO146</f>
        <v/>
      </c>
      <c r="AP147" s="453" t="n"/>
      <c r="AQ147" s="453" t="n"/>
      <c r="AR147" s="453" t="n"/>
      <c r="AS147" s="453" t="n"/>
      <c r="AT147" s="453" t="n"/>
      <c r="AU147" s="453" t="n"/>
      <c r="AV147" s="453" t="n"/>
      <c r="AW147" s="453" t="n"/>
      <c r="AX147" s="453" t="n"/>
      <c r="AY147" s="453" t="n"/>
      <c r="AZ147" s="454" t="n"/>
      <c r="BA147" s="65" t="n"/>
      <c r="BB147" s="65" t="n"/>
      <c r="BC147" s="65" t="n"/>
      <c r="BD147" s="65" t="n"/>
      <c r="BE147" s="66" t="n">
        <v>15</v>
      </c>
      <c r="BF147" s="558">
        <f>AE147</f>
        <v/>
      </c>
      <c r="BG147" s="453" t="n"/>
      <c r="BH147" s="453" t="n"/>
      <c r="BI147" s="453" t="n"/>
      <c r="BJ147" s="453" t="n"/>
      <c r="BK147" s="453" t="n"/>
      <c r="BL147" s="453" t="n"/>
      <c r="BM147" s="453" t="n"/>
      <c r="BN147" s="453" t="n"/>
      <c r="BO147" s="454" t="n"/>
      <c r="BP147" s="407" t="n"/>
      <c r="BQ147" s="453" t="n"/>
      <c r="BR147" s="453" t="n"/>
      <c r="BS147" s="453" t="n"/>
      <c r="BT147" s="453" t="n"/>
      <c r="BU147" s="453" t="n"/>
      <c r="BV147" s="453" t="n"/>
      <c r="BW147" s="453" t="n"/>
      <c r="BX147" s="453" t="n"/>
      <c r="BY147" s="453" t="n"/>
      <c r="BZ147" s="453" t="n"/>
      <c r="CA147" s="453" t="n"/>
      <c r="CB147" s="453" t="n"/>
      <c r="CC147" s="454" t="n"/>
      <c r="CI147" s="481" t="n"/>
    </row>
    <row r="148" ht="12.95" customHeight="1">
      <c r="C148" s="66" t="n">
        <v>16</v>
      </c>
      <c r="D148" s="556">
        <f>IF(C148&lt;=$I$16, EDATE($D$6, C148-1), "")</f>
        <v/>
      </c>
      <c r="E148" s="448" t="n"/>
      <c r="F148" s="448" t="n"/>
      <c r="G148" s="448" t="n"/>
      <c r="H148" s="448" t="n"/>
      <c r="I148" s="448" t="n"/>
      <c r="J148" s="448" t="n"/>
      <c r="K148" s="448" t="n"/>
      <c r="L148" s="448" t="n"/>
      <c r="M148" s="449" t="n"/>
      <c r="N148" s="559">
        <f>IF(C148&lt;=$I$16, $I$17, "")</f>
        <v/>
      </c>
      <c r="O148" s="453" t="n"/>
      <c r="P148" s="453" t="n"/>
      <c r="Q148" s="453" t="n"/>
      <c r="R148" s="453" t="n"/>
      <c r="S148" s="453" t="n"/>
      <c r="T148" s="453" t="n"/>
      <c r="U148" s="453" t="n"/>
      <c r="V148" s="453" t="n"/>
      <c r="W148" s="453" t="n"/>
      <c r="X148" s="453" t="n"/>
      <c r="Y148" s="454" t="n"/>
      <c r="Z148" s="65" t="n"/>
      <c r="AA148" s="65" t="n"/>
      <c r="AB148" s="65" t="n"/>
      <c r="AC148" s="65" t="n"/>
      <c r="AD148" s="66" t="n">
        <v>16</v>
      </c>
      <c r="AE148" s="558">
        <f>D148</f>
        <v/>
      </c>
      <c r="AF148" s="453" t="n"/>
      <c r="AG148" s="453" t="n"/>
      <c r="AH148" s="453" t="n"/>
      <c r="AI148" s="453" t="n"/>
      <c r="AJ148" s="453" t="n"/>
      <c r="AK148" s="453" t="n"/>
      <c r="AL148" s="453" t="n"/>
      <c r="AM148" s="453" t="n"/>
      <c r="AN148" s="454" t="n"/>
      <c r="AO148" s="559">
        <f>AO147</f>
        <v/>
      </c>
      <c r="AP148" s="453" t="n"/>
      <c r="AQ148" s="453" t="n"/>
      <c r="AR148" s="453" t="n"/>
      <c r="AS148" s="453" t="n"/>
      <c r="AT148" s="453" t="n"/>
      <c r="AU148" s="453" t="n"/>
      <c r="AV148" s="453" t="n"/>
      <c r="AW148" s="453" t="n"/>
      <c r="AX148" s="453" t="n"/>
      <c r="AY148" s="453" t="n"/>
      <c r="AZ148" s="454" t="n"/>
      <c r="BA148" s="65" t="n"/>
      <c r="BB148" s="65" t="n"/>
      <c r="BC148" s="65" t="n"/>
      <c r="BD148" s="65" t="n"/>
      <c r="BE148" s="66" t="n">
        <v>16</v>
      </c>
      <c r="BF148" s="558">
        <f>AE148</f>
        <v/>
      </c>
      <c r="BG148" s="453" t="n"/>
      <c r="BH148" s="453" t="n"/>
      <c r="BI148" s="453" t="n"/>
      <c r="BJ148" s="453" t="n"/>
      <c r="BK148" s="453" t="n"/>
      <c r="BL148" s="453" t="n"/>
      <c r="BM148" s="453" t="n"/>
      <c r="BN148" s="453" t="n"/>
      <c r="BO148" s="454" t="n"/>
      <c r="BP148" s="407" t="n"/>
      <c r="BQ148" s="453" t="n"/>
      <c r="BR148" s="453" t="n"/>
      <c r="BS148" s="453" t="n"/>
      <c r="BT148" s="453" t="n"/>
      <c r="BU148" s="453" t="n"/>
      <c r="BV148" s="453" t="n"/>
      <c r="BW148" s="453" t="n"/>
      <c r="BX148" s="453" t="n"/>
      <c r="BY148" s="453" t="n"/>
      <c r="BZ148" s="453" t="n"/>
      <c r="CA148" s="453" t="n"/>
      <c r="CB148" s="453" t="n"/>
      <c r="CC148" s="454" t="n"/>
      <c r="CI148" s="481" t="n"/>
    </row>
    <row r="149" ht="12.95" customHeight="1">
      <c r="C149" s="66" t="n">
        <v>17</v>
      </c>
      <c r="D149" s="558">
        <f>IF(C149&lt;=$I$16, EDATE($D$6, C149-1), "")</f>
        <v/>
      </c>
      <c r="E149" s="453" t="n"/>
      <c r="F149" s="453" t="n"/>
      <c r="G149" s="453" t="n"/>
      <c r="H149" s="453" t="n"/>
      <c r="I149" s="453" t="n"/>
      <c r="J149" s="453" t="n"/>
      <c r="K149" s="453" t="n"/>
      <c r="L149" s="453" t="n"/>
      <c r="M149" s="454" t="n"/>
      <c r="N149" s="559">
        <f>IF(C149&lt;=$I$16, $I$17, "")</f>
        <v/>
      </c>
      <c r="O149" s="453" t="n"/>
      <c r="P149" s="453" t="n"/>
      <c r="Q149" s="453" t="n"/>
      <c r="R149" s="453" t="n"/>
      <c r="S149" s="453" t="n"/>
      <c r="T149" s="453" t="n"/>
      <c r="U149" s="453" t="n"/>
      <c r="V149" s="453" t="n"/>
      <c r="W149" s="453" t="n"/>
      <c r="X149" s="453" t="n"/>
      <c r="Y149" s="454" t="n"/>
      <c r="Z149" s="65" t="n"/>
      <c r="AA149" s="65" t="n"/>
      <c r="AB149" s="65" t="n"/>
      <c r="AC149" s="65" t="n"/>
      <c r="AD149" s="66" t="n">
        <v>17</v>
      </c>
      <c r="AE149" s="558">
        <f>D149</f>
        <v/>
      </c>
      <c r="AF149" s="453" t="n"/>
      <c r="AG149" s="453" t="n"/>
      <c r="AH149" s="453" t="n"/>
      <c r="AI149" s="453" t="n"/>
      <c r="AJ149" s="453" t="n"/>
      <c r="AK149" s="453" t="n"/>
      <c r="AL149" s="453" t="n"/>
      <c r="AM149" s="453" t="n"/>
      <c r="AN149" s="454" t="n"/>
      <c r="AO149" s="559">
        <f>AO148</f>
        <v/>
      </c>
      <c r="AP149" s="453" t="n"/>
      <c r="AQ149" s="453" t="n"/>
      <c r="AR149" s="453" t="n"/>
      <c r="AS149" s="453" t="n"/>
      <c r="AT149" s="453" t="n"/>
      <c r="AU149" s="453" t="n"/>
      <c r="AV149" s="453" t="n"/>
      <c r="AW149" s="453" t="n"/>
      <c r="AX149" s="453" t="n"/>
      <c r="AY149" s="453" t="n"/>
      <c r="AZ149" s="454" t="n"/>
      <c r="BA149" s="65" t="n"/>
      <c r="BB149" s="65" t="n"/>
      <c r="BC149" s="65" t="n"/>
      <c r="BD149" s="65" t="n"/>
      <c r="BE149" s="66" t="n">
        <v>17</v>
      </c>
      <c r="BF149" s="558">
        <f>AE149</f>
        <v/>
      </c>
      <c r="BG149" s="453" t="n"/>
      <c r="BH149" s="453" t="n"/>
      <c r="BI149" s="453" t="n"/>
      <c r="BJ149" s="453" t="n"/>
      <c r="BK149" s="453" t="n"/>
      <c r="BL149" s="453" t="n"/>
      <c r="BM149" s="453" t="n"/>
      <c r="BN149" s="453" t="n"/>
      <c r="BO149" s="454" t="n"/>
      <c r="BP149" s="407" t="n"/>
      <c r="BQ149" s="453" t="n"/>
      <c r="BR149" s="453" t="n"/>
      <c r="BS149" s="453" t="n"/>
      <c r="BT149" s="453" t="n"/>
      <c r="BU149" s="453" t="n"/>
      <c r="BV149" s="453" t="n"/>
      <c r="BW149" s="453" t="n"/>
      <c r="BX149" s="453" t="n"/>
      <c r="BY149" s="453" t="n"/>
      <c r="BZ149" s="453" t="n"/>
      <c r="CA149" s="453" t="n"/>
      <c r="CB149" s="453" t="n"/>
      <c r="CC149" s="454" t="n"/>
      <c r="CI149" s="481" t="n"/>
    </row>
    <row r="150" ht="12.95" customHeight="1">
      <c r="C150" s="66" t="n">
        <v>18</v>
      </c>
      <c r="D150" s="558">
        <f>IF(C150&lt;=$I$16, EDATE($D$6, C150-1), "")</f>
        <v/>
      </c>
      <c r="E150" s="453" t="n"/>
      <c r="F150" s="453" t="n"/>
      <c r="G150" s="453" t="n"/>
      <c r="H150" s="453" t="n"/>
      <c r="I150" s="453" t="n"/>
      <c r="J150" s="453" t="n"/>
      <c r="K150" s="453" t="n"/>
      <c r="L150" s="453" t="n"/>
      <c r="M150" s="454" t="n"/>
      <c r="N150" s="559">
        <f>IF(C150&lt;=$I$16, $I$17, "")</f>
        <v/>
      </c>
      <c r="O150" s="453" t="n"/>
      <c r="P150" s="453" t="n"/>
      <c r="Q150" s="453" t="n"/>
      <c r="R150" s="453" t="n"/>
      <c r="S150" s="453" t="n"/>
      <c r="T150" s="453" t="n"/>
      <c r="U150" s="453" t="n"/>
      <c r="V150" s="453" t="n"/>
      <c r="W150" s="453" t="n"/>
      <c r="X150" s="453" t="n"/>
      <c r="Y150" s="454" t="n"/>
      <c r="Z150" s="65" t="n"/>
      <c r="AA150" s="65" t="n"/>
      <c r="AB150" s="65" t="n"/>
      <c r="AC150" s="65" t="n"/>
      <c r="AD150" s="66" t="n">
        <v>18</v>
      </c>
      <c r="AE150" s="558">
        <f>D150</f>
        <v/>
      </c>
      <c r="AF150" s="453" t="n"/>
      <c r="AG150" s="453" t="n"/>
      <c r="AH150" s="453" t="n"/>
      <c r="AI150" s="453" t="n"/>
      <c r="AJ150" s="453" t="n"/>
      <c r="AK150" s="453" t="n"/>
      <c r="AL150" s="453" t="n"/>
      <c r="AM150" s="453" t="n"/>
      <c r="AN150" s="454" t="n"/>
      <c r="AO150" s="559">
        <f>AO149</f>
        <v/>
      </c>
      <c r="AP150" s="453" t="n"/>
      <c r="AQ150" s="453" t="n"/>
      <c r="AR150" s="453" t="n"/>
      <c r="AS150" s="453" t="n"/>
      <c r="AT150" s="453" t="n"/>
      <c r="AU150" s="453" t="n"/>
      <c r="AV150" s="453" t="n"/>
      <c r="AW150" s="453" t="n"/>
      <c r="AX150" s="453" t="n"/>
      <c r="AY150" s="453" t="n"/>
      <c r="AZ150" s="454" t="n"/>
      <c r="BA150" s="65" t="n"/>
      <c r="BB150" s="65" t="n"/>
      <c r="BC150" s="65" t="n"/>
      <c r="BD150" s="65" t="n"/>
      <c r="BE150" s="66" t="n">
        <v>18</v>
      </c>
      <c r="BF150" s="558">
        <f>AE150</f>
        <v/>
      </c>
      <c r="BG150" s="453" t="n"/>
      <c r="BH150" s="453" t="n"/>
      <c r="BI150" s="453" t="n"/>
      <c r="BJ150" s="453" t="n"/>
      <c r="BK150" s="453" t="n"/>
      <c r="BL150" s="453" t="n"/>
      <c r="BM150" s="453" t="n"/>
      <c r="BN150" s="453" t="n"/>
      <c r="BO150" s="454" t="n"/>
      <c r="BP150" s="407" t="n"/>
      <c r="BQ150" s="453" t="n"/>
      <c r="BR150" s="453" t="n"/>
      <c r="BS150" s="453" t="n"/>
      <c r="BT150" s="453" t="n"/>
      <c r="BU150" s="453" t="n"/>
      <c r="BV150" s="453" t="n"/>
      <c r="BW150" s="453" t="n"/>
      <c r="BX150" s="453" t="n"/>
      <c r="BY150" s="453" t="n"/>
      <c r="BZ150" s="453" t="n"/>
      <c r="CA150" s="453" t="n"/>
      <c r="CB150" s="453" t="n"/>
      <c r="CC150" s="454" t="n"/>
      <c r="CI150" s="481" t="n"/>
    </row>
    <row r="151" ht="12.95" customHeight="1">
      <c r="C151" s="66" t="n">
        <v>19</v>
      </c>
      <c r="D151" s="556">
        <f>IF(C151&lt;=$I$16, EDATE($D$6, C151-1), "")</f>
        <v/>
      </c>
      <c r="E151" s="448" t="n"/>
      <c r="F151" s="448" t="n"/>
      <c r="G151" s="448" t="n"/>
      <c r="H151" s="448" t="n"/>
      <c r="I151" s="448" t="n"/>
      <c r="J151" s="448" t="n"/>
      <c r="K151" s="448" t="n"/>
      <c r="L151" s="448" t="n"/>
      <c r="M151" s="449" t="n"/>
      <c r="N151" s="559">
        <f>IF(C151&lt;=$I$16, $I$17, "")</f>
        <v/>
      </c>
      <c r="O151" s="453" t="n"/>
      <c r="P151" s="453" t="n"/>
      <c r="Q151" s="453" t="n"/>
      <c r="R151" s="453" t="n"/>
      <c r="S151" s="453" t="n"/>
      <c r="T151" s="453" t="n"/>
      <c r="U151" s="453" t="n"/>
      <c r="V151" s="453" t="n"/>
      <c r="W151" s="453" t="n"/>
      <c r="X151" s="453" t="n"/>
      <c r="Y151" s="454" t="n"/>
      <c r="Z151" s="65" t="n"/>
      <c r="AA151" s="65" t="n"/>
      <c r="AB151" s="65" t="n"/>
      <c r="AC151" s="65" t="n"/>
      <c r="AD151" s="66" t="n">
        <v>19</v>
      </c>
      <c r="AE151" s="558">
        <f>D151</f>
        <v/>
      </c>
      <c r="AF151" s="453" t="n"/>
      <c r="AG151" s="453" t="n"/>
      <c r="AH151" s="453" t="n"/>
      <c r="AI151" s="453" t="n"/>
      <c r="AJ151" s="453" t="n"/>
      <c r="AK151" s="453" t="n"/>
      <c r="AL151" s="453" t="n"/>
      <c r="AM151" s="453" t="n"/>
      <c r="AN151" s="454" t="n"/>
      <c r="AO151" s="559">
        <f>AO150</f>
        <v/>
      </c>
      <c r="AP151" s="453" t="n"/>
      <c r="AQ151" s="453" t="n"/>
      <c r="AR151" s="453" t="n"/>
      <c r="AS151" s="453" t="n"/>
      <c r="AT151" s="453" t="n"/>
      <c r="AU151" s="453" t="n"/>
      <c r="AV151" s="453" t="n"/>
      <c r="AW151" s="453" t="n"/>
      <c r="AX151" s="453" t="n"/>
      <c r="AY151" s="453" t="n"/>
      <c r="AZ151" s="454" t="n"/>
      <c r="BA151" s="65" t="n"/>
      <c r="BB151" s="65" t="n"/>
      <c r="BC151" s="65" t="n"/>
      <c r="BD151" s="65" t="n"/>
      <c r="BE151" s="66" t="n">
        <v>19</v>
      </c>
      <c r="BF151" s="558">
        <f>AE151</f>
        <v/>
      </c>
      <c r="BG151" s="453" t="n"/>
      <c r="BH151" s="453" t="n"/>
      <c r="BI151" s="453" t="n"/>
      <c r="BJ151" s="453" t="n"/>
      <c r="BK151" s="453" t="n"/>
      <c r="BL151" s="453" t="n"/>
      <c r="BM151" s="453" t="n"/>
      <c r="BN151" s="453" t="n"/>
      <c r="BO151" s="454" t="n"/>
      <c r="BP151" s="407" t="n"/>
      <c r="BQ151" s="453" t="n"/>
      <c r="BR151" s="453" t="n"/>
      <c r="BS151" s="453" t="n"/>
      <c r="BT151" s="453" t="n"/>
      <c r="BU151" s="453" t="n"/>
      <c r="BV151" s="453" t="n"/>
      <c r="BW151" s="453" t="n"/>
      <c r="BX151" s="453" t="n"/>
      <c r="BY151" s="453" t="n"/>
      <c r="BZ151" s="453" t="n"/>
      <c r="CA151" s="453" t="n"/>
      <c r="CB151" s="453" t="n"/>
      <c r="CC151" s="454" t="n"/>
      <c r="CI151" s="481" t="n"/>
    </row>
    <row r="152" ht="12.95" customHeight="1">
      <c r="C152" s="66" t="n">
        <v>20</v>
      </c>
      <c r="D152" s="558">
        <f>IF(C152&lt;=$I$16, EDATE($D$6, C152-1), "")</f>
        <v/>
      </c>
      <c r="E152" s="453" t="n"/>
      <c r="F152" s="453" t="n"/>
      <c r="G152" s="453" t="n"/>
      <c r="H152" s="453" t="n"/>
      <c r="I152" s="453" t="n"/>
      <c r="J152" s="453" t="n"/>
      <c r="K152" s="453" t="n"/>
      <c r="L152" s="453" t="n"/>
      <c r="M152" s="454" t="n"/>
      <c r="N152" s="559">
        <f>IF(C152&lt;=$I$16, $I$17, "")</f>
        <v/>
      </c>
      <c r="O152" s="453" t="n"/>
      <c r="P152" s="453" t="n"/>
      <c r="Q152" s="453" t="n"/>
      <c r="R152" s="453" t="n"/>
      <c r="S152" s="453" t="n"/>
      <c r="T152" s="453" t="n"/>
      <c r="U152" s="453" t="n"/>
      <c r="V152" s="453" t="n"/>
      <c r="W152" s="453" t="n"/>
      <c r="X152" s="453" t="n"/>
      <c r="Y152" s="454" t="n"/>
      <c r="Z152" s="65" t="n"/>
      <c r="AA152" s="65" t="n"/>
      <c r="AB152" s="65" t="n"/>
      <c r="AC152" s="65" t="n"/>
      <c r="AD152" s="66" t="n">
        <v>20</v>
      </c>
      <c r="AE152" s="558">
        <f>D152</f>
        <v/>
      </c>
      <c r="AF152" s="453" t="n"/>
      <c r="AG152" s="453" t="n"/>
      <c r="AH152" s="453" t="n"/>
      <c r="AI152" s="453" t="n"/>
      <c r="AJ152" s="453" t="n"/>
      <c r="AK152" s="453" t="n"/>
      <c r="AL152" s="453" t="n"/>
      <c r="AM152" s="453" t="n"/>
      <c r="AN152" s="454" t="n"/>
      <c r="AO152" s="559">
        <f>AO151</f>
        <v/>
      </c>
      <c r="AP152" s="453" t="n"/>
      <c r="AQ152" s="453" t="n"/>
      <c r="AR152" s="453" t="n"/>
      <c r="AS152" s="453" t="n"/>
      <c r="AT152" s="453" t="n"/>
      <c r="AU152" s="453" t="n"/>
      <c r="AV152" s="453" t="n"/>
      <c r="AW152" s="453" t="n"/>
      <c r="AX152" s="453" t="n"/>
      <c r="AY152" s="453" t="n"/>
      <c r="AZ152" s="454" t="n"/>
      <c r="BA152" s="65" t="n"/>
      <c r="BB152" s="65" t="n"/>
      <c r="BC152" s="65" t="n"/>
      <c r="BD152" s="65" t="n"/>
      <c r="BE152" s="66" t="n">
        <v>20</v>
      </c>
      <c r="BF152" s="558">
        <f>AE152</f>
        <v/>
      </c>
      <c r="BG152" s="453" t="n"/>
      <c r="BH152" s="453" t="n"/>
      <c r="BI152" s="453" t="n"/>
      <c r="BJ152" s="453" t="n"/>
      <c r="BK152" s="453" t="n"/>
      <c r="BL152" s="453" t="n"/>
      <c r="BM152" s="453" t="n"/>
      <c r="BN152" s="453" t="n"/>
      <c r="BO152" s="454" t="n"/>
      <c r="BP152" s="407" t="n"/>
      <c r="BQ152" s="453" t="n"/>
      <c r="BR152" s="453" t="n"/>
      <c r="BS152" s="453" t="n"/>
      <c r="BT152" s="453" t="n"/>
      <c r="BU152" s="453" t="n"/>
      <c r="BV152" s="453" t="n"/>
      <c r="BW152" s="453" t="n"/>
      <c r="BX152" s="453" t="n"/>
      <c r="BY152" s="453" t="n"/>
      <c r="BZ152" s="453" t="n"/>
      <c r="CA152" s="453" t="n"/>
      <c r="CB152" s="453" t="n"/>
      <c r="CC152" s="454" t="n"/>
      <c r="CI152" s="481" t="n"/>
    </row>
    <row r="153" ht="12.95" customHeight="1">
      <c r="C153" s="66" t="n">
        <v>21</v>
      </c>
      <c r="D153" s="558">
        <f>IF(C153&lt;=$I$16, EDATE($D$6, C153-1), "")</f>
        <v/>
      </c>
      <c r="E153" s="453" t="n"/>
      <c r="F153" s="453" t="n"/>
      <c r="G153" s="453" t="n"/>
      <c r="H153" s="453" t="n"/>
      <c r="I153" s="453" t="n"/>
      <c r="J153" s="453" t="n"/>
      <c r="K153" s="453" t="n"/>
      <c r="L153" s="453" t="n"/>
      <c r="M153" s="454" t="n"/>
      <c r="N153" s="559">
        <f>IF(C153&lt;=$I$16, $I$17, "")</f>
        <v/>
      </c>
      <c r="O153" s="453" t="n"/>
      <c r="P153" s="453" t="n"/>
      <c r="Q153" s="453" t="n"/>
      <c r="R153" s="453" t="n"/>
      <c r="S153" s="453" t="n"/>
      <c r="T153" s="453" t="n"/>
      <c r="U153" s="453" t="n"/>
      <c r="V153" s="453" t="n"/>
      <c r="W153" s="453" t="n"/>
      <c r="X153" s="453" t="n"/>
      <c r="Y153" s="454" t="n"/>
      <c r="Z153" s="65" t="n"/>
      <c r="AA153" s="65" t="n"/>
      <c r="AB153" s="65" t="n"/>
      <c r="AC153" s="65" t="n"/>
      <c r="AD153" s="66" t="n">
        <v>21</v>
      </c>
      <c r="AE153" s="558">
        <f>D153</f>
        <v/>
      </c>
      <c r="AF153" s="453" t="n"/>
      <c r="AG153" s="453" t="n"/>
      <c r="AH153" s="453" t="n"/>
      <c r="AI153" s="453" t="n"/>
      <c r="AJ153" s="453" t="n"/>
      <c r="AK153" s="453" t="n"/>
      <c r="AL153" s="453" t="n"/>
      <c r="AM153" s="453" t="n"/>
      <c r="AN153" s="454" t="n"/>
      <c r="AO153" s="559">
        <f>AO152</f>
        <v/>
      </c>
      <c r="AP153" s="453" t="n"/>
      <c r="AQ153" s="453" t="n"/>
      <c r="AR153" s="453" t="n"/>
      <c r="AS153" s="453" t="n"/>
      <c r="AT153" s="453" t="n"/>
      <c r="AU153" s="453" t="n"/>
      <c r="AV153" s="453" t="n"/>
      <c r="AW153" s="453" t="n"/>
      <c r="AX153" s="453" t="n"/>
      <c r="AY153" s="453" t="n"/>
      <c r="AZ153" s="454" t="n"/>
      <c r="BA153" s="65" t="n"/>
      <c r="BB153" s="65" t="n"/>
      <c r="BC153" s="65" t="n"/>
      <c r="BD153" s="65" t="n"/>
      <c r="BE153" s="66" t="n">
        <v>21</v>
      </c>
      <c r="BF153" s="558">
        <f>AE153</f>
        <v/>
      </c>
      <c r="BG153" s="453" t="n"/>
      <c r="BH153" s="453" t="n"/>
      <c r="BI153" s="453" t="n"/>
      <c r="BJ153" s="453" t="n"/>
      <c r="BK153" s="453" t="n"/>
      <c r="BL153" s="453" t="n"/>
      <c r="BM153" s="453" t="n"/>
      <c r="BN153" s="453" t="n"/>
      <c r="BO153" s="454" t="n"/>
      <c r="BP153" s="407" t="n"/>
      <c r="BQ153" s="453" t="n"/>
      <c r="BR153" s="453" t="n"/>
      <c r="BS153" s="453" t="n"/>
      <c r="BT153" s="453" t="n"/>
      <c r="BU153" s="453" t="n"/>
      <c r="BV153" s="453" t="n"/>
      <c r="BW153" s="453" t="n"/>
      <c r="BX153" s="453" t="n"/>
      <c r="BY153" s="453" t="n"/>
      <c r="BZ153" s="453" t="n"/>
      <c r="CA153" s="453" t="n"/>
      <c r="CB153" s="453" t="n"/>
      <c r="CC153" s="454" t="n"/>
      <c r="CI153" s="481" t="n"/>
    </row>
    <row r="154" ht="12.95" customHeight="1">
      <c r="C154" s="66" t="n">
        <v>22</v>
      </c>
      <c r="D154" s="556">
        <f>IF(C154&lt;=$I$16, EDATE($D$6, C154-1), "")</f>
        <v/>
      </c>
      <c r="E154" s="448" t="n"/>
      <c r="F154" s="448" t="n"/>
      <c r="G154" s="448" t="n"/>
      <c r="H154" s="448" t="n"/>
      <c r="I154" s="448" t="n"/>
      <c r="J154" s="448" t="n"/>
      <c r="K154" s="448" t="n"/>
      <c r="L154" s="448" t="n"/>
      <c r="M154" s="449" t="n"/>
      <c r="N154" s="559">
        <f>IF(C154&lt;=$I$16, $I$17, "")</f>
        <v/>
      </c>
      <c r="O154" s="453" t="n"/>
      <c r="P154" s="453" t="n"/>
      <c r="Q154" s="453" t="n"/>
      <c r="R154" s="453" t="n"/>
      <c r="S154" s="453" t="n"/>
      <c r="T154" s="453" t="n"/>
      <c r="U154" s="453" t="n"/>
      <c r="V154" s="453" t="n"/>
      <c r="W154" s="453" t="n"/>
      <c r="X154" s="453" t="n"/>
      <c r="Y154" s="454" t="n"/>
      <c r="Z154" s="65" t="n"/>
      <c r="AA154" s="65" t="n"/>
      <c r="AB154" s="65" t="n"/>
      <c r="AC154" s="65" t="n"/>
      <c r="AD154" s="66" t="n">
        <v>22</v>
      </c>
      <c r="AE154" s="558">
        <f>D154</f>
        <v/>
      </c>
      <c r="AF154" s="453" t="n"/>
      <c r="AG154" s="453" t="n"/>
      <c r="AH154" s="453" t="n"/>
      <c r="AI154" s="453" t="n"/>
      <c r="AJ154" s="453" t="n"/>
      <c r="AK154" s="453" t="n"/>
      <c r="AL154" s="453" t="n"/>
      <c r="AM154" s="453" t="n"/>
      <c r="AN154" s="454" t="n"/>
      <c r="AO154" s="559">
        <f>AO153</f>
        <v/>
      </c>
      <c r="AP154" s="453" t="n"/>
      <c r="AQ154" s="453" t="n"/>
      <c r="AR154" s="453" t="n"/>
      <c r="AS154" s="453" t="n"/>
      <c r="AT154" s="453" t="n"/>
      <c r="AU154" s="453" t="n"/>
      <c r="AV154" s="453" t="n"/>
      <c r="AW154" s="453" t="n"/>
      <c r="AX154" s="453" t="n"/>
      <c r="AY154" s="453" t="n"/>
      <c r="AZ154" s="454" t="n"/>
      <c r="BA154" s="65" t="n"/>
      <c r="BB154" s="65" t="n"/>
      <c r="BC154" s="65" t="n"/>
      <c r="BD154" s="65" t="n"/>
      <c r="BE154" s="66" t="n">
        <v>22</v>
      </c>
      <c r="BF154" s="558">
        <f>AE154</f>
        <v/>
      </c>
      <c r="BG154" s="453" t="n"/>
      <c r="BH154" s="453" t="n"/>
      <c r="BI154" s="453" t="n"/>
      <c r="BJ154" s="453" t="n"/>
      <c r="BK154" s="453" t="n"/>
      <c r="BL154" s="453" t="n"/>
      <c r="BM154" s="453" t="n"/>
      <c r="BN154" s="453" t="n"/>
      <c r="BO154" s="454" t="n"/>
      <c r="BP154" s="407" t="n"/>
      <c r="BQ154" s="453" t="n"/>
      <c r="BR154" s="453" t="n"/>
      <c r="BS154" s="453" t="n"/>
      <c r="BT154" s="453" t="n"/>
      <c r="BU154" s="453" t="n"/>
      <c r="BV154" s="453" t="n"/>
      <c r="BW154" s="453" t="n"/>
      <c r="BX154" s="453" t="n"/>
      <c r="BY154" s="453" t="n"/>
      <c r="BZ154" s="453" t="n"/>
      <c r="CA154" s="453" t="n"/>
      <c r="CB154" s="453" t="n"/>
      <c r="CC154" s="454" t="n"/>
      <c r="CI154" s="481" t="n"/>
    </row>
    <row r="155" ht="12.95" customHeight="1">
      <c r="C155" s="66" t="n">
        <v>23</v>
      </c>
      <c r="D155" s="558">
        <f>IF(C155&lt;=$I$16, EDATE($D$6, C155-1), "")</f>
        <v/>
      </c>
      <c r="E155" s="453" t="n"/>
      <c r="F155" s="453" t="n"/>
      <c r="G155" s="453" t="n"/>
      <c r="H155" s="453" t="n"/>
      <c r="I155" s="453" t="n"/>
      <c r="J155" s="453" t="n"/>
      <c r="K155" s="453" t="n"/>
      <c r="L155" s="453" t="n"/>
      <c r="M155" s="454" t="n"/>
      <c r="N155" s="559">
        <f>IF(C155&lt;=$I$16, $I$17, "")</f>
        <v/>
      </c>
      <c r="O155" s="453" t="n"/>
      <c r="P155" s="453" t="n"/>
      <c r="Q155" s="453" t="n"/>
      <c r="R155" s="453" t="n"/>
      <c r="S155" s="453" t="n"/>
      <c r="T155" s="453" t="n"/>
      <c r="U155" s="453" t="n"/>
      <c r="V155" s="453" t="n"/>
      <c r="W155" s="453" t="n"/>
      <c r="X155" s="453" t="n"/>
      <c r="Y155" s="454" t="n"/>
      <c r="Z155" s="65" t="n"/>
      <c r="AA155" s="65" t="n"/>
      <c r="AB155" s="65" t="n"/>
      <c r="AC155" s="65" t="n"/>
      <c r="AD155" s="66" t="n">
        <v>23</v>
      </c>
      <c r="AE155" s="558">
        <f>D155</f>
        <v/>
      </c>
      <c r="AF155" s="453" t="n"/>
      <c r="AG155" s="453" t="n"/>
      <c r="AH155" s="453" t="n"/>
      <c r="AI155" s="453" t="n"/>
      <c r="AJ155" s="453" t="n"/>
      <c r="AK155" s="453" t="n"/>
      <c r="AL155" s="453" t="n"/>
      <c r="AM155" s="453" t="n"/>
      <c r="AN155" s="454" t="n"/>
      <c r="AO155" s="559">
        <f>AO154</f>
        <v/>
      </c>
      <c r="AP155" s="453" t="n"/>
      <c r="AQ155" s="453" t="n"/>
      <c r="AR155" s="453" t="n"/>
      <c r="AS155" s="453" t="n"/>
      <c r="AT155" s="453" t="n"/>
      <c r="AU155" s="453" t="n"/>
      <c r="AV155" s="453" t="n"/>
      <c r="AW155" s="453" t="n"/>
      <c r="AX155" s="453" t="n"/>
      <c r="AY155" s="453" t="n"/>
      <c r="AZ155" s="454" t="n"/>
      <c r="BA155" s="65" t="n"/>
      <c r="BB155" s="65" t="n"/>
      <c r="BC155" s="65" t="n"/>
      <c r="BD155" s="65" t="n"/>
      <c r="BE155" s="66" t="n">
        <v>23</v>
      </c>
      <c r="BF155" s="558">
        <f>AE155</f>
        <v/>
      </c>
      <c r="BG155" s="453" t="n"/>
      <c r="BH155" s="453" t="n"/>
      <c r="BI155" s="453" t="n"/>
      <c r="BJ155" s="453" t="n"/>
      <c r="BK155" s="453" t="n"/>
      <c r="BL155" s="453" t="n"/>
      <c r="BM155" s="453" t="n"/>
      <c r="BN155" s="453" t="n"/>
      <c r="BO155" s="454" t="n"/>
      <c r="BP155" s="407" t="n"/>
      <c r="BQ155" s="453" t="n"/>
      <c r="BR155" s="453" t="n"/>
      <c r="BS155" s="453" t="n"/>
      <c r="BT155" s="453" t="n"/>
      <c r="BU155" s="453" t="n"/>
      <c r="BV155" s="453" t="n"/>
      <c r="BW155" s="453" t="n"/>
      <c r="BX155" s="453" t="n"/>
      <c r="BY155" s="453" t="n"/>
      <c r="BZ155" s="453" t="n"/>
      <c r="CA155" s="453" t="n"/>
      <c r="CB155" s="453" t="n"/>
      <c r="CC155" s="454" t="n"/>
      <c r="CI155" s="481" t="n"/>
    </row>
    <row r="156" ht="12.95" customHeight="1">
      <c r="C156" s="66" t="n">
        <v>24</v>
      </c>
      <c r="D156" s="558">
        <f>IF(C156&lt;=$I$16, EDATE($D$6, C156-1), "")</f>
        <v/>
      </c>
      <c r="E156" s="453" t="n"/>
      <c r="F156" s="453" t="n"/>
      <c r="G156" s="453" t="n"/>
      <c r="H156" s="453" t="n"/>
      <c r="I156" s="453" t="n"/>
      <c r="J156" s="453" t="n"/>
      <c r="K156" s="453" t="n"/>
      <c r="L156" s="453" t="n"/>
      <c r="M156" s="454" t="n"/>
      <c r="N156" s="559">
        <f>IF(C156&lt;=$I$16, $I$17, "")</f>
        <v/>
      </c>
      <c r="O156" s="453" t="n"/>
      <c r="P156" s="453" t="n"/>
      <c r="Q156" s="453" t="n"/>
      <c r="R156" s="453" t="n"/>
      <c r="S156" s="453" t="n"/>
      <c r="T156" s="453" t="n"/>
      <c r="U156" s="453" t="n"/>
      <c r="V156" s="453" t="n"/>
      <c r="W156" s="453" t="n"/>
      <c r="X156" s="453" t="n"/>
      <c r="Y156" s="454" t="n"/>
      <c r="Z156" s="65" t="n"/>
      <c r="AA156" s="65" t="n"/>
      <c r="AB156" s="65" t="n"/>
      <c r="AC156" s="65" t="n"/>
      <c r="AD156" s="66" t="n">
        <v>24</v>
      </c>
      <c r="AE156" s="558">
        <f>D156</f>
        <v/>
      </c>
      <c r="AF156" s="453" t="n"/>
      <c r="AG156" s="453" t="n"/>
      <c r="AH156" s="453" t="n"/>
      <c r="AI156" s="453" t="n"/>
      <c r="AJ156" s="453" t="n"/>
      <c r="AK156" s="453" t="n"/>
      <c r="AL156" s="453" t="n"/>
      <c r="AM156" s="453" t="n"/>
      <c r="AN156" s="454" t="n"/>
      <c r="AO156" s="559">
        <f>AO155</f>
        <v/>
      </c>
      <c r="AP156" s="453" t="n"/>
      <c r="AQ156" s="453" t="n"/>
      <c r="AR156" s="453" t="n"/>
      <c r="AS156" s="453" t="n"/>
      <c r="AT156" s="453" t="n"/>
      <c r="AU156" s="453" t="n"/>
      <c r="AV156" s="453" t="n"/>
      <c r="AW156" s="453" t="n"/>
      <c r="AX156" s="453" t="n"/>
      <c r="AY156" s="453" t="n"/>
      <c r="AZ156" s="454" t="n"/>
      <c r="BA156" s="65" t="n"/>
      <c r="BB156" s="65" t="n"/>
      <c r="BC156" s="65" t="n"/>
      <c r="BD156" s="65" t="n"/>
      <c r="BE156" s="66" t="n">
        <v>24</v>
      </c>
      <c r="BF156" s="558">
        <f>AE156</f>
        <v/>
      </c>
      <c r="BG156" s="453" t="n"/>
      <c r="BH156" s="453" t="n"/>
      <c r="BI156" s="453" t="n"/>
      <c r="BJ156" s="453" t="n"/>
      <c r="BK156" s="453" t="n"/>
      <c r="BL156" s="453" t="n"/>
      <c r="BM156" s="453" t="n"/>
      <c r="BN156" s="453" t="n"/>
      <c r="BO156" s="454" t="n"/>
      <c r="BP156" s="407" t="n"/>
      <c r="BQ156" s="453" t="n"/>
      <c r="BR156" s="453" t="n"/>
      <c r="BS156" s="453" t="n"/>
      <c r="BT156" s="453" t="n"/>
      <c r="BU156" s="453" t="n"/>
      <c r="BV156" s="453" t="n"/>
      <c r="BW156" s="453" t="n"/>
      <c r="BX156" s="453" t="n"/>
      <c r="BY156" s="453" t="n"/>
      <c r="BZ156" s="453" t="n"/>
      <c r="CA156" s="453" t="n"/>
      <c r="CB156" s="453" t="n"/>
      <c r="CC156" s="454" t="n"/>
      <c r="CI156" s="481" t="n"/>
    </row>
    <row r="157">
      <c r="C157" s="66" t="n">
        <v>25</v>
      </c>
      <c r="D157" s="556">
        <f>IF(C157&lt;=$I$16, EDATE($D$6, C157-1), "")</f>
        <v/>
      </c>
      <c r="E157" s="448" t="n"/>
      <c r="F157" s="448" t="n"/>
      <c r="G157" s="448" t="n"/>
      <c r="H157" s="448" t="n"/>
      <c r="I157" s="448" t="n"/>
      <c r="J157" s="448" t="n"/>
      <c r="K157" s="448" t="n"/>
      <c r="L157" s="448" t="n"/>
      <c r="M157" s="449" t="n"/>
      <c r="N157" s="559">
        <f>IF(C157&lt;=$I$16, $I$17, "")</f>
        <v/>
      </c>
      <c r="O157" s="453" t="n"/>
      <c r="P157" s="453" t="n"/>
      <c r="Q157" s="453" t="n"/>
      <c r="R157" s="453" t="n"/>
      <c r="S157" s="453" t="n"/>
      <c r="T157" s="453" t="n"/>
      <c r="U157" s="453" t="n"/>
      <c r="V157" s="453" t="n"/>
      <c r="W157" s="453" t="n"/>
      <c r="X157" s="453" t="n"/>
      <c r="Y157" s="454" t="n"/>
      <c r="AD157" s="66" t="n">
        <v>25</v>
      </c>
      <c r="AE157" s="558">
        <f>D157</f>
        <v/>
      </c>
      <c r="AF157" s="453" t="n"/>
      <c r="AG157" s="453" t="n"/>
      <c r="AH157" s="453" t="n"/>
      <c r="AI157" s="453" t="n"/>
      <c r="AJ157" s="453" t="n"/>
      <c r="AK157" s="453" t="n"/>
      <c r="AL157" s="453" t="n"/>
      <c r="AM157" s="453" t="n"/>
      <c r="AN157" s="454" t="n"/>
      <c r="AO157" s="559">
        <f>AO156</f>
        <v/>
      </c>
      <c r="AP157" s="453" t="n"/>
      <c r="AQ157" s="453" t="n"/>
      <c r="AR157" s="453" t="n"/>
      <c r="AS157" s="453" t="n"/>
      <c r="AT157" s="453" t="n"/>
      <c r="AU157" s="453" t="n"/>
      <c r="AV157" s="453" t="n"/>
      <c r="AW157" s="453" t="n"/>
      <c r="AX157" s="453" t="n"/>
      <c r="AY157" s="453" t="n"/>
      <c r="AZ157" s="454" t="n"/>
      <c r="BE157" s="66" t="n">
        <v>25</v>
      </c>
      <c r="BF157" s="558">
        <f>AE157</f>
        <v/>
      </c>
      <c r="BG157" s="453" t="n"/>
      <c r="BH157" s="453" t="n"/>
      <c r="BI157" s="453" t="n"/>
      <c r="BJ157" s="453" t="n"/>
      <c r="BK157" s="453" t="n"/>
      <c r="BL157" s="453" t="n"/>
      <c r="BM157" s="453" t="n"/>
      <c r="BN157" s="453" t="n"/>
      <c r="BO157" s="454" t="n"/>
      <c r="BP157" s="407" t="n"/>
      <c r="BQ157" s="453" t="n"/>
      <c r="BR157" s="453" t="n"/>
      <c r="BS157" s="453" t="n"/>
      <c r="BT157" s="453" t="n"/>
      <c r="BU157" s="453" t="n"/>
      <c r="BV157" s="453" t="n"/>
      <c r="BW157" s="453" t="n"/>
      <c r="BX157" s="453" t="n"/>
      <c r="BY157" s="453" t="n"/>
      <c r="BZ157" s="453" t="n"/>
      <c r="CA157" s="453" t="n"/>
      <c r="CB157" s="453" t="n"/>
      <c r="CC157" s="454" t="n"/>
      <c r="CI157" s="481" t="n"/>
    </row>
    <row r="158">
      <c r="C158" s="66" t="n">
        <v>26</v>
      </c>
      <c r="D158" s="558">
        <f>IF(C158&lt;=$I$16, EDATE($D$6, C158-1), "")</f>
        <v/>
      </c>
      <c r="E158" s="453" t="n"/>
      <c r="F158" s="453" t="n"/>
      <c r="G158" s="453" t="n"/>
      <c r="H158" s="453" t="n"/>
      <c r="I158" s="453" t="n"/>
      <c r="J158" s="453" t="n"/>
      <c r="K158" s="453" t="n"/>
      <c r="L158" s="453" t="n"/>
      <c r="M158" s="454" t="n"/>
      <c r="N158" s="559">
        <f>IF(C158&lt;=$I$16, $I$17, "")</f>
        <v/>
      </c>
      <c r="O158" s="453" t="n"/>
      <c r="P158" s="453" t="n"/>
      <c r="Q158" s="453" t="n"/>
      <c r="R158" s="453" t="n"/>
      <c r="S158" s="453" t="n"/>
      <c r="T158" s="453" t="n"/>
      <c r="U158" s="453" t="n"/>
      <c r="V158" s="453" t="n"/>
      <c r="W158" s="453" t="n"/>
      <c r="X158" s="453" t="n"/>
      <c r="Y158" s="454" t="n"/>
      <c r="AD158" s="66" t="n">
        <v>26</v>
      </c>
      <c r="AE158" s="558">
        <f>D158</f>
        <v/>
      </c>
      <c r="AF158" s="453" t="n"/>
      <c r="AG158" s="453" t="n"/>
      <c r="AH158" s="453" t="n"/>
      <c r="AI158" s="453" t="n"/>
      <c r="AJ158" s="453" t="n"/>
      <c r="AK158" s="453" t="n"/>
      <c r="AL158" s="453" t="n"/>
      <c r="AM158" s="453" t="n"/>
      <c r="AN158" s="454" t="n"/>
      <c r="AO158" s="559">
        <f>AO157</f>
        <v/>
      </c>
      <c r="AP158" s="453" t="n"/>
      <c r="AQ158" s="453" t="n"/>
      <c r="AR158" s="453" t="n"/>
      <c r="AS158" s="453" t="n"/>
      <c r="AT158" s="453" t="n"/>
      <c r="AU158" s="453" t="n"/>
      <c r="AV158" s="453" t="n"/>
      <c r="AW158" s="453" t="n"/>
      <c r="AX158" s="453" t="n"/>
      <c r="AY158" s="453" t="n"/>
      <c r="AZ158" s="454" t="n"/>
      <c r="BE158" s="66" t="n">
        <v>26</v>
      </c>
      <c r="BF158" s="558">
        <f>AE158</f>
        <v/>
      </c>
      <c r="BG158" s="453" t="n"/>
      <c r="BH158" s="453" t="n"/>
      <c r="BI158" s="453" t="n"/>
      <c r="BJ158" s="453" t="n"/>
      <c r="BK158" s="453" t="n"/>
      <c r="BL158" s="453" t="n"/>
      <c r="BM158" s="453" t="n"/>
      <c r="BN158" s="453" t="n"/>
      <c r="BO158" s="454" t="n"/>
      <c r="BP158" s="407" t="n"/>
      <c r="BQ158" s="453" t="n"/>
      <c r="BR158" s="453" t="n"/>
      <c r="BS158" s="453" t="n"/>
      <c r="BT158" s="453" t="n"/>
      <c r="BU158" s="453" t="n"/>
      <c r="BV158" s="453" t="n"/>
      <c r="BW158" s="453" t="n"/>
      <c r="BX158" s="453" t="n"/>
      <c r="BY158" s="453" t="n"/>
      <c r="BZ158" s="453" t="n"/>
      <c r="CA158" s="453" t="n"/>
      <c r="CB158" s="453" t="n"/>
      <c r="CC158" s="454" t="n"/>
      <c r="CI158" s="481" t="n"/>
    </row>
    <row r="159">
      <c r="C159" s="66" t="n">
        <v>27</v>
      </c>
      <c r="D159" s="558">
        <f>IF(C159&lt;=$I$16, EDATE($D$6, C159-1), "")</f>
        <v/>
      </c>
      <c r="E159" s="453" t="n"/>
      <c r="F159" s="453" t="n"/>
      <c r="G159" s="453" t="n"/>
      <c r="H159" s="453" t="n"/>
      <c r="I159" s="453" t="n"/>
      <c r="J159" s="453" t="n"/>
      <c r="K159" s="453" t="n"/>
      <c r="L159" s="453" t="n"/>
      <c r="M159" s="454" t="n"/>
      <c r="N159" s="559">
        <f>IF(C159&lt;=$I$16, $I$17, "")</f>
        <v/>
      </c>
      <c r="O159" s="453" t="n"/>
      <c r="P159" s="453" t="n"/>
      <c r="Q159" s="453" t="n"/>
      <c r="R159" s="453" t="n"/>
      <c r="S159" s="453" t="n"/>
      <c r="T159" s="453" t="n"/>
      <c r="U159" s="453" t="n"/>
      <c r="V159" s="453" t="n"/>
      <c r="W159" s="453" t="n"/>
      <c r="X159" s="453" t="n"/>
      <c r="Y159" s="454" t="n"/>
      <c r="AD159" s="66" t="n">
        <v>27</v>
      </c>
      <c r="AE159" s="558">
        <f>D159</f>
        <v/>
      </c>
      <c r="AF159" s="453" t="n"/>
      <c r="AG159" s="453" t="n"/>
      <c r="AH159" s="453" t="n"/>
      <c r="AI159" s="453" t="n"/>
      <c r="AJ159" s="453" t="n"/>
      <c r="AK159" s="453" t="n"/>
      <c r="AL159" s="453" t="n"/>
      <c r="AM159" s="453" t="n"/>
      <c r="AN159" s="454" t="n"/>
      <c r="AO159" s="559">
        <f>AO158</f>
        <v/>
      </c>
      <c r="AP159" s="453" t="n"/>
      <c r="AQ159" s="453" t="n"/>
      <c r="AR159" s="453" t="n"/>
      <c r="AS159" s="453" t="n"/>
      <c r="AT159" s="453" t="n"/>
      <c r="AU159" s="453" t="n"/>
      <c r="AV159" s="453" t="n"/>
      <c r="AW159" s="453" t="n"/>
      <c r="AX159" s="453" t="n"/>
      <c r="AY159" s="453" t="n"/>
      <c r="AZ159" s="454" t="n"/>
      <c r="BE159" s="66" t="n">
        <v>27</v>
      </c>
      <c r="BF159" s="558">
        <f>AE159</f>
        <v/>
      </c>
      <c r="BG159" s="453" t="n"/>
      <c r="BH159" s="453" t="n"/>
      <c r="BI159" s="453" t="n"/>
      <c r="BJ159" s="453" t="n"/>
      <c r="BK159" s="453" t="n"/>
      <c r="BL159" s="453" t="n"/>
      <c r="BM159" s="453" t="n"/>
      <c r="BN159" s="453" t="n"/>
      <c r="BO159" s="454" t="n"/>
      <c r="BP159" s="407" t="n"/>
      <c r="BQ159" s="453" t="n"/>
      <c r="BR159" s="453" t="n"/>
      <c r="BS159" s="453" t="n"/>
      <c r="BT159" s="453" t="n"/>
      <c r="BU159" s="453" t="n"/>
      <c r="BV159" s="453" t="n"/>
      <c r="BW159" s="453" t="n"/>
      <c r="BX159" s="453" t="n"/>
      <c r="BY159" s="453" t="n"/>
      <c r="BZ159" s="453" t="n"/>
      <c r="CA159" s="453" t="n"/>
      <c r="CB159" s="453" t="n"/>
      <c r="CC159" s="454" t="n"/>
      <c r="CI159" s="481" t="n"/>
    </row>
    <row r="160">
      <c r="C160" s="66" t="n">
        <v>28</v>
      </c>
      <c r="D160" s="556">
        <f>IF(C160&lt;=$I$16, EDATE($D$6, C160-1), "")</f>
        <v/>
      </c>
      <c r="E160" s="448" t="n"/>
      <c r="F160" s="448" t="n"/>
      <c r="G160" s="448" t="n"/>
      <c r="H160" s="448" t="n"/>
      <c r="I160" s="448" t="n"/>
      <c r="J160" s="448" t="n"/>
      <c r="K160" s="448" t="n"/>
      <c r="L160" s="448" t="n"/>
      <c r="M160" s="449" t="n"/>
      <c r="N160" s="559">
        <f>IF(C160&lt;=$I$16, $I$17, "")</f>
        <v/>
      </c>
      <c r="O160" s="453" t="n"/>
      <c r="P160" s="453" t="n"/>
      <c r="Q160" s="453" t="n"/>
      <c r="R160" s="453" t="n"/>
      <c r="S160" s="453" t="n"/>
      <c r="T160" s="453" t="n"/>
      <c r="U160" s="453" t="n"/>
      <c r="V160" s="453" t="n"/>
      <c r="W160" s="453" t="n"/>
      <c r="X160" s="453" t="n"/>
      <c r="Y160" s="454" t="n"/>
      <c r="AD160" s="66" t="n">
        <v>28</v>
      </c>
      <c r="AE160" s="558">
        <f>D160</f>
        <v/>
      </c>
      <c r="AF160" s="453" t="n"/>
      <c r="AG160" s="453" t="n"/>
      <c r="AH160" s="453" t="n"/>
      <c r="AI160" s="453" t="n"/>
      <c r="AJ160" s="453" t="n"/>
      <c r="AK160" s="453" t="n"/>
      <c r="AL160" s="453" t="n"/>
      <c r="AM160" s="453" t="n"/>
      <c r="AN160" s="454" t="n"/>
      <c r="AO160" s="559">
        <f>AO159</f>
        <v/>
      </c>
      <c r="AP160" s="453" t="n"/>
      <c r="AQ160" s="453" t="n"/>
      <c r="AR160" s="453" t="n"/>
      <c r="AS160" s="453" t="n"/>
      <c r="AT160" s="453" t="n"/>
      <c r="AU160" s="453" t="n"/>
      <c r="AV160" s="453" t="n"/>
      <c r="AW160" s="453" t="n"/>
      <c r="AX160" s="453" t="n"/>
      <c r="AY160" s="453" t="n"/>
      <c r="AZ160" s="454" t="n"/>
      <c r="BE160" s="66" t="n">
        <v>28</v>
      </c>
      <c r="BF160" s="558">
        <f>AE160</f>
        <v/>
      </c>
      <c r="BG160" s="453" t="n"/>
      <c r="BH160" s="453" t="n"/>
      <c r="BI160" s="453" t="n"/>
      <c r="BJ160" s="453" t="n"/>
      <c r="BK160" s="453" t="n"/>
      <c r="BL160" s="453" t="n"/>
      <c r="BM160" s="453" t="n"/>
      <c r="BN160" s="453" t="n"/>
      <c r="BO160" s="454" t="n"/>
      <c r="BP160" s="407" t="n"/>
      <c r="BQ160" s="453" t="n"/>
      <c r="BR160" s="453" t="n"/>
      <c r="BS160" s="453" t="n"/>
      <c r="BT160" s="453" t="n"/>
      <c r="BU160" s="453" t="n"/>
      <c r="BV160" s="453" t="n"/>
      <c r="BW160" s="453" t="n"/>
      <c r="BX160" s="453" t="n"/>
      <c r="BY160" s="453" t="n"/>
      <c r="BZ160" s="453" t="n"/>
      <c r="CA160" s="453" t="n"/>
      <c r="CB160" s="453" t="n"/>
      <c r="CC160" s="454" t="n"/>
      <c r="CI160" s="481" t="n"/>
    </row>
    <row r="161">
      <c r="C161" s="66" t="n">
        <v>29</v>
      </c>
      <c r="D161" s="558">
        <f>IF(C161&lt;=$I$16, EDATE($D$6, C161-1), "")</f>
        <v/>
      </c>
      <c r="E161" s="453" t="n"/>
      <c r="F161" s="453" t="n"/>
      <c r="G161" s="453" t="n"/>
      <c r="H161" s="453" t="n"/>
      <c r="I161" s="453" t="n"/>
      <c r="J161" s="453" t="n"/>
      <c r="K161" s="453" t="n"/>
      <c r="L161" s="453" t="n"/>
      <c r="M161" s="454" t="n"/>
      <c r="N161" s="559">
        <f>IF(C161&lt;=$I$16, $I$17, "")</f>
        <v/>
      </c>
      <c r="O161" s="453" t="n"/>
      <c r="P161" s="453" t="n"/>
      <c r="Q161" s="453" t="n"/>
      <c r="R161" s="453" t="n"/>
      <c r="S161" s="453" t="n"/>
      <c r="T161" s="453" t="n"/>
      <c r="U161" s="453" t="n"/>
      <c r="V161" s="453" t="n"/>
      <c r="W161" s="453" t="n"/>
      <c r="X161" s="453" t="n"/>
      <c r="Y161" s="454" t="n"/>
      <c r="AD161" s="66" t="n">
        <v>29</v>
      </c>
      <c r="AE161" s="558">
        <f>D161</f>
        <v/>
      </c>
      <c r="AF161" s="453" t="n"/>
      <c r="AG161" s="453" t="n"/>
      <c r="AH161" s="453" t="n"/>
      <c r="AI161" s="453" t="n"/>
      <c r="AJ161" s="453" t="n"/>
      <c r="AK161" s="453" t="n"/>
      <c r="AL161" s="453" t="n"/>
      <c r="AM161" s="453" t="n"/>
      <c r="AN161" s="454" t="n"/>
      <c r="AO161" s="559">
        <f>AO160</f>
        <v/>
      </c>
      <c r="AP161" s="453" t="n"/>
      <c r="AQ161" s="453" t="n"/>
      <c r="AR161" s="453" t="n"/>
      <c r="AS161" s="453" t="n"/>
      <c r="AT161" s="453" t="n"/>
      <c r="AU161" s="453" t="n"/>
      <c r="AV161" s="453" t="n"/>
      <c r="AW161" s="453" t="n"/>
      <c r="AX161" s="453" t="n"/>
      <c r="AY161" s="453" t="n"/>
      <c r="AZ161" s="454" t="n"/>
      <c r="BE161" s="66" t="n">
        <v>29</v>
      </c>
      <c r="BF161" s="558">
        <f>AE161</f>
        <v/>
      </c>
      <c r="BG161" s="453" t="n"/>
      <c r="BH161" s="453" t="n"/>
      <c r="BI161" s="453" t="n"/>
      <c r="BJ161" s="453" t="n"/>
      <c r="BK161" s="453" t="n"/>
      <c r="BL161" s="453" t="n"/>
      <c r="BM161" s="453" t="n"/>
      <c r="BN161" s="453" t="n"/>
      <c r="BO161" s="454" t="n"/>
      <c r="BP161" s="407" t="n"/>
      <c r="BQ161" s="453" t="n"/>
      <c r="BR161" s="453" t="n"/>
      <c r="BS161" s="453" t="n"/>
      <c r="BT161" s="453" t="n"/>
      <c r="BU161" s="453" t="n"/>
      <c r="BV161" s="453" t="n"/>
      <c r="BW161" s="453" t="n"/>
      <c r="BX161" s="453" t="n"/>
      <c r="BY161" s="453" t="n"/>
      <c r="BZ161" s="453" t="n"/>
      <c r="CA161" s="453" t="n"/>
      <c r="CB161" s="453" t="n"/>
      <c r="CC161" s="454" t="n"/>
      <c r="CI161" s="481" t="n"/>
    </row>
    <row r="162">
      <c r="C162" s="66" t="n">
        <v>30</v>
      </c>
      <c r="D162" s="558">
        <f>IF(C162&lt;=$I$16, EDATE($D$6, C162-1), "")</f>
        <v/>
      </c>
      <c r="E162" s="453" t="n"/>
      <c r="F162" s="453" t="n"/>
      <c r="G162" s="453" t="n"/>
      <c r="H162" s="453" t="n"/>
      <c r="I162" s="453" t="n"/>
      <c r="J162" s="453" t="n"/>
      <c r="K162" s="453" t="n"/>
      <c r="L162" s="453" t="n"/>
      <c r="M162" s="454" t="n"/>
      <c r="N162" s="559">
        <f>IF(C162&lt;=$I$16, $I$17, "")</f>
        <v/>
      </c>
      <c r="O162" s="453" t="n"/>
      <c r="P162" s="453" t="n"/>
      <c r="Q162" s="453" t="n"/>
      <c r="R162" s="453" t="n"/>
      <c r="S162" s="453" t="n"/>
      <c r="T162" s="453" t="n"/>
      <c r="U162" s="453" t="n"/>
      <c r="V162" s="453" t="n"/>
      <c r="W162" s="453" t="n"/>
      <c r="X162" s="453" t="n"/>
      <c r="Y162" s="454" t="n"/>
      <c r="AD162" s="66" t="n">
        <v>30</v>
      </c>
      <c r="AE162" s="558">
        <f>D162</f>
        <v/>
      </c>
      <c r="AF162" s="453" t="n"/>
      <c r="AG162" s="453" t="n"/>
      <c r="AH162" s="453" t="n"/>
      <c r="AI162" s="453" t="n"/>
      <c r="AJ162" s="453" t="n"/>
      <c r="AK162" s="453" t="n"/>
      <c r="AL162" s="453" t="n"/>
      <c r="AM162" s="453" t="n"/>
      <c r="AN162" s="454" t="n"/>
      <c r="AO162" s="559">
        <f>AO161</f>
        <v/>
      </c>
      <c r="AP162" s="453" t="n"/>
      <c r="AQ162" s="453" t="n"/>
      <c r="AR162" s="453" t="n"/>
      <c r="AS162" s="453" t="n"/>
      <c r="AT162" s="453" t="n"/>
      <c r="AU162" s="453" t="n"/>
      <c r="AV162" s="453" t="n"/>
      <c r="AW162" s="453" t="n"/>
      <c r="AX162" s="453" t="n"/>
      <c r="AY162" s="453" t="n"/>
      <c r="AZ162" s="454" t="n"/>
      <c r="BE162" s="66" t="n">
        <v>30</v>
      </c>
      <c r="BF162" s="558">
        <f>AE162</f>
        <v/>
      </c>
      <c r="BG162" s="453" t="n"/>
      <c r="BH162" s="453" t="n"/>
      <c r="BI162" s="453" t="n"/>
      <c r="BJ162" s="453" t="n"/>
      <c r="BK162" s="453" t="n"/>
      <c r="BL162" s="453" t="n"/>
      <c r="BM162" s="453" t="n"/>
      <c r="BN162" s="453" t="n"/>
      <c r="BO162" s="454" t="n"/>
      <c r="BP162" s="407" t="n"/>
      <c r="BQ162" s="453" t="n"/>
      <c r="BR162" s="453" t="n"/>
      <c r="BS162" s="453" t="n"/>
      <c r="BT162" s="453" t="n"/>
      <c r="BU162" s="453" t="n"/>
      <c r="BV162" s="453" t="n"/>
      <c r="BW162" s="453" t="n"/>
      <c r="BX162" s="453" t="n"/>
      <c r="BY162" s="453" t="n"/>
      <c r="BZ162" s="453" t="n"/>
      <c r="CA162" s="453" t="n"/>
      <c r="CB162" s="453" t="n"/>
      <c r="CC162" s="454" t="n"/>
      <c r="CI162" s="481" t="n"/>
    </row>
    <row r="163">
      <c r="C163" s="66" t="n">
        <v>31</v>
      </c>
      <c r="D163" s="556">
        <f>IF(C163&lt;=$I$16, EDATE($D$6, C163-1), "")</f>
        <v/>
      </c>
      <c r="E163" s="448" t="n"/>
      <c r="F163" s="448" t="n"/>
      <c r="G163" s="448" t="n"/>
      <c r="H163" s="448" t="n"/>
      <c r="I163" s="448" t="n"/>
      <c r="J163" s="448" t="n"/>
      <c r="K163" s="448" t="n"/>
      <c r="L163" s="448" t="n"/>
      <c r="M163" s="449" t="n"/>
      <c r="N163" s="559">
        <f>IF(C163&lt;=$I$16, $I$17, "")</f>
        <v/>
      </c>
      <c r="O163" s="453" t="n"/>
      <c r="P163" s="453" t="n"/>
      <c r="Q163" s="453" t="n"/>
      <c r="R163" s="453" t="n"/>
      <c r="S163" s="453" t="n"/>
      <c r="T163" s="453" t="n"/>
      <c r="U163" s="453" t="n"/>
      <c r="V163" s="453" t="n"/>
      <c r="W163" s="453" t="n"/>
      <c r="X163" s="453" t="n"/>
      <c r="Y163" s="454" t="n"/>
      <c r="AD163" s="66" t="n">
        <v>31</v>
      </c>
      <c r="AE163" s="558">
        <f>D163</f>
        <v/>
      </c>
      <c r="AF163" s="453" t="n"/>
      <c r="AG163" s="453" t="n"/>
      <c r="AH163" s="453" t="n"/>
      <c r="AI163" s="453" t="n"/>
      <c r="AJ163" s="453" t="n"/>
      <c r="AK163" s="453" t="n"/>
      <c r="AL163" s="453" t="n"/>
      <c r="AM163" s="453" t="n"/>
      <c r="AN163" s="454" t="n"/>
      <c r="AO163" s="559">
        <f>AO162</f>
        <v/>
      </c>
      <c r="AP163" s="453" t="n"/>
      <c r="AQ163" s="453" t="n"/>
      <c r="AR163" s="453" t="n"/>
      <c r="AS163" s="453" t="n"/>
      <c r="AT163" s="453" t="n"/>
      <c r="AU163" s="453" t="n"/>
      <c r="AV163" s="453" t="n"/>
      <c r="AW163" s="453" t="n"/>
      <c r="AX163" s="453" t="n"/>
      <c r="AY163" s="453" t="n"/>
      <c r="AZ163" s="454" t="n"/>
      <c r="BE163" s="66" t="n">
        <v>31</v>
      </c>
      <c r="BF163" s="558">
        <f>AE163</f>
        <v/>
      </c>
      <c r="BG163" s="453" t="n"/>
      <c r="BH163" s="453" t="n"/>
      <c r="BI163" s="453" t="n"/>
      <c r="BJ163" s="453" t="n"/>
      <c r="BK163" s="453" t="n"/>
      <c r="BL163" s="453" t="n"/>
      <c r="BM163" s="453" t="n"/>
      <c r="BN163" s="453" t="n"/>
      <c r="BO163" s="454" t="n"/>
      <c r="BP163" s="407" t="n"/>
      <c r="BQ163" s="453" t="n"/>
      <c r="BR163" s="453" t="n"/>
      <c r="BS163" s="453" t="n"/>
      <c r="BT163" s="453" t="n"/>
      <c r="BU163" s="453" t="n"/>
      <c r="BV163" s="453" t="n"/>
      <c r="BW163" s="453" t="n"/>
      <c r="BX163" s="453" t="n"/>
      <c r="BY163" s="453" t="n"/>
      <c r="BZ163" s="453" t="n"/>
      <c r="CA163" s="453" t="n"/>
      <c r="CB163" s="453" t="n"/>
      <c r="CC163" s="454" t="n"/>
      <c r="CI163" s="481" t="n"/>
    </row>
    <row r="164">
      <c r="C164" s="66" t="n">
        <v>32</v>
      </c>
      <c r="D164" s="558">
        <f>IF(C164&lt;=$I$16, EDATE($D$6, C164-1), "")</f>
        <v/>
      </c>
      <c r="E164" s="453" t="n"/>
      <c r="F164" s="453" t="n"/>
      <c r="G164" s="453" t="n"/>
      <c r="H164" s="453" t="n"/>
      <c r="I164" s="453" t="n"/>
      <c r="J164" s="453" t="n"/>
      <c r="K164" s="453" t="n"/>
      <c r="L164" s="453" t="n"/>
      <c r="M164" s="454" t="n"/>
      <c r="N164" s="559">
        <f>IF(C164&lt;=$I$16, $I$17, "")</f>
        <v/>
      </c>
      <c r="O164" s="453" t="n"/>
      <c r="P164" s="453" t="n"/>
      <c r="Q164" s="453" t="n"/>
      <c r="R164" s="453" t="n"/>
      <c r="S164" s="453" t="n"/>
      <c r="T164" s="453" t="n"/>
      <c r="U164" s="453" t="n"/>
      <c r="V164" s="453" t="n"/>
      <c r="W164" s="453" t="n"/>
      <c r="X164" s="453" t="n"/>
      <c r="Y164" s="454" t="n"/>
      <c r="AD164" s="66" t="n">
        <v>32</v>
      </c>
      <c r="AE164" s="558">
        <f>D164</f>
        <v/>
      </c>
      <c r="AF164" s="453" t="n"/>
      <c r="AG164" s="453" t="n"/>
      <c r="AH164" s="453" t="n"/>
      <c r="AI164" s="453" t="n"/>
      <c r="AJ164" s="453" t="n"/>
      <c r="AK164" s="453" t="n"/>
      <c r="AL164" s="453" t="n"/>
      <c r="AM164" s="453" t="n"/>
      <c r="AN164" s="454" t="n"/>
      <c r="AO164" s="559">
        <f>AO163</f>
        <v/>
      </c>
      <c r="AP164" s="453" t="n"/>
      <c r="AQ164" s="453" t="n"/>
      <c r="AR164" s="453" t="n"/>
      <c r="AS164" s="453" t="n"/>
      <c r="AT164" s="453" t="n"/>
      <c r="AU164" s="453" t="n"/>
      <c r="AV164" s="453" t="n"/>
      <c r="AW164" s="453" t="n"/>
      <c r="AX164" s="453" t="n"/>
      <c r="AY164" s="453" t="n"/>
      <c r="AZ164" s="454" t="n"/>
      <c r="BE164" s="66" t="n">
        <v>32</v>
      </c>
      <c r="BF164" s="558">
        <f>AE164</f>
        <v/>
      </c>
      <c r="BG164" s="453" t="n"/>
      <c r="BH164" s="453" t="n"/>
      <c r="BI164" s="453" t="n"/>
      <c r="BJ164" s="453" t="n"/>
      <c r="BK164" s="453" t="n"/>
      <c r="BL164" s="453" t="n"/>
      <c r="BM164" s="453" t="n"/>
      <c r="BN164" s="453" t="n"/>
      <c r="BO164" s="454" t="n"/>
      <c r="BP164" s="407" t="n"/>
      <c r="BQ164" s="453" t="n"/>
      <c r="BR164" s="453" t="n"/>
      <c r="BS164" s="453" t="n"/>
      <c r="BT164" s="453" t="n"/>
      <c r="BU164" s="453" t="n"/>
      <c r="BV164" s="453" t="n"/>
      <c r="BW164" s="453" t="n"/>
      <c r="BX164" s="453" t="n"/>
      <c r="BY164" s="453" t="n"/>
      <c r="BZ164" s="453" t="n"/>
      <c r="CA164" s="453" t="n"/>
      <c r="CB164" s="453" t="n"/>
      <c r="CC164" s="454" t="n"/>
      <c r="CI164" s="481" t="n"/>
    </row>
    <row r="165">
      <c r="C165" s="66" t="n">
        <v>33</v>
      </c>
      <c r="D165" s="558">
        <f>IF(C165&lt;=$I$16, EDATE($D$6, C165-1), "")</f>
        <v/>
      </c>
      <c r="E165" s="453" t="n"/>
      <c r="F165" s="453" t="n"/>
      <c r="G165" s="453" t="n"/>
      <c r="H165" s="453" t="n"/>
      <c r="I165" s="453" t="n"/>
      <c r="J165" s="453" t="n"/>
      <c r="K165" s="453" t="n"/>
      <c r="L165" s="453" t="n"/>
      <c r="M165" s="454" t="n"/>
      <c r="N165" s="559">
        <f>IF(C165&lt;=$I$16, $I$17, "")</f>
        <v/>
      </c>
      <c r="O165" s="453" t="n"/>
      <c r="P165" s="453" t="n"/>
      <c r="Q165" s="453" t="n"/>
      <c r="R165" s="453" t="n"/>
      <c r="S165" s="453" t="n"/>
      <c r="T165" s="453" t="n"/>
      <c r="U165" s="453" t="n"/>
      <c r="V165" s="453" t="n"/>
      <c r="W165" s="453" t="n"/>
      <c r="X165" s="453" t="n"/>
      <c r="Y165" s="454" t="n"/>
      <c r="AD165" s="66" t="n">
        <v>33</v>
      </c>
      <c r="AE165" s="558">
        <f>D165</f>
        <v/>
      </c>
      <c r="AF165" s="453" t="n"/>
      <c r="AG165" s="453" t="n"/>
      <c r="AH165" s="453" t="n"/>
      <c r="AI165" s="453" t="n"/>
      <c r="AJ165" s="453" t="n"/>
      <c r="AK165" s="453" t="n"/>
      <c r="AL165" s="453" t="n"/>
      <c r="AM165" s="453" t="n"/>
      <c r="AN165" s="454" t="n"/>
      <c r="AO165" s="559">
        <f>AO164</f>
        <v/>
      </c>
      <c r="AP165" s="453" t="n"/>
      <c r="AQ165" s="453" t="n"/>
      <c r="AR165" s="453" t="n"/>
      <c r="AS165" s="453" t="n"/>
      <c r="AT165" s="453" t="n"/>
      <c r="AU165" s="453" t="n"/>
      <c r="AV165" s="453" t="n"/>
      <c r="AW165" s="453" t="n"/>
      <c r="AX165" s="453" t="n"/>
      <c r="AY165" s="453" t="n"/>
      <c r="AZ165" s="454" t="n"/>
      <c r="BE165" s="66" t="n">
        <v>33</v>
      </c>
      <c r="BF165" s="558">
        <f>AE165</f>
        <v/>
      </c>
      <c r="BG165" s="453" t="n"/>
      <c r="BH165" s="453" t="n"/>
      <c r="BI165" s="453" t="n"/>
      <c r="BJ165" s="453" t="n"/>
      <c r="BK165" s="453" t="n"/>
      <c r="BL165" s="453" t="n"/>
      <c r="BM165" s="453" t="n"/>
      <c r="BN165" s="453" t="n"/>
      <c r="BO165" s="454" t="n"/>
      <c r="BP165" s="407" t="n"/>
      <c r="BQ165" s="453" t="n"/>
      <c r="BR165" s="453" t="n"/>
      <c r="BS165" s="453" t="n"/>
      <c r="BT165" s="453" t="n"/>
      <c r="BU165" s="453" t="n"/>
      <c r="BV165" s="453" t="n"/>
      <c r="BW165" s="453" t="n"/>
      <c r="BX165" s="453" t="n"/>
      <c r="BY165" s="453" t="n"/>
      <c r="BZ165" s="453" t="n"/>
      <c r="CA165" s="453" t="n"/>
      <c r="CB165" s="453" t="n"/>
      <c r="CC165" s="454" t="n"/>
      <c r="CI165" s="481" t="n"/>
    </row>
    <row r="166">
      <c r="C166" s="66" t="n">
        <v>34</v>
      </c>
      <c r="D166" s="556">
        <f>IF(C166&lt;=$I$16, EDATE($D$6, C166-1), "")</f>
        <v/>
      </c>
      <c r="E166" s="448" t="n"/>
      <c r="F166" s="448" t="n"/>
      <c r="G166" s="448" t="n"/>
      <c r="H166" s="448" t="n"/>
      <c r="I166" s="448" t="n"/>
      <c r="J166" s="448" t="n"/>
      <c r="K166" s="448" t="n"/>
      <c r="L166" s="448" t="n"/>
      <c r="M166" s="449" t="n"/>
      <c r="N166" s="559">
        <f>IF(C166&lt;=$I$16, $I$17, "")</f>
        <v/>
      </c>
      <c r="O166" s="453" t="n"/>
      <c r="P166" s="453" t="n"/>
      <c r="Q166" s="453" t="n"/>
      <c r="R166" s="453" t="n"/>
      <c r="S166" s="453" t="n"/>
      <c r="T166" s="453" t="n"/>
      <c r="U166" s="453" t="n"/>
      <c r="V166" s="453" t="n"/>
      <c r="W166" s="453" t="n"/>
      <c r="X166" s="453" t="n"/>
      <c r="Y166" s="454" t="n"/>
      <c r="AD166" s="66" t="n">
        <v>34</v>
      </c>
      <c r="AE166" s="558">
        <f>D166</f>
        <v/>
      </c>
      <c r="AF166" s="453" t="n"/>
      <c r="AG166" s="453" t="n"/>
      <c r="AH166" s="453" t="n"/>
      <c r="AI166" s="453" t="n"/>
      <c r="AJ166" s="453" t="n"/>
      <c r="AK166" s="453" t="n"/>
      <c r="AL166" s="453" t="n"/>
      <c r="AM166" s="453" t="n"/>
      <c r="AN166" s="454" t="n"/>
      <c r="AO166" s="559">
        <f>AO165</f>
        <v/>
      </c>
      <c r="AP166" s="453" t="n"/>
      <c r="AQ166" s="453" t="n"/>
      <c r="AR166" s="453" t="n"/>
      <c r="AS166" s="453" t="n"/>
      <c r="AT166" s="453" t="n"/>
      <c r="AU166" s="453" t="n"/>
      <c r="AV166" s="453" t="n"/>
      <c r="AW166" s="453" t="n"/>
      <c r="AX166" s="453" t="n"/>
      <c r="AY166" s="453" t="n"/>
      <c r="AZ166" s="454" t="n"/>
      <c r="BE166" s="66" t="n">
        <v>34</v>
      </c>
      <c r="BF166" s="558">
        <f>AE166</f>
        <v/>
      </c>
      <c r="BG166" s="453" t="n"/>
      <c r="BH166" s="453" t="n"/>
      <c r="BI166" s="453" t="n"/>
      <c r="BJ166" s="453" t="n"/>
      <c r="BK166" s="453" t="n"/>
      <c r="BL166" s="453" t="n"/>
      <c r="BM166" s="453" t="n"/>
      <c r="BN166" s="453" t="n"/>
      <c r="BO166" s="454" t="n"/>
      <c r="BP166" s="407" t="n"/>
      <c r="BQ166" s="453" t="n"/>
      <c r="BR166" s="453" t="n"/>
      <c r="BS166" s="453" t="n"/>
      <c r="BT166" s="453" t="n"/>
      <c r="BU166" s="453" t="n"/>
      <c r="BV166" s="453" t="n"/>
      <c r="BW166" s="453" t="n"/>
      <c r="BX166" s="453" t="n"/>
      <c r="BY166" s="453" t="n"/>
      <c r="BZ166" s="453" t="n"/>
      <c r="CA166" s="453" t="n"/>
      <c r="CB166" s="453" t="n"/>
      <c r="CC166" s="454" t="n"/>
      <c r="CI166" s="481" t="n"/>
    </row>
    <row r="167">
      <c r="C167" s="66" t="n">
        <v>35</v>
      </c>
      <c r="D167" s="558">
        <f>IF(C167&lt;=$I$16, EDATE($D$6, C167-1), "")</f>
        <v/>
      </c>
      <c r="E167" s="453" t="n"/>
      <c r="F167" s="453" t="n"/>
      <c r="G167" s="453" t="n"/>
      <c r="H167" s="453" t="n"/>
      <c r="I167" s="453" t="n"/>
      <c r="J167" s="453" t="n"/>
      <c r="K167" s="453" t="n"/>
      <c r="L167" s="453" t="n"/>
      <c r="M167" s="454" t="n"/>
      <c r="N167" s="559">
        <f>IF(C167&lt;=$I$16, $I$17, "")</f>
        <v/>
      </c>
      <c r="O167" s="453" t="n"/>
      <c r="P167" s="453" t="n"/>
      <c r="Q167" s="453" t="n"/>
      <c r="R167" s="453" t="n"/>
      <c r="S167" s="453" t="n"/>
      <c r="T167" s="453" t="n"/>
      <c r="U167" s="453" t="n"/>
      <c r="V167" s="453" t="n"/>
      <c r="W167" s="453" t="n"/>
      <c r="X167" s="453" t="n"/>
      <c r="Y167" s="454" t="n"/>
      <c r="AD167" s="66" t="n">
        <v>35</v>
      </c>
      <c r="AE167" s="558">
        <f>D167</f>
        <v/>
      </c>
      <c r="AF167" s="453" t="n"/>
      <c r="AG167" s="453" t="n"/>
      <c r="AH167" s="453" t="n"/>
      <c r="AI167" s="453" t="n"/>
      <c r="AJ167" s="453" t="n"/>
      <c r="AK167" s="453" t="n"/>
      <c r="AL167" s="453" t="n"/>
      <c r="AM167" s="453" t="n"/>
      <c r="AN167" s="454" t="n"/>
      <c r="AO167" s="559">
        <f>AO166</f>
        <v/>
      </c>
      <c r="AP167" s="453" t="n"/>
      <c r="AQ167" s="453" t="n"/>
      <c r="AR167" s="453" t="n"/>
      <c r="AS167" s="453" t="n"/>
      <c r="AT167" s="453" t="n"/>
      <c r="AU167" s="453" t="n"/>
      <c r="AV167" s="453" t="n"/>
      <c r="AW167" s="453" t="n"/>
      <c r="AX167" s="453" t="n"/>
      <c r="AY167" s="453" t="n"/>
      <c r="AZ167" s="454" t="n"/>
      <c r="BE167" s="66" t="n">
        <v>35</v>
      </c>
      <c r="BF167" s="558">
        <f>AE167</f>
        <v/>
      </c>
      <c r="BG167" s="453" t="n"/>
      <c r="BH167" s="453" t="n"/>
      <c r="BI167" s="453" t="n"/>
      <c r="BJ167" s="453" t="n"/>
      <c r="BK167" s="453" t="n"/>
      <c r="BL167" s="453" t="n"/>
      <c r="BM167" s="453" t="n"/>
      <c r="BN167" s="453" t="n"/>
      <c r="BO167" s="454" t="n"/>
      <c r="BP167" s="407" t="n"/>
      <c r="BQ167" s="453" t="n"/>
      <c r="BR167" s="453" t="n"/>
      <c r="BS167" s="453" t="n"/>
      <c r="BT167" s="453" t="n"/>
      <c r="BU167" s="453" t="n"/>
      <c r="BV167" s="453" t="n"/>
      <c r="BW167" s="453" t="n"/>
      <c r="BX167" s="453" t="n"/>
      <c r="BY167" s="453" t="n"/>
      <c r="BZ167" s="453" t="n"/>
      <c r="CA167" s="453" t="n"/>
      <c r="CB167" s="453" t="n"/>
      <c r="CC167" s="454" t="n"/>
    </row>
    <row r="168">
      <c r="C168" s="66" t="n">
        <v>36</v>
      </c>
      <c r="D168" s="558">
        <f>IF(C168&lt;=$I$16, EDATE($D$6, C168-1), "")</f>
        <v/>
      </c>
      <c r="E168" s="453" t="n"/>
      <c r="F168" s="453" t="n"/>
      <c r="G168" s="453" t="n"/>
      <c r="H168" s="453" t="n"/>
      <c r="I168" s="453" t="n"/>
      <c r="J168" s="453" t="n"/>
      <c r="K168" s="453" t="n"/>
      <c r="L168" s="453" t="n"/>
      <c r="M168" s="454" t="n"/>
      <c r="N168" s="559">
        <f>IF(C168&lt;=$I$16, $I$17, "")</f>
        <v/>
      </c>
      <c r="O168" s="453" t="n"/>
      <c r="P168" s="453" t="n"/>
      <c r="Q168" s="453" t="n"/>
      <c r="R168" s="453" t="n"/>
      <c r="S168" s="453" t="n"/>
      <c r="T168" s="453" t="n"/>
      <c r="U168" s="453" t="n"/>
      <c r="V168" s="453" t="n"/>
      <c r="W168" s="453" t="n"/>
      <c r="X168" s="453" t="n"/>
      <c r="Y168" s="454" t="n"/>
      <c r="AD168" s="66" t="n">
        <v>36</v>
      </c>
      <c r="AE168" s="558">
        <f>D168</f>
        <v/>
      </c>
      <c r="AF168" s="453" t="n"/>
      <c r="AG168" s="453" t="n"/>
      <c r="AH168" s="453" t="n"/>
      <c r="AI168" s="453" t="n"/>
      <c r="AJ168" s="453" t="n"/>
      <c r="AK168" s="453" t="n"/>
      <c r="AL168" s="453" t="n"/>
      <c r="AM168" s="453" t="n"/>
      <c r="AN168" s="454" t="n"/>
      <c r="AO168" s="559">
        <f>AO167</f>
        <v/>
      </c>
      <c r="AP168" s="453" t="n"/>
      <c r="AQ168" s="453" t="n"/>
      <c r="AR168" s="453" t="n"/>
      <c r="AS168" s="453" t="n"/>
      <c r="AT168" s="453" t="n"/>
      <c r="AU168" s="453" t="n"/>
      <c r="AV168" s="453" t="n"/>
      <c r="AW168" s="453" t="n"/>
      <c r="AX168" s="453" t="n"/>
      <c r="AY168" s="453" t="n"/>
      <c r="AZ168" s="454" t="n"/>
      <c r="BE168" s="66" t="n">
        <v>36</v>
      </c>
      <c r="BF168" s="558">
        <f>AE168</f>
        <v/>
      </c>
      <c r="BG168" s="453" t="n"/>
      <c r="BH168" s="453" t="n"/>
      <c r="BI168" s="453" t="n"/>
      <c r="BJ168" s="453" t="n"/>
      <c r="BK168" s="453" t="n"/>
      <c r="BL168" s="453" t="n"/>
      <c r="BM168" s="453" t="n"/>
      <c r="BN168" s="453" t="n"/>
      <c r="BO168" s="454" t="n"/>
      <c r="BP168" s="407" t="n"/>
      <c r="BQ168" s="453" t="n"/>
      <c r="BR168" s="453" t="n"/>
      <c r="BS168" s="453" t="n"/>
      <c r="BT168" s="453" t="n"/>
      <c r="BU168" s="453" t="n"/>
      <c r="BV168" s="453" t="n"/>
      <c r="BW168" s="453" t="n"/>
      <c r="BX168" s="453" t="n"/>
      <c r="BY168" s="453" t="n"/>
      <c r="BZ168" s="453" t="n"/>
      <c r="CA168" s="453" t="n"/>
      <c r="CB168" s="453" t="n"/>
      <c r="CC168" s="454" t="n"/>
    </row>
    <row r="169">
      <c r="C169" s="66" t="n">
        <v>37</v>
      </c>
      <c r="D169" s="556">
        <f>IF(C169&lt;=$I$16, EDATE($D$6, C169-1), "")</f>
        <v/>
      </c>
      <c r="E169" s="448" t="n"/>
      <c r="F169" s="448" t="n"/>
      <c r="G169" s="448" t="n"/>
      <c r="H169" s="448" t="n"/>
      <c r="I169" s="448" t="n"/>
      <c r="J169" s="448" t="n"/>
      <c r="K169" s="448" t="n"/>
      <c r="L169" s="448" t="n"/>
      <c r="M169" s="449" t="n"/>
      <c r="N169" s="559">
        <f>IF(C169&lt;=$I$16, $I$17, "")</f>
        <v/>
      </c>
      <c r="O169" s="453" t="n"/>
      <c r="P169" s="453" t="n"/>
      <c r="Q169" s="453" t="n"/>
      <c r="R169" s="453" t="n"/>
      <c r="S169" s="453" t="n"/>
      <c r="T169" s="453" t="n"/>
      <c r="U169" s="453" t="n"/>
      <c r="V169" s="453" t="n"/>
      <c r="W169" s="453" t="n"/>
      <c r="X169" s="453" t="n"/>
      <c r="Y169" s="454" t="n"/>
      <c r="AD169" s="66" t="n">
        <v>37</v>
      </c>
      <c r="AE169" s="558">
        <f>D169</f>
        <v/>
      </c>
      <c r="AF169" s="453" t="n"/>
      <c r="AG169" s="453" t="n"/>
      <c r="AH169" s="453" t="n"/>
      <c r="AI169" s="453" t="n"/>
      <c r="AJ169" s="453" t="n"/>
      <c r="AK169" s="453" t="n"/>
      <c r="AL169" s="453" t="n"/>
      <c r="AM169" s="453" t="n"/>
      <c r="AN169" s="454" t="n"/>
      <c r="AO169" s="559">
        <f>AO168</f>
        <v/>
      </c>
      <c r="AP169" s="453" t="n"/>
      <c r="AQ169" s="453" t="n"/>
      <c r="AR169" s="453" t="n"/>
      <c r="AS169" s="453" t="n"/>
      <c r="AT169" s="453" t="n"/>
      <c r="AU169" s="453" t="n"/>
      <c r="AV169" s="453" t="n"/>
      <c r="AW169" s="453" t="n"/>
      <c r="AX169" s="453" t="n"/>
      <c r="AY169" s="453" t="n"/>
      <c r="AZ169" s="454" t="n"/>
      <c r="BE169" s="66" t="n">
        <v>37</v>
      </c>
      <c r="BF169" s="558">
        <f>AE169</f>
        <v/>
      </c>
      <c r="BG169" s="453" t="n"/>
      <c r="BH169" s="453" t="n"/>
      <c r="BI169" s="453" t="n"/>
      <c r="BJ169" s="453" t="n"/>
      <c r="BK169" s="453" t="n"/>
      <c r="BL169" s="453" t="n"/>
      <c r="BM169" s="453" t="n"/>
      <c r="BN169" s="453" t="n"/>
      <c r="BO169" s="454" t="n"/>
      <c r="BP169" s="407" t="n"/>
      <c r="BQ169" s="453" t="n"/>
      <c r="BR169" s="453" t="n"/>
      <c r="BS169" s="453" t="n"/>
      <c r="BT169" s="453" t="n"/>
      <c r="BU169" s="453" t="n"/>
      <c r="BV169" s="453" t="n"/>
      <c r="BW169" s="453" t="n"/>
      <c r="BX169" s="453" t="n"/>
      <c r="BY169" s="453" t="n"/>
      <c r="BZ169" s="453" t="n"/>
      <c r="CA169" s="453" t="n"/>
      <c r="CB169" s="453" t="n"/>
      <c r="CC169" s="454" t="n"/>
    </row>
    <row r="170">
      <c r="C170" s="66" t="n">
        <v>38</v>
      </c>
      <c r="D170" s="558">
        <f>IF(C170&lt;=$I$16, EDATE($D$6, C170-1), "")</f>
        <v/>
      </c>
      <c r="E170" s="453" t="n"/>
      <c r="F170" s="453" t="n"/>
      <c r="G170" s="453" t="n"/>
      <c r="H170" s="453" t="n"/>
      <c r="I170" s="453" t="n"/>
      <c r="J170" s="453" t="n"/>
      <c r="K170" s="453" t="n"/>
      <c r="L170" s="453" t="n"/>
      <c r="M170" s="454" t="n"/>
      <c r="N170" s="559">
        <f>IF(C170&lt;=$I$16, $I$17, "")</f>
        <v/>
      </c>
      <c r="O170" s="453" t="n"/>
      <c r="P170" s="453" t="n"/>
      <c r="Q170" s="453" t="n"/>
      <c r="R170" s="453" t="n"/>
      <c r="S170" s="453" t="n"/>
      <c r="T170" s="453" t="n"/>
      <c r="U170" s="453" t="n"/>
      <c r="V170" s="453" t="n"/>
      <c r="W170" s="453" t="n"/>
      <c r="X170" s="453" t="n"/>
      <c r="Y170" s="454" t="n"/>
      <c r="AD170" s="66" t="n">
        <v>38</v>
      </c>
      <c r="AE170" s="558">
        <f>D170</f>
        <v/>
      </c>
      <c r="AF170" s="453" t="n"/>
      <c r="AG170" s="453" t="n"/>
      <c r="AH170" s="453" t="n"/>
      <c r="AI170" s="453" t="n"/>
      <c r="AJ170" s="453" t="n"/>
      <c r="AK170" s="453" t="n"/>
      <c r="AL170" s="453" t="n"/>
      <c r="AM170" s="453" t="n"/>
      <c r="AN170" s="454" t="n"/>
      <c r="AO170" s="559">
        <f>AO169</f>
        <v/>
      </c>
      <c r="AP170" s="453" t="n"/>
      <c r="AQ170" s="453" t="n"/>
      <c r="AR170" s="453" t="n"/>
      <c r="AS170" s="453" t="n"/>
      <c r="AT170" s="453" t="n"/>
      <c r="AU170" s="453" t="n"/>
      <c r="AV170" s="453" t="n"/>
      <c r="AW170" s="453" t="n"/>
      <c r="AX170" s="453" t="n"/>
      <c r="AY170" s="453" t="n"/>
      <c r="AZ170" s="454" t="n"/>
      <c r="BE170" s="66" t="n">
        <v>38</v>
      </c>
      <c r="BF170" s="558">
        <f>AE170</f>
        <v/>
      </c>
      <c r="BG170" s="453" t="n"/>
      <c r="BH170" s="453" t="n"/>
      <c r="BI170" s="453" t="n"/>
      <c r="BJ170" s="453" t="n"/>
      <c r="BK170" s="453" t="n"/>
      <c r="BL170" s="453" t="n"/>
      <c r="BM170" s="453" t="n"/>
      <c r="BN170" s="453" t="n"/>
      <c r="BO170" s="454" t="n"/>
      <c r="BP170" s="407" t="n"/>
      <c r="BQ170" s="453" t="n"/>
      <c r="BR170" s="453" t="n"/>
      <c r="BS170" s="453" t="n"/>
      <c r="BT170" s="453" t="n"/>
      <c r="BU170" s="453" t="n"/>
      <c r="BV170" s="453" t="n"/>
      <c r="BW170" s="453" t="n"/>
      <c r="BX170" s="453" t="n"/>
      <c r="BY170" s="453" t="n"/>
      <c r="BZ170" s="453" t="n"/>
      <c r="CA170" s="453" t="n"/>
      <c r="CB170" s="453" t="n"/>
      <c r="CC170" s="454" t="n"/>
    </row>
    <row r="171">
      <c r="C171" s="66" t="n">
        <v>39</v>
      </c>
      <c r="D171" s="558">
        <f>IF(C171&lt;=$I$16, EDATE($D$6, C171-1), "")</f>
        <v/>
      </c>
      <c r="E171" s="453" t="n"/>
      <c r="F171" s="453" t="n"/>
      <c r="G171" s="453" t="n"/>
      <c r="H171" s="453" t="n"/>
      <c r="I171" s="453" t="n"/>
      <c r="J171" s="453" t="n"/>
      <c r="K171" s="453" t="n"/>
      <c r="L171" s="453" t="n"/>
      <c r="M171" s="454" t="n"/>
      <c r="N171" s="559">
        <f>IF(C171&lt;=$I$16, $I$17, "")</f>
        <v/>
      </c>
      <c r="O171" s="453" t="n"/>
      <c r="P171" s="453" t="n"/>
      <c r="Q171" s="453" t="n"/>
      <c r="R171" s="453" t="n"/>
      <c r="S171" s="453" t="n"/>
      <c r="T171" s="453" t="n"/>
      <c r="U171" s="453" t="n"/>
      <c r="V171" s="453" t="n"/>
      <c r="W171" s="453" t="n"/>
      <c r="X171" s="453" t="n"/>
      <c r="Y171" s="454" t="n"/>
      <c r="AD171" s="66" t="n">
        <v>39</v>
      </c>
      <c r="AE171" s="558">
        <f>D171</f>
        <v/>
      </c>
      <c r="AF171" s="453" t="n"/>
      <c r="AG171" s="453" t="n"/>
      <c r="AH171" s="453" t="n"/>
      <c r="AI171" s="453" t="n"/>
      <c r="AJ171" s="453" t="n"/>
      <c r="AK171" s="453" t="n"/>
      <c r="AL171" s="453" t="n"/>
      <c r="AM171" s="453" t="n"/>
      <c r="AN171" s="454" t="n"/>
      <c r="AO171" s="559">
        <f>AO170</f>
        <v/>
      </c>
      <c r="AP171" s="453" t="n"/>
      <c r="AQ171" s="453" t="n"/>
      <c r="AR171" s="453" t="n"/>
      <c r="AS171" s="453" t="n"/>
      <c r="AT171" s="453" t="n"/>
      <c r="AU171" s="453" t="n"/>
      <c r="AV171" s="453" t="n"/>
      <c r="AW171" s="453" t="n"/>
      <c r="AX171" s="453" t="n"/>
      <c r="AY171" s="453" t="n"/>
      <c r="AZ171" s="454" t="n"/>
      <c r="BE171" s="66" t="n">
        <v>39</v>
      </c>
      <c r="BF171" s="558">
        <f>AE171</f>
        <v/>
      </c>
      <c r="BG171" s="453" t="n"/>
      <c r="BH171" s="453" t="n"/>
      <c r="BI171" s="453" t="n"/>
      <c r="BJ171" s="453" t="n"/>
      <c r="BK171" s="453" t="n"/>
      <c r="BL171" s="453" t="n"/>
      <c r="BM171" s="453" t="n"/>
      <c r="BN171" s="453" t="n"/>
      <c r="BO171" s="454" t="n"/>
      <c r="BP171" s="407" t="n"/>
      <c r="BQ171" s="453" t="n"/>
      <c r="BR171" s="453" t="n"/>
      <c r="BS171" s="453" t="n"/>
      <c r="BT171" s="453" t="n"/>
      <c r="BU171" s="453" t="n"/>
      <c r="BV171" s="453" t="n"/>
      <c r="BW171" s="453" t="n"/>
      <c r="BX171" s="453" t="n"/>
      <c r="BY171" s="453" t="n"/>
      <c r="BZ171" s="453" t="n"/>
      <c r="CA171" s="453" t="n"/>
      <c r="CB171" s="453" t="n"/>
      <c r="CC171" s="454" t="n"/>
    </row>
    <row r="172">
      <c r="C172" s="66" t="n">
        <v>40</v>
      </c>
      <c r="D172" s="556">
        <f>IF(C172&lt;=$I$16, EDATE($D$6, C172-1), "")</f>
        <v/>
      </c>
      <c r="E172" s="448" t="n"/>
      <c r="F172" s="448" t="n"/>
      <c r="G172" s="448" t="n"/>
      <c r="H172" s="448" t="n"/>
      <c r="I172" s="448" t="n"/>
      <c r="J172" s="448" t="n"/>
      <c r="K172" s="448" t="n"/>
      <c r="L172" s="448" t="n"/>
      <c r="M172" s="449" t="n"/>
      <c r="N172" s="559">
        <f>IF(C172&lt;=$I$16, $I$17, "")</f>
        <v/>
      </c>
      <c r="O172" s="453" t="n"/>
      <c r="P172" s="453" t="n"/>
      <c r="Q172" s="453" t="n"/>
      <c r="R172" s="453" t="n"/>
      <c r="S172" s="453" t="n"/>
      <c r="T172" s="453" t="n"/>
      <c r="U172" s="453" t="n"/>
      <c r="V172" s="453" t="n"/>
      <c r="W172" s="453" t="n"/>
      <c r="X172" s="453" t="n"/>
      <c r="Y172" s="454" t="n"/>
      <c r="AD172" s="66" t="n">
        <v>40</v>
      </c>
      <c r="AE172" s="558">
        <f>D172</f>
        <v/>
      </c>
      <c r="AF172" s="453" t="n"/>
      <c r="AG172" s="453" t="n"/>
      <c r="AH172" s="453" t="n"/>
      <c r="AI172" s="453" t="n"/>
      <c r="AJ172" s="453" t="n"/>
      <c r="AK172" s="453" t="n"/>
      <c r="AL172" s="453" t="n"/>
      <c r="AM172" s="453" t="n"/>
      <c r="AN172" s="454" t="n"/>
      <c r="AO172" s="559">
        <f>AO171</f>
        <v/>
      </c>
      <c r="AP172" s="453" t="n"/>
      <c r="AQ172" s="453" t="n"/>
      <c r="AR172" s="453" t="n"/>
      <c r="AS172" s="453" t="n"/>
      <c r="AT172" s="453" t="n"/>
      <c r="AU172" s="453" t="n"/>
      <c r="AV172" s="453" t="n"/>
      <c r="AW172" s="453" t="n"/>
      <c r="AX172" s="453" t="n"/>
      <c r="AY172" s="453" t="n"/>
      <c r="AZ172" s="454" t="n"/>
      <c r="BE172" s="66" t="n">
        <v>40</v>
      </c>
      <c r="BF172" s="558">
        <f>AE172</f>
        <v/>
      </c>
      <c r="BG172" s="453" t="n"/>
      <c r="BH172" s="453" t="n"/>
      <c r="BI172" s="453" t="n"/>
      <c r="BJ172" s="453" t="n"/>
      <c r="BK172" s="453" t="n"/>
      <c r="BL172" s="453" t="n"/>
      <c r="BM172" s="453" t="n"/>
      <c r="BN172" s="453" t="n"/>
      <c r="BO172" s="454" t="n"/>
      <c r="BP172" s="407" t="n"/>
      <c r="BQ172" s="453" t="n"/>
      <c r="BR172" s="453" t="n"/>
      <c r="BS172" s="453" t="n"/>
      <c r="BT172" s="453" t="n"/>
      <c r="BU172" s="453" t="n"/>
      <c r="BV172" s="453" t="n"/>
      <c r="BW172" s="453" t="n"/>
      <c r="BX172" s="453" t="n"/>
      <c r="BY172" s="453" t="n"/>
      <c r="BZ172" s="453" t="n"/>
      <c r="CA172" s="453" t="n"/>
      <c r="CB172" s="453" t="n"/>
      <c r="CC172" s="454" t="n"/>
    </row>
    <row r="173">
      <c r="C173" s="66" t="n">
        <v>41</v>
      </c>
      <c r="D173" s="558">
        <f>IF(C173&lt;=$I$16, EDATE($D$6, C173-1), "")</f>
        <v/>
      </c>
      <c r="E173" s="453" t="n"/>
      <c r="F173" s="453" t="n"/>
      <c r="G173" s="453" t="n"/>
      <c r="H173" s="453" t="n"/>
      <c r="I173" s="453" t="n"/>
      <c r="J173" s="453" t="n"/>
      <c r="K173" s="453" t="n"/>
      <c r="L173" s="453" t="n"/>
      <c r="M173" s="454" t="n"/>
      <c r="N173" s="559">
        <f>IF(C173&lt;=$I$16, $I$17, "")</f>
        <v/>
      </c>
      <c r="O173" s="453" t="n"/>
      <c r="P173" s="453" t="n"/>
      <c r="Q173" s="453" t="n"/>
      <c r="R173" s="453" t="n"/>
      <c r="S173" s="453" t="n"/>
      <c r="T173" s="453" t="n"/>
      <c r="U173" s="453" t="n"/>
      <c r="V173" s="453" t="n"/>
      <c r="W173" s="453" t="n"/>
      <c r="X173" s="453" t="n"/>
      <c r="Y173" s="454" t="n"/>
      <c r="AD173" s="66" t="n">
        <v>41</v>
      </c>
      <c r="AE173" s="558">
        <f>D173</f>
        <v/>
      </c>
      <c r="AF173" s="453" t="n"/>
      <c r="AG173" s="453" t="n"/>
      <c r="AH173" s="453" t="n"/>
      <c r="AI173" s="453" t="n"/>
      <c r="AJ173" s="453" t="n"/>
      <c r="AK173" s="453" t="n"/>
      <c r="AL173" s="453" t="n"/>
      <c r="AM173" s="453" t="n"/>
      <c r="AN173" s="454" t="n"/>
      <c r="AO173" s="559">
        <f>AO172</f>
        <v/>
      </c>
      <c r="AP173" s="453" t="n"/>
      <c r="AQ173" s="453" t="n"/>
      <c r="AR173" s="453" t="n"/>
      <c r="AS173" s="453" t="n"/>
      <c r="AT173" s="453" t="n"/>
      <c r="AU173" s="453" t="n"/>
      <c r="AV173" s="453" t="n"/>
      <c r="AW173" s="453" t="n"/>
      <c r="AX173" s="453" t="n"/>
      <c r="AY173" s="453" t="n"/>
      <c r="AZ173" s="454" t="n"/>
      <c r="BE173" s="66" t="n">
        <v>41</v>
      </c>
      <c r="BF173" s="558">
        <f>AE173</f>
        <v/>
      </c>
      <c r="BG173" s="453" t="n"/>
      <c r="BH173" s="453" t="n"/>
      <c r="BI173" s="453" t="n"/>
      <c r="BJ173" s="453" t="n"/>
      <c r="BK173" s="453" t="n"/>
      <c r="BL173" s="453" t="n"/>
      <c r="BM173" s="453" t="n"/>
      <c r="BN173" s="453" t="n"/>
      <c r="BO173" s="454" t="n"/>
      <c r="BP173" s="407" t="n"/>
      <c r="BQ173" s="453" t="n"/>
      <c r="BR173" s="453" t="n"/>
      <c r="BS173" s="453" t="n"/>
      <c r="BT173" s="453" t="n"/>
      <c r="BU173" s="453" t="n"/>
      <c r="BV173" s="453" t="n"/>
      <c r="BW173" s="453" t="n"/>
      <c r="BX173" s="453" t="n"/>
      <c r="BY173" s="453" t="n"/>
      <c r="BZ173" s="453" t="n"/>
      <c r="CA173" s="453" t="n"/>
      <c r="CB173" s="453" t="n"/>
      <c r="CC173" s="454" t="n"/>
    </row>
    <row r="174">
      <c r="C174" s="66" t="n">
        <v>42</v>
      </c>
      <c r="D174" s="558">
        <f>IF(C174&lt;=$I$16, EDATE($D$6, C174-1), "")</f>
        <v/>
      </c>
      <c r="E174" s="453" t="n"/>
      <c r="F174" s="453" t="n"/>
      <c r="G174" s="453" t="n"/>
      <c r="H174" s="453" t="n"/>
      <c r="I174" s="453" t="n"/>
      <c r="J174" s="453" t="n"/>
      <c r="K174" s="453" t="n"/>
      <c r="L174" s="453" t="n"/>
      <c r="M174" s="454" t="n"/>
      <c r="N174" s="559">
        <f>IF(C174&lt;=$I$16, $I$17, "")</f>
        <v/>
      </c>
      <c r="O174" s="453" t="n"/>
      <c r="P174" s="453" t="n"/>
      <c r="Q174" s="453" t="n"/>
      <c r="R174" s="453" t="n"/>
      <c r="S174" s="453" t="n"/>
      <c r="T174" s="453" t="n"/>
      <c r="U174" s="453" t="n"/>
      <c r="V174" s="453" t="n"/>
      <c r="W174" s="453" t="n"/>
      <c r="X174" s="453" t="n"/>
      <c r="Y174" s="454" t="n"/>
      <c r="AD174" s="66" t="n">
        <v>42</v>
      </c>
      <c r="AE174" s="558">
        <f>D174</f>
        <v/>
      </c>
      <c r="AF174" s="453" t="n"/>
      <c r="AG174" s="453" t="n"/>
      <c r="AH174" s="453" t="n"/>
      <c r="AI174" s="453" t="n"/>
      <c r="AJ174" s="453" t="n"/>
      <c r="AK174" s="453" t="n"/>
      <c r="AL174" s="453" t="n"/>
      <c r="AM174" s="453" t="n"/>
      <c r="AN174" s="454" t="n"/>
      <c r="AO174" s="559">
        <f>AO173</f>
        <v/>
      </c>
      <c r="AP174" s="453" t="n"/>
      <c r="AQ174" s="453" t="n"/>
      <c r="AR174" s="453" t="n"/>
      <c r="AS174" s="453" t="n"/>
      <c r="AT174" s="453" t="n"/>
      <c r="AU174" s="453" t="n"/>
      <c r="AV174" s="453" t="n"/>
      <c r="AW174" s="453" t="n"/>
      <c r="AX174" s="453" t="n"/>
      <c r="AY174" s="453" t="n"/>
      <c r="AZ174" s="454" t="n"/>
      <c r="BE174" s="66" t="n">
        <v>42</v>
      </c>
      <c r="BF174" s="558">
        <f>AE174</f>
        <v/>
      </c>
      <c r="BG174" s="453" t="n"/>
      <c r="BH174" s="453" t="n"/>
      <c r="BI174" s="453" t="n"/>
      <c r="BJ174" s="453" t="n"/>
      <c r="BK174" s="453" t="n"/>
      <c r="BL174" s="453" t="n"/>
      <c r="BM174" s="453" t="n"/>
      <c r="BN174" s="453" t="n"/>
      <c r="BO174" s="454" t="n"/>
      <c r="BP174" s="407" t="n"/>
      <c r="BQ174" s="453" t="n"/>
      <c r="BR174" s="453" t="n"/>
      <c r="BS174" s="453" t="n"/>
      <c r="BT174" s="453" t="n"/>
      <c r="BU174" s="453" t="n"/>
      <c r="BV174" s="453" t="n"/>
      <c r="BW174" s="453" t="n"/>
      <c r="BX174" s="453" t="n"/>
      <c r="BY174" s="453" t="n"/>
      <c r="BZ174" s="453" t="n"/>
      <c r="CA174" s="453" t="n"/>
      <c r="CB174" s="453" t="n"/>
      <c r="CC174" s="454" t="n"/>
    </row>
    <row r="175">
      <c r="C175" s="66" t="n">
        <v>43</v>
      </c>
      <c r="D175" s="556">
        <f>IF(C175&lt;=$I$16, EDATE($D$6, C175-1), "")</f>
        <v/>
      </c>
      <c r="E175" s="448" t="n"/>
      <c r="F175" s="448" t="n"/>
      <c r="G175" s="448" t="n"/>
      <c r="H175" s="448" t="n"/>
      <c r="I175" s="448" t="n"/>
      <c r="J175" s="448" t="n"/>
      <c r="K175" s="448" t="n"/>
      <c r="L175" s="448" t="n"/>
      <c r="M175" s="449" t="n"/>
      <c r="N175" s="559">
        <f>IF(C175&lt;=$I$16, $I$17, "")</f>
        <v/>
      </c>
      <c r="O175" s="453" t="n"/>
      <c r="P175" s="453" t="n"/>
      <c r="Q175" s="453" t="n"/>
      <c r="R175" s="453" t="n"/>
      <c r="S175" s="453" t="n"/>
      <c r="T175" s="453" t="n"/>
      <c r="U175" s="453" t="n"/>
      <c r="V175" s="453" t="n"/>
      <c r="W175" s="453" t="n"/>
      <c r="X175" s="453" t="n"/>
      <c r="Y175" s="454" t="n"/>
      <c r="AD175" s="66" t="n">
        <v>43</v>
      </c>
      <c r="AE175" s="558">
        <f>D175</f>
        <v/>
      </c>
      <c r="AF175" s="453" t="n"/>
      <c r="AG175" s="453" t="n"/>
      <c r="AH175" s="453" t="n"/>
      <c r="AI175" s="453" t="n"/>
      <c r="AJ175" s="453" t="n"/>
      <c r="AK175" s="453" t="n"/>
      <c r="AL175" s="453" t="n"/>
      <c r="AM175" s="453" t="n"/>
      <c r="AN175" s="454" t="n"/>
      <c r="AO175" s="559">
        <f>AO174</f>
        <v/>
      </c>
      <c r="AP175" s="453" t="n"/>
      <c r="AQ175" s="453" t="n"/>
      <c r="AR175" s="453" t="n"/>
      <c r="AS175" s="453" t="n"/>
      <c r="AT175" s="453" t="n"/>
      <c r="AU175" s="453" t="n"/>
      <c r="AV175" s="453" t="n"/>
      <c r="AW175" s="453" t="n"/>
      <c r="AX175" s="453" t="n"/>
      <c r="AY175" s="453" t="n"/>
      <c r="AZ175" s="454" t="n"/>
      <c r="BE175" s="66" t="n">
        <v>43</v>
      </c>
      <c r="BF175" s="558">
        <f>AE175</f>
        <v/>
      </c>
      <c r="BG175" s="453" t="n"/>
      <c r="BH175" s="453" t="n"/>
      <c r="BI175" s="453" t="n"/>
      <c r="BJ175" s="453" t="n"/>
      <c r="BK175" s="453" t="n"/>
      <c r="BL175" s="453" t="n"/>
      <c r="BM175" s="453" t="n"/>
      <c r="BN175" s="453" t="n"/>
      <c r="BO175" s="454" t="n"/>
      <c r="BP175" s="407" t="n"/>
      <c r="BQ175" s="453" t="n"/>
      <c r="BR175" s="453" t="n"/>
      <c r="BS175" s="453" t="n"/>
      <c r="BT175" s="453" t="n"/>
      <c r="BU175" s="453" t="n"/>
      <c r="BV175" s="453" t="n"/>
      <c r="BW175" s="453" t="n"/>
      <c r="BX175" s="453" t="n"/>
      <c r="BY175" s="453" t="n"/>
      <c r="BZ175" s="453" t="n"/>
      <c r="CA175" s="453" t="n"/>
      <c r="CB175" s="453" t="n"/>
      <c r="CC175" s="454" t="n"/>
    </row>
    <row r="176">
      <c r="C176" s="66" t="n">
        <v>44</v>
      </c>
      <c r="D176" s="558">
        <f>IF(C176&lt;=$I$16, EDATE($D$6, C176-1), "")</f>
        <v/>
      </c>
      <c r="E176" s="453" t="n"/>
      <c r="F176" s="453" t="n"/>
      <c r="G176" s="453" t="n"/>
      <c r="H176" s="453" t="n"/>
      <c r="I176" s="453" t="n"/>
      <c r="J176" s="453" t="n"/>
      <c r="K176" s="453" t="n"/>
      <c r="L176" s="453" t="n"/>
      <c r="M176" s="454" t="n"/>
      <c r="N176" s="559">
        <f>IF(C176&lt;=$I$16, $I$17, "")</f>
        <v/>
      </c>
      <c r="O176" s="453" t="n"/>
      <c r="P176" s="453" t="n"/>
      <c r="Q176" s="453" t="n"/>
      <c r="R176" s="453" t="n"/>
      <c r="S176" s="453" t="n"/>
      <c r="T176" s="453" t="n"/>
      <c r="U176" s="453" t="n"/>
      <c r="V176" s="453" t="n"/>
      <c r="W176" s="453" t="n"/>
      <c r="X176" s="453" t="n"/>
      <c r="Y176" s="454" t="n"/>
      <c r="AD176" s="66" t="n">
        <v>44</v>
      </c>
      <c r="AE176" s="558">
        <f>D176</f>
        <v/>
      </c>
      <c r="AF176" s="453" t="n"/>
      <c r="AG176" s="453" t="n"/>
      <c r="AH176" s="453" t="n"/>
      <c r="AI176" s="453" t="n"/>
      <c r="AJ176" s="453" t="n"/>
      <c r="AK176" s="453" t="n"/>
      <c r="AL176" s="453" t="n"/>
      <c r="AM176" s="453" t="n"/>
      <c r="AN176" s="454" t="n"/>
      <c r="AO176" s="559">
        <f>AO175</f>
        <v/>
      </c>
      <c r="AP176" s="453" t="n"/>
      <c r="AQ176" s="453" t="n"/>
      <c r="AR176" s="453" t="n"/>
      <c r="AS176" s="453" t="n"/>
      <c r="AT176" s="453" t="n"/>
      <c r="AU176" s="453" t="n"/>
      <c r="AV176" s="453" t="n"/>
      <c r="AW176" s="453" t="n"/>
      <c r="AX176" s="453" t="n"/>
      <c r="AY176" s="453" t="n"/>
      <c r="AZ176" s="454" t="n"/>
      <c r="BE176" s="66" t="n">
        <v>44</v>
      </c>
      <c r="BF176" s="558">
        <f>AE176</f>
        <v/>
      </c>
      <c r="BG176" s="453" t="n"/>
      <c r="BH176" s="453" t="n"/>
      <c r="BI176" s="453" t="n"/>
      <c r="BJ176" s="453" t="n"/>
      <c r="BK176" s="453" t="n"/>
      <c r="BL176" s="453" t="n"/>
      <c r="BM176" s="453" t="n"/>
      <c r="BN176" s="453" t="n"/>
      <c r="BO176" s="454" t="n"/>
      <c r="BP176" s="407" t="n"/>
      <c r="BQ176" s="453" t="n"/>
      <c r="BR176" s="453" t="n"/>
      <c r="BS176" s="453" t="n"/>
      <c r="BT176" s="453" t="n"/>
      <c r="BU176" s="453" t="n"/>
      <c r="BV176" s="453" t="n"/>
      <c r="BW176" s="453" t="n"/>
      <c r="BX176" s="453" t="n"/>
      <c r="BY176" s="453" t="n"/>
      <c r="BZ176" s="453" t="n"/>
      <c r="CA176" s="453" t="n"/>
      <c r="CB176" s="453" t="n"/>
      <c r="CC176" s="454" t="n"/>
    </row>
    <row r="177">
      <c r="C177" s="66" t="n">
        <v>45</v>
      </c>
      <c r="D177" s="558">
        <f>IF(C177&lt;=$I$16, EDATE($D$6, C177-1), "")</f>
        <v/>
      </c>
      <c r="E177" s="453" t="n"/>
      <c r="F177" s="453" t="n"/>
      <c r="G177" s="453" t="n"/>
      <c r="H177" s="453" t="n"/>
      <c r="I177" s="453" t="n"/>
      <c r="J177" s="453" t="n"/>
      <c r="K177" s="453" t="n"/>
      <c r="L177" s="453" t="n"/>
      <c r="M177" s="454" t="n"/>
      <c r="N177" s="559">
        <f>IF(C177&lt;=$I$16, $I$17, "")</f>
        <v/>
      </c>
      <c r="O177" s="453" t="n"/>
      <c r="P177" s="453" t="n"/>
      <c r="Q177" s="453" t="n"/>
      <c r="R177" s="453" t="n"/>
      <c r="S177" s="453" t="n"/>
      <c r="T177" s="453" t="n"/>
      <c r="U177" s="453" t="n"/>
      <c r="V177" s="453" t="n"/>
      <c r="W177" s="453" t="n"/>
      <c r="X177" s="453" t="n"/>
      <c r="Y177" s="454" t="n"/>
      <c r="AD177" s="66" t="n">
        <v>45</v>
      </c>
      <c r="AE177" s="558">
        <f>D177</f>
        <v/>
      </c>
      <c r="AF177" s="453" t="n"/>
      <c r="AG177" s="453" t="n"/>
      <c r="AH177" s="453" t="n"/>
      <c r="AI177" s="453" t="n"/>
      <c r="AJ177" s="453" t="n"/>
      <c r="AK177" s="453" t="n"/>
      <c r="AL177" s="453" t="n"/>
      <c r="AM177" s="453" t="n"/>
      <c r="AN177" s="454" t="n"/>
      <c r="AO177" s="559">
        <f>AO176</f>
        <v/>
      </c>
      <c r="AP177" s="453" t="n"/>
      <c r="AQ177" s="453" t="n"/>
      <c r="AR177" s="453" t="n"/>
      <c r="AS177" s="453" t="n"/>
      <c r="AT177" s="453" t="n"/>
      <c r="AU177" s="453" t="n"/>
      <c r="AV177" s="453" t="n"/>
      <c r="AW177" s="453" t="n"/>
      <c r="AX177" s="453" t="n"/>
      <c r="AY177" s="453" t="n"/>
      <c r="AZ177" s="454" t="n"/>
      <c r="BE177" s="66" t="n">
        <v>45</v>
      </c>
      <c r="BF177" s="558">
        <f>AE177</f>
        <v/>
      </c>
      <c r="BG177" s="453" t="n"/>
      <c r="BH177" s="453" t="n"/>
      <c r="BI177" s="453" t="n"/>
      <c r="BJ177" s="453" t="n"/>
      <c r="BK177" s="453" t="n"/>
      <c r="BL177" s="453" t="n"/>
      <c r="BM177" s="453" t="n"/>
      <c r="BN177" s="453" t="n"/>
      <c r="BO177" s="454" t="n"/>
      <c r="BP177" s="407" t="n"/>
      <c r="BQ177" s="453" t="n"/>
      <c r="BR177" s="453" t="n"/>
      <c r="BS177" s="453" t="n"/>
      <c r="BT177" s="453" t="n"/>
      <c r="BU177" s="453" t="n"/>
      <c r="BV177" s="453" t="n"/>
      <c r="BW177" s="453" t="n"/>
      <c r="BX177" s="453" t="n"/>
      <c r="BY177" s="453" t="n"/>
      <c r="BZ177" s="453" t="n"/>
      <c r="CA177" s="453" t="n"/>
      <c r="CB177" s="453" t="n"/>
      <c r="CC177" s="454" t="n"/>
    </row>
    <row r="178">
      <c r="C178" s="66" t="n">
        <v>46</v>
      </c>
      <c r="D178" s="556">
        <f>IF(C178&lt;=$I$16, EDATE($D$6, C178-1), "")</f>
        <v/>
      </c>
      <c r="E178" s="448" t="n"/>
      <c r="F178" s="448" t="n"/>
      <c r="G178" s="448" t="n"/>
      <c r="H178" s="448" t="n"/>
      <c r="I178" s="448" t="n"/>
      <c r="J178" s="448" t="n"/>
      <c r="K178" s="448" t="n"/>
      <c r="L178" s="448" t="n"/>
      <c r="M178" s="449" t="n"/>
      <c r="N178" s="559">
        <f>IF(C178&lt;=$I$16, $I$17, "")</f>
        <v/>
      </c>
      <c r="O178" s="453" t="n"/>
      <c r="P178" s="453" t="n"/>
      <c r="Q178" s="453" t="n"/>
      <c r="R178" s="453" t="n"/>
      <c r="S178" s="453" t="n"/>
      <c r="T178" s="453" t="n"/>
      <c r="U178" s="453" t="n"/>
      <c r="V178" s="453" t="n"/>
      <c r="W178" s="453" t="n"/>
      <c r="X178" s="453" t="n"/>
      <c r="Y178" s="454" t="n"/>
      <c r="AD178" s="66" t="n">
        <v>46</v>
      </c>
      <c r="AE178" s="558">
        <f>D178</f>
        <v/>
      </c>
      <c r="AF178" s="453" t="n"/>
      <c r="AG178" s="453" t="n"/>
      <c r="AH178" s="453" t="n"/>
      <c r="AI178" s="453" t="n"/>
      <c r="AJ178" s="453" t="n"/>
      <c r="AK178" s="453" t="n"/>
      <c r="AL178" s="453" t="n"/>
      <c r="AM178" s="453" t="n"/>
      <c r="AN178" s="454" t="n"/>
      <c r="AO178" s="559">
        <f>AO177</f>
        <v/>
      </c>
      <c r="AP178" s="453" t="n"/>
      <c r="AQ178" s="453" t="n"/>
      <c r="AR178" s="453" t="n"/>
      <c r="AS178" s="453" t="n"/>
      <c r="AT178" s="453" t="n"/>
      <c r="AU178" s="453" t="n"/>
      <c r="AV178" s="453" t="n"/>
      <c r="AW178" s="453" t="n"/>
      <c r="AX178" s="453" t="n"/>
      <c r="AY178" s="453" t="n"/>
      <c r="AZ178" s="454" t="n"/>
      <c r="BE178" s="66" t="n">
        <v>46</v>
      </c>
      <c r="BF178" s="558">
        <f>AE178</f>
        <v/>
      </c>
      <c r="BG178" s="453" t="n"/>
      <c r="BH178" s="453" t="n"/>
      <c r="BI178" s="453" t="n"/>
      <c r="BJ178" s="453" t="n"/>
      <c r="BK178" s="453" t="n"/>
      <c r="BL178" s="453" t="n"/>
      <c r="BM178" s="453" t="n"/>
      <c r="BN178" s="453" t="n"/>
      <c r="BO178" s="454" t="n"/>
      <c r="BP178" s="407" t="n"/>
      <c r="BQ178" s="453" t="n"/>
      <c r="BR178" s="453" t="n"/>
      <c r="BS178" s="453" t="n"/>
      <c r="BT178" s="453" t="n"/>
      <c r="BU178" s="453" t="n"/>
      <c r="BV178" s="453" t="n"/>
      <c r="BW178" s="453" t="n"/>
      <c r="BX178" s="453" t="n"/>
      <c r="BY178" s="453" t="n"/>
      <c r="BZ178" s="453" t="n"/>
      <c r="CA178" s="453" t="n"/>
      <c r="CB178" s="453" t="n"/>
      <c r="CC178" s="454" t="n"/>
    </row>
    <row r="179">
      <c r="C179" s="66" t="n">
        <v>47</v>
      </c>
      <c r="D179" s="558">
        <f>IF(C179&lt;=$I$16, EDATE($D$6, C179-1), "")</f>
        <v/>
      </c>
      <c r="E179" s="453" t="n"/>
      <c r="F179" s="453" t="n"/>
      <c r="G179" s="453" t="n"/>
      <c r="H179" s="453" t="n"/>
      <c r="I179" s="453" t="n"/>
      <c r="J179" s="453" t="n"/>
      <c r="K179" s="453" t="n"/>
      <c r="L179" s="453" t="n"/>
      <c r="M179" s="454" t="n"/>
      <c r="N179" s="559">
        <f>IF(C179&lt;=$I$16, $I$17, "")</f>
        <v/>
      </c>
      <c r="O179" s="453" t="n"/>
      <c r="P179" s="453" t="n"/>
      <c r="Q179" s="453" t="n"/>
      <c r="R179" s="453" t="n"/>
      <c r="S179" s="453" t="n"/>
      <c r="T179" s="453" t="n"/>
      <c r="U179" s="453" t="n"/>
      <c r="V179" s="453" t="n"/>
      <c r="W179" s="453" t="n"/>
      <c r="X179" s="453" t="n"/>
      <c r="Y179" s="454" t="n"/>
      <c r="AD179" s="66" t="n">
        <v>47</v>
      </c>
      <c r="AE179" s="558">
        <f>D179</f>
        <v/>
      </c>
      <c r="AF179" s="453" t="n"/>
      <c r="AG179" s="453" t="n"/>
      <c r="AH179" s="453" t="n"/>
      <c r="AI179" s="453" t="n"/>
      <c r="AJ179" s="453" t="n"/>
      <c r="AK179" s="453" t="n"/>
      <c r="AL179" s="453" t="n"/>
      <c r="AM179" s="453" t="n"/>
      <c r="AN179" s="454" t="n"/>
      <c r="AO179" s="559">
        <f>AO178</f>
        <v/>
      </c>
      <c r="AP179" s="453" t="n"/>
      <c r="AQ179" s="453" t="n"/>
      <c r="AR179" s="453" t="n"/>
      <c r="AS179" s="453" t="n"/>
      <c r="AT179" s="453" t="n"/>
      <c r="AU179" s="453" t="n"/>
      <c r="AV179" s="453" t="n"/>
      <c r="AW179" s="453" t="n"/>
      <c r="AX179" s="453" t="n"/>
      <c r="AY179" s="453" t="n"/>
      <c r="AZ179" s="454" t="n"/>
      <c r="BE179" s="66" t="n">
        <v>47</v>
      </c>
      <c r="BF179" s="558">
        <f>AE179</f>
        <v/>
      </c>
      <c r="BG179" s="453" t="n"/>
      <c r="BH179" s="453" t="n"/>
      <c r="BI179" s="453" t="n"/>
      <c r="BJ179" s="453" t="n"/>
      <c r="BK179" s="453" t="n"/>
      <c r="BL179" s="453" t="n"/>
      <c r="BM179" s="453" t="n"/>
      <c r="BN179" s="453" t="n"/>
      <c r="BO179" s="454" t="n"/>
      <c r="BP179" s="407" t="n"/>
      <c r="BQ179" s="453" t="n"/>
      <c r="BR179" s="453" t="n"/>
      <c r="BS179" s="453" t="n"/>
      <c r="BT179" s="453" t="n"/>
      <c r="BU179" s="453" t="n"/>
      <c r="BV179" s="453" t="n"/>
      <c r="BW179" s="453" t="n"/>
      <c r="BX179" s="453" t="n"/>
      <c r="BY179" s="453" t="n"/>
      <c r="BZ179" s="453" t="n"/>
      <c r="CA179" s="453" t="n"/>
      <c r="CB179" s="453" t="n"/>
      <c r="CC179" s="454" t="n"/>
    </row>
    <row r="180">
      <c r="C180" s="66" t="n">
        <v>48</v>
      </c>
      <c r="D180" s="558">
        <f>IF(C180&lt;=$I$16, EDATE($D$6, C180-1), "")</f>
        <v/>
      </c>
      <c r="E180" s="453" t="n"/>
      <c r="F180" s="453" t="n"/>
      <c r="G180" s="453" t="n"/>
      <c r="H180" s="453" t="n"/>
      <c r="I180" s="453" t="n"/>
      <c r="J180" s="453" t="n"/>
      <c r="K180" s="453" t="n"/>
      <c r="L180" s="453" t="n"/>
      <c r="M180" s="454" t="n"/>
      <c r="N180" s="559">
        <f>IF(C180&lt;=$I$16, $I$17, "")</f>
        <v/>
      </c>
      <c r="O180" s="453" t="n"/>
      <c r="P180" s="453" t="n"/>
      <c r="Q180" s="453" t="n"/>
      <c r="R180" s="453" t="n"/>
      <c r="S180" s="453" t="n"/>
      <c r="T180" s="453" t="n"/>
      <c r="U180" s="453" t="n"/>
      <c r="V180" s="453" t="n"/>
      <c r="W180" s="453" t="n"/>
      <c r="X180" s="453" t="n"/>
      <c r="Y180" s="454" t="n"/>
      <c r="AD180" s="66" t="n">
        <v>48</v>
      </c>
      <c r="AE180" s="558">
        <f>D180</f>
        <v/>
      </c>
      <c r="AF180" s="453" t="n"/>
      <c r="AG180" s="453" t="n"/>
      <c r="AH180" s="453" t="n"/>
      <c r="AI180" s="453" t="n"/>
      <c r="AJ180" s="453" t="n"/>
      <c r="AK180" s="453" t="n"/>
      <c r="AL180" s="453" t="n"/>
      <c r="AM180" s="453" t="n"/>
      <c r="AN180" s="454" t="n"/>
      <c r="AO180" s="559">
        <f>AO179</f>
        <v/>
      </c>
      <c r="AP180" s="453" t="n"/>
      <c r="AQ180" s="453" t="n"/>
      <c r="AR180" s="453" t="n"/>
      <c r="AS180" s="453" t="n"/>
      <c r="AT180" s="453" t="n"/>
      <c r="AU180" s="453" t="n"/>
      <c r="AV180" s="453" t="n"/>
      <c r="AW180" s="453" t="n"/>
      <c r="AX180" s="453" t="n"/>
      <c r="AY180" s="453" t="n"/>
      <c r="AZ180" s="454" t="n"/>
      <c r="BE180" s="66" t="n">
        <v>48</v>
      </c>
      <c r="BF180" s="558">
        <f>AE180</f>
        <v/>
      </c>
      <c r="BG180" s="453" t="n"/>
      <c r="BH180" s="453" t="n"/>
      <c r="BI180" s="453" t="n"/>
      <c r="BJ180" s="453" t="n"/>
      <c r="BK180" s="453" t="n"/>
      <c r="BL180" s="453" t="n"/>
      <c r="BM180" s="453" t="n"/>
      <c r="BN180" s="453" t="n"/>
      <c r="BO180" s="454" t="n"/>
      <c r="BP180" s="407" t="n"/>
      <c r="BQ180" s="453" t="n"/>
      <c r="BR180" s="453" t="n"/>
      <c r="BS180" s="453" t="n"/>
      <c r="BT180" s="453" t="n"/>
      <c r="BU180" s="453" t="n"/>
      <c r="BV180" s="453" t="n"/>
      <c r="BW180" s="453" t="n"/>
      <c r="BX180" s="453" t="n"/>
      <c r="BY180" s="453" t="n"/>
      <c r="BZ180" s="453" t="n"/>
      <c r="CA180" s="453" t="n"/>
      <c r="CB180" s="453" t="n"/>
      <c r="CC180" s="454" t="n"/>
    </row>
  </sheetData>
  <mergeCells count="526">
    <mergeCell ref="O90:U95"/>
    <mergeCell ref="C98:C112"/>
    <mergeCell ref="AE175:AN175"/>
    <mergeCell ref="I9:Y9"/>
    <mergeCell ref="Y42:Y47"/>
    <mergeCell ref="AF114:AF120"/>
    <mergeCell ref="BE17:BK17"/>
    <mergeCell ref="AR58:AR63"/>
    <mergeCell ref="N148:Y148"/>
    <mergeCell ref="AE148:AN148"/>
    <mergeCell ref="I11:Y11"/>
    <mergeCell ref="D133:M133"/>
    <mergeCell ref="N179:Y179"/>
    <mergeCell ref="AJ32:AP32"/>
    <mergeCell ref="BE19:BK19"/>
    <mergeCell ref="BF142:BO142"/>
    <mergeCell ref="AJ66:AJ80"/>
    <mergeCell ref="E122:E129"/>
    <mergeCell ref="G122:G129"/>
    <mergeCell ref="BP171:CC171"/>
    <mergeCell ref="BF144:BO144"/>
    <mergeCell ref="C13:H13"/>
    <mergeCell ref="AZ50:AZ55"/>
    <mergeCell ref="AT50:AT55"/>
    <mergeCell ref="C15:H15"/>
    <mergeCell ref="AE160:AN160"/>
    <mergeCell ref="AE141:AN141"/>
    <mergeCell ref="AE132:AN132"/>
    <mergeCell ref="AO174:AZ174"/>
    <mergeCell ref="N159:Y159"/>
    <mergeCell ref="N134:Y134"/>
    <mergeCell ref="BL18:CB18"/>
    <mergeCell ref="Y66:Y71"/>
    <mergeCell ref="C10:H10"/>
    <mergeCell ref="N161:Y161"/>
    <mergeCell ref="AE161:AN161"/>
    <mergeCell ref="D146:M146"/>
    <mergeCell ref="BP174:CC174"/>
    <mergeCell ref="AE136:AN136"/>
    <mergeCell ref="AD82:AD96"/>
    <mergeCell ref="AF82:AF96"/>
    <mergeCell ref="BF163:BO163"/>
    <mergeCell ref="BP134:CC134"/>
    <mergeCell ref="AH114:AH120"/>
    <mergeCell ref="O98:U103"/>
    <mergeCell ref="BK31:CB32"/>
    <mergeCell ref="BF138:BO138"/>
    <mergeCell ref="BF132:BO132"/>
    <mergeCell ref="BE30:BH30"/>
    <mergeCell ref="D174:M174"/>
    <mergeCell ref="AH34:AH48"/>
    <mergeCell ref="AJ34:AJ48"/>
    <mergeCell ref="AH122:AH129"/>
    <mergeCell ref="BE20:BK20"/>
    <mergeCell ref="O66:S71"/>
    <mergeCell ref="E50:E64"/>
    <mergeCell ref="D136:M136"/>
    <mergeCell ref="G50:G64"/>
    <mergeCell ref="AE156:AN156"/>
    <mergeCell ref="I50:I64"/>
    <mergeCell ref="C82:C96"/>
    <mergeCell ref="O82:U87"/>
    <mergeCell ref="AX58:AX63"/>
    <mergeCell ref="AZ58:AZ63"/>
    <mergeCell ref="BF160:BO160"/>
    <mergeCell ref="BF147:BO147"/>
    <mergeCell ref="AP13:AZ13"/>
    <mergeCell ref="AE151:AN151"/>
    <mergeCell ref="AI31:AR31"/>
    <mergeCell ref="BL17:CB17"/>
    <mergeCell ref="N167:Y167"/>
    <mergeCell ref="AE167:AN167"/>
    <mergeCell ref="W34:W39"/>
    <mergeCell ref="AE133:AN133"/>
    <mergeCell ref="AP74:AT79"/>
    <mergeCell ref="BL19:CB19"/>
    <mergeCell ref="AP8:AZ8"/>
    <mergeCell ref="N162:Y162"/>
    <mergeCell ref="AP10:AZ10"/>
    <mergeCell ref="AP90:AV95"/>
    <mergeCell ref="AE177:AN177"/>
    <mergeCell ref="N177:Y177"/>
    <mergeCell ref="D155:M155"/>
    <mergeCell ref="D149:M149"/>
    <mergeCell ref="BF140:BO140"/>
    <mergeCell ref="AO142:AZ142"/>
    <mergeCell ref="I98:I112"/>
    <mergeCell ref="D151:M151"/>
    <mergeCell ref="BF179:BO179"/>
    <mergeCell ref="AO144:AZ144"/>
    <mergeCell ref="BP162:CC162"/>
    <mergeCell ref="BP137:CC137"/>
    <mergeCell ref="D150:M150"/>
    <mergeCell ref="BF141:BO141"/>
    <mergeCell ref="BP177:CC177"/>
    <mergeCell ref="BP139:CC139"/>
    <mergeCell ref="BF143:BO143"/>
    <mergeCell ref="AE155:AN155"/>
    <mergeCell ref="AE146:AN146"/>
    <mergeCell ref="C114:C120"/>
    <mergeCell ref="U58:U60"/>
    <mergeCell ref="AE157:AN157"/>
    <mergeCell ref="BF168:BO168"/>
    <mergeCell ref="G66:G80"/>
    <mergeCell ref="AE172:AN172"/>
    <mergeCell ref="I66:I80"/>
    <mergeCell ref="AP98:AV103"/>
    <mergeCell ref="AP42:AP47"/>
    <mergeCell ref="Y82:Y87"/>
    <mergeCell ref="BF159:BO159"/>
    <mergeCell ref="AO172:AZ172"/>
    <mergeCell ref="BF153:BO153"/>
    <mergeCell ref="BP132:CC132"/>
    <mergeCell ref="D139:M139"/>
    <mergeCell ref="W50:W55"/>
    <mergeCell ref="BF154:BO154"/>
    <mergeCell ref="BL20:CB20"/>
    <mergeCell ref="N145:Y145"/>
    <mergeCell ref="N139:Y139"/>
    <mergeCell ref="W42:W47"/>
    <mergeCell ref="O42:O47"/>
    <mergeCell ref="I8:Y8"/>
    <mergeCell ref="AD8:AO8"/>
    <mergeCell ref="I10:Y10"/>
    <mergeCell ref="AE170:AN170"/>
    <mergeCell ref="AP106:AV111"/>
    <mergeCell ref="D165:M165"/>
    <mergeCell ref="BP145:CC145"/>
    <mergeCell ref="D152:M152"/>
    <mergeCell ref="AO145:AZ145"/>
    <mergeCell ref="BP160:CC160"/>
    <mergeCell ref="BP147:CC147"/>
    <mergeCell ref="BL13:CB13"/>
    <mergeCell ref="AZ74:AZ79"/>
    <mergeCell ref="AO147:AZ147"/>
    <mergeCell ref="N132:Y132"/>
    <mergeCell ref="AE154:AN154"/>
    <mergeCell ref="D4:L4"/>
    <mergeCell ref="U74:U76"/>
    <mergeCell ref="N133:Y133"/>
    <mergeCell ref="W90:W95"/>
    <mergeCell ref="AT34:AT39"/>
    <mergeCell ref="Y90:Y95"/>
    <mergeCell ref="D170:M170"/>
    <mergeCell ref="AE173:AN173"/>
    <mergeCell ref="AO163:AZ163"/>
    <mergeCell ref="N135:Y135"/>
    <mergeCell ref="D163:M163"/>
    <mergeCell ref="C34:C48"/>
    <mergeCell ref="BF175:BO175"/>
    <mergeCell ref="BP158:CC158"/>
    <mergeCell ref="N164:Y164"/>
    <mergeCell ref="AX42:AX47"/>
    <mergeCell ref="D171:M171"/>
    <mergeCell ref="AZ42:AZ47"/>
    <mergeCell ref="BF162:BO162"/>
    <mergeCell ref="AR42:AR47"/>
    <mergeCell ref="BF156:BO156"/>
    <mergeCell ref="BP133:CC133"/>
    <mergeCell ref="AO158:AZ158"/>
    <mergeCell ref="BE46:CB49"/>
    <mergeCell ref="AD10:AO10"/>
    <mergeCell ref="BF164:BO164"/>
    <mergeCell ref="AE176:AN176"/>
    <mergeCell ref="BP135:CC135"/>
    <mergeCell ref="AO160:AZ160"/>
    <mergeCell ref="AE142:AN142"/>
    <mergeCell ref="AE178:AN178"/>
    <mergeCell ref="O74:S79"/>
    <mergeCell ref="AE144:AN144"/>
    <mergeCell ref="AE171:AN171"/>
    <mergeCell ref="N146:Y146"/>
    <mergeCell ref="AV50:AV52"/>
    <mergeCell ref="AP50:AP55"/>
    <mergeCell ref="D158:M158"/>
    <mergeCell ref="BP161:CC161"/>
    <mergeCell ref="BP148:CC148"/>
    <mergeCell ref="BP153:CC153"/>
    <mergeCell ref="I82:I96"/>
    <mergeCell ref="D160:M160"/>
    <mergeCell ref="AO148:AZ148"/>
    <mergeCell ref="BP146:CC146"/>
    <mergeCell ref="W58:W63"/>
    <mergeCell ref="N160:Y160"/>
    <mergeCell ref="AZ90:AZ95"/>
    <mergeCell ref="BK30:CB30"/>
    <mergeCell ref="N141:Y141"/>
    <mergeCell ref="AE135:AN135"/>
    <mergeCell ref="C7:Y7"/>
    <mergeCell ref="BE12:BK12"/>
    <mergeCell ref="N143:Y143"/>
    <mergeCell ref="BF137:BO137"/>
    <mergeCell ref="BP179:CC179"/>
    <mergeCell ref="N136:Y136"/>
    <mergeCell ref="AX50:AX55"/>
    <mergeCell ref="BE13:BK13"/>
    <mergeCell ref="BF177:BO177"/>
    <mergeCell ref="BE14:BK15"/>
    <mergeCell ref="AO179:AZ179"/>
    <mergeCell ref="D173:M173"/>
    <mergeCell ref="BP141:CC141"/>
    <mergeCell ref="AO166:AZ166"/>
    <mergeCell ref="D148:M148"/>
    <mergeCell ref="BF176:BO176"/>
    <mergeCell ref="BP159:CC159"/>
    <mergeCell ref="BL9:CB9"/>
    <mergeCell ref="C8:H8"/>
    <mergeCell ref="BP143:CC143"/>
    <mergeCell ref="AO168:AZ168"/>
    <mergeCell ref="BF178:BO178"/>
    <mergeCell ref="AO180:AZ180"/>
    <mergeCell ref="AO167:AZ167"/>
    <mergeCell ref="BP136:CC136"/>
    <mergeCell ref="BL11:CB11"/>
    <mergeCell ref="BP151:CC151"/>
    <mergeCell ref="N154:Y154"/>
    <mergeCell ref="AV58:AV60"/>
    <mergeCell ref="AD114:AD120"/>
    <mergeCell ref="AD17:AO17"/>
    <mergeCell ref="N156:Y156"/>
    <mergeCell ref="D134:M134"/>
    <mergeCell ref="AD122:AD129"/>
    <mergeCell ref="D180:M180"/>
    <mergeCell ref="BP154:CC154"/>
    <mergeCell ref="D167:M167"/>
    <mergeCell ref="D161:M161"/>
    <mergeCell ref="N151:Y151"/>
    <mergeCell ref="K114:S120"/>
    <mergeCell ref="N180:Y180"/>
    <mergeCell ref="BP164:CC164"/>
    <mergeCell ref="U42:U44"/>
    <mergeCell ref="BP156:CC156"/>
    <mergeCell ref="D169:M169"/>
    <mergeCell ref="C50:C64"/>
    <mergeCell ref="AO162:AZ162"/>
    <mergeCell ref="AO156:AZ156"/>
    <mergeCell ref="W74:W79"/>
    <mergeCell ref="AE163:AN163"/>
    <mergeCell ref="Y74:Y79"/>
    <mergeCell ref="BE31:BH32"/>
    <mergeCell ref="AP82:AV87"/>
    <mergeCell ref="AH98:AH112"/>
    <mergeCell ref="BP180:CC180"/>
    <mergeCell ref="BP167:CC167"/>
    <mergeCell ref="BE7:CB7"/>
    <mergeCell ref="Q34:Q39"/>
    <mergeCell ref="S34:S39"/>
    <mergeCell ref="C18:H18"/>
    <mergeCell ref="AD50:AD64"/>
    <mergeCell ref="BP169:CC169"/>
    <mergeCell ref="AF50:AF64"/>
    <mergeCell ref="AO169:AZ169"/>
    <mergeCell ref="AF122:AF129"/>
    <mergeCell ref="O106:U111"/>
    <mergeCell ref="BL12:CB12"/>
    <mergeCell ref="AD19:AO19"/>
    <mergeCell ref="N155:Y155"/>
    <mergeCell ref="AF34:AF48"/>
    <mergeCell ref="C9:H9"/>
    <mergeCell ref="AV34:AV36"/>
    <mergeCell ref="E98:E112"/>
    <mergeCell ref="N170:Y170"/>
    <mergeCell ref="G98:G112"/>
    <mergeCell ref="N157:Y157"/>
    <mergeCell ref="D142:M142"/>
    <mergeCell ref="C11:H11"/>
    <mergeCell ref="BF133:BO133"/>
    <mergeCell ref="AV74:AV76"/>
    <mergeCell ref="N172:Y172"/>
    <mergeCell ref="D144:M144"/>
    <mergeCell ref="BF135:BO135"/>
    <mergeCell ref="AO137:AZ137"/>
    <mergeCell ref="BP155:CC155"/>
    <mergeCell ref="U50:U52"/>
    <mergeCell ref="AD30:AH30"/>
    <mergeCell ref="AX66:AX71"/>
    <mergeCell ref="BP170:CC170"/>
    <mergeCell ref="AZ66:AZ71"/>
    <mergeCell ref="AO139:AZ139"/>
    <mergeCell ref="BP157:CC157"/>
    <mergeCell ref="AO176:AZ176"/>
    <mergeCell ref="BF136:BO136"/>
    <mergeCell ref="AJ98:AJ112"/>
    <mergeCell ref="I32:O32"/>
    <mergeCell ref="AD9:AO9"/>
    <mergeCell ref="AO132:AZ132"/>
    <mergeCell ref="BP172:CC172"/>
    <mergeCell ref="C66:C80"/>
    <mergeCell ref="N175:Y175"/>
    <mergeCell ref="E66:E80"/>
    <mergeCell ref="AO178:AZ178"/>
    <mergeCell ref="AE179:AN179"/>
    <mergeCell ref="AE150:AN150"/>
    <mergeCell ref="W82:W87"/>
    <mergeCell ref="AP16:AZ16"/>
    <mergeCell ref="AE152:AN152"/>
    <mergeCell ref="D137:M137"/>
    <mergeCell ref="AI30:AT30"/>
    <mergeCell ref="BF146:BO146"/>
    <mergeCell ref="AP18:AZ18"/>
    <mergeCell ref="S50:S55"/>
    <mergeCell ref="AF66:AF80"/>
    <mergeCell ref="BE131:CC131"/>
    <mergeCell ref="N147:Y147"/>
    <mergeCell ref="AE147:AN147"/>
    <mergeCell ref="D132:M132"/>
    <mergeCell ref="AH82:AH96"/>
    <mergeCell ref="AJ82:AJ96"/>
    <mergeCell ref="BE18:BK18"/>
    <mergeCell ref="N178:Y178"/>
    <mergeCell ref="AE134:AN134"/>
    <mergeCell ref="C19:H19"/>
    <mergeCell ref="BL14:CB15"/>
    <mergeCell ref="AP11:AZ11"/>
    <mergeCell ref="H30:S30"/>
    <mergeCell ref="AV42:AV44"/>
    <mergeCell ref="N173:Y173"/>
    <mergeCell ref="BP138:CC138"/>
    <mergeCell ref="AT58:AT63"/>
    <mergeCell ref="D145:M145"/>
    <mergeCell ref="C14:H14"/>
    <mergeCell ref="AE165:AN165"/>
    <mergeCell ref="AO138:AZ138"/>
    <mergeCell ref="AX74:AX79"/>
    <mergeCell ref="BP178:CC178"/>
    <mergeCell ref="I34:I48"/>
    <mergeCell ref="D147:M147"/>
    <mergeCell ref="U66:U68"/>
    <mergeCell ref="AO140:AZ140"/>
    <mergeCell ref="C131:Y131"/>
    <mergeCell ref="BL8:CB8"/>
    <mergeCell ref="BP173:CC173"/>
    <mergeCell ref="N176:Y176"/>
    <mergeCell ref="BL10:CB10"/>
    <mergeCell ref="C26:Y26"/>
    <mergeCell ref="D138:M138"/>
    <mergeCell ref="Q58:Q63"/>
    <mergeCell ref="AT42:AT47"/>
    <mergeCell ref="AD34:AD48"/>
    <mergeCell ref="I16:Y16"/>
    <mergeCell ref="AH50:AH64"/>
    <mergeCell ref="AP19:AZ19"/>
    <mergeCell ref="D140:M140"/>
    <mergeCell ref="D5:L5"/>
    <mergeCell ref="I18:Y18"/>
    <mergeCell ref="BF155:BO155"/>
    <mergeCell ref="AJ114:AJ120"/>
    <mergeCell ref="BF149:BO149"/>
    <mergeCell ref="C2:CB2"/>
    <mergeCell ref="BF157:BO157"/>
    <mergeCell ref="BF151:BO151"/>
    <mergeCell ref="AO153:AZ153"/>
    <mergeCell ref="D141:M141"/>
    <mergeCell ref="D135:M135"/>
    <mergeCell ref="C122:C129"/>
    <mergeCell ref="BF150:BO150"/>
    <mergeCell ref="AX82:AX87"/>
    <mergeCell ref="AZ82:AZ87"/>
    <mergeCell ref="BF165:BO165"/>
    <mergeCell ref="BF152:BO152"/>
    <mergeCell ref="AE137:AN137"/>
    <mergeCell ref="AP12:AZ12"/>
    <mergeCell ref="E82:E96"/>
    <mergeCell ref="G82:G96"/>
    <mergeCell ref="AE139:AN139"/>
    <mergeCell ref="N166:Y166"/>
    <mergeCell ref="AE166:AN166"/>
    <mergeCell ref="AP14:AZ14"/>
    <mergeCell ref="G114:G120"/>
    <mergeCell ref="I114:I120"/>
    <mergeCell ref="S58:S63"/>
    <mergeCell ref="AE168:AN168"/>
    <mergeCell ref="D153:M153"/>
    <mergeCell ref="AO141:AZ141"/>
    <mergeCell ref="AO146:AZ146"/>
    <mergeCell ref="AE143:AN143"/>
    <mergeCell ref="AO143:AZ143"/>
    <mergeCell ref="AD16:AO16"/>
    <mergeCell ref="W66:W71"/>
    <mergeCell ref="BF145:BO145"/>
    <mergeCell ref="BF139:BO139"/>
    <mergeCell ref="AD18:AO18"/>
    <mergeCell ref="I17:Y17"/>
    <mergeCell ref="D179:M179"/>
    <mergeCell ref="BF170:BO170"/>
    <mergeCell ref="D166:M166"/>
    <mergeCell ref="AD7:AZ7"/>
    <mergeCell ref="AO159:AZ159"/>
    <mergeCell ref="I19:Y19"/>
    <mergeCell ref="AH66:AH80"/>
    <mergeCell ref="BF172:BO172"/>
    <mergeCell ref="D168:M168"/>
    <mergeCell ref="AD131:AZ131"/>
    <mergeCell ref="AO161:AZ161"/>
    <mergeCell ref="D143:M143"/>
    <mergeCell ref="AO136:AZ136"/>
    <mergeCell ref="AO154:AZ154"/>
    <mergeCell ref="AX90:AX95"/>
    <mergeCell ref="AP9:AZ9"/>
    <mergeCell ref="BF173:BO173"/>
    <mergeCell ref="AD11:AO11"/>
    <mergeCell ref="AP20:AZ20"/>
    <mergeCell ref="AE138:AN138"/>
    <mergeCell ref="AP34:AP39"/>
    <mergeCell ref="BF158:BO158"/>
    <mergeCell ref="AR34:AR39"/>
    <mergeCell ref="AE174:AN174"/>
    <mergeCell ref="D159:M159"/>
    <mergeCell ref="N149:Y149"/>
    <mergeCell ref="AV66:AV68"/>
    <mergeCell ref="AE153:AN153"/>
    <mergeCell ref="I12:Y12"/>
    <mergeCell ref="H31:Q31"/>
    <mergeCell ref="N142:Y142"/>
    <mergeCell ref="Y34:Y39"/>
    <mergeCell ref="AP15:AZ15"/>
    <mergeCell ref="I14:Y14"/>
    <mergeCell ref="AP66:AT71"/>
    <mergeCell ref="AE169:AN169"/>
    <mergeCell ref="D154:M154"/>
    <mergeCell ref="N144:Y144"/>
    <mergeCell ref="BP149:CC149"/>
    <mergeCell ref="D162:M162"/>
    <mergeCell ref="D156:M156"/>
    <mergeCell ref="AO155:AZ155"/>
    <mergeCell ref="AO149:AZ149"/>
    <mergeCell ref="BF171:BO171"/>
    <mergeCell ref="BP142:CC142"/>
    <mergeCell ref="AD98:AD112"/>
    <mergeCell ref="C16:H16"/>
    <mergeCell ref="AO151:AZ151"/>
    <mergeCell ref="O34:O39"/>
    <mergeCell ref="AE158:AN158"/>
    <mergeCell ref="BE8:BK8"/>
    <mergeCell ref="BF161:BO161"/>
    <mergeCell ref="BP144:CC144"/>
    <mergeCell ref="D157:M157"/>
    <mergeCell ref="BF148:BO148"/>
    <mergeCell ref="AO150:AZ150"/>
    <mergeCell ref="BE10:BK10"/>
    <mergeCell ref="BP175:CC175"/>
    <mergeCell ref="AE162:AN162"/>
    <mergeCell ref="N137:Y137"/>
    <mergeCell ref="Q42:Q47"/>
    <mergeCell ref="AO175:AZ175"/>
    <mergeCell ref="AE164:AN164"/>
    <mergeCell ref="AO177:AZ177"/>
    <mergeCell ref="AO164:AZ164"/>
    <mergeCell ref="BF174:BO174"/>
    <mergeCell ref="AD12:AO12"/>
    <mergeCell ref="BF166:BO166"/>
    <mergeCell ref="AD20:AO20"/>
    <mergeCell ref="AD14:AO14"/>
    <mergeCell ref="N150:Y150"/>
    <mergeCell ref="I13:Y13"/>
    <mergeCell ref="AD13:AO13"/>
    <mergeCell ref="AR50:AR55"/>
    <mergeCell ref="N165:Y165"/>
    <mergeCell ref="N152:Y152"/>
    <mergeCell ref="E114:E120"/>
    <mergeCell ref="I15:Y15"/>
    <mergeCell ref="AD15:AO15"/>
    <mergeCell ref="D177:M177"/>
    <mergeCell ref="AF98:AF112"/>
    <mergeCell ref="D164:M164"/>
    <mergeCell ref="BP163:CC163"/>
    <mergeCell ref="AO157:AZ157"/>
    <mergeCell ref="S42:S47"/>
    <mergeCell ref="BP150:CC150"/>
    <mergeCell ref="BP165:CC165"/>
    <mergeCell ref="D178:M178"/>
    <mergeCell ref="C17:H17"/>
    <mergeCell ref="D172:M172"/>
    <mergeCell ref="BP152:CC152"/>
    <mergeCell ref="AO165:AZ165"/>
    <mergeCell ref="AO152:AZ152"/>
    <mergeCell ref="AE159:AN159"/>
    <mergeCell ref="O50:O55"/>
    <mergeCell ref="AE145:AN145"/>
    <mergeCell ref="AL114:AT120"/>
    <mergeCell ref="N163:Y163"/>
    <mergeCell ref="BP176:CC176"/>
    <mergeCell ref="AD66:AD80"/>
    <mergeCell ref="BE39:CB45"/>
    <mergeCell ref="N138:Y138"/>
    <mergeCell ref="AJ50:AJ64"/>
    <mergeCell ref="N174:Y174"/>
    <mergeCell ref="BE9:BK9"/>
    <mergeCell ref="D175:M175"/>
    <mergeCell ref="N140:Y140"/>
    <mergeCell ref="AE140:AN140"/>
    <mergeCell ref="BE11:BK11"/>
    <mergeCell ref="AO134:AZ134"/>
    <mergeCell ref="BF134:BO134"/>
    <mergeCell ref="AO170:AZ170"/>
    <mergeCell ref="BF180:BO180"/>
    <mergeCell ref="N169:Y169"/>
    <mergeCell ref="D176:M176"/>
    <mergeCell ref="BF167:BO167"/>
    <mergeCell ref="AX34:AX39"/>
    <mergeCell ref="AZ34:AZ39"/>
    <mergeCell ref="C12:H12"/>
    <mergeCell ref="AP58:AP63"/>
    <mergeCell ref="BF169:BO169"/>
    <mergeCell ref="AO171:AZ171"/>
    <mergeCell ref="BP140:CC140"/>
    <mergeCell ref="E34:E48"/>
    <mergeCell ref="G34:G48"/>
    <mergeCell ref="Y58:Y63"/>
    <mergeCell ref="U34:U36"/>
    <mergeCell ref="N158:Y158"/>
    <mergeCell ref="Y50:Y55"/>
    <mergeCell ref="Q50:Q55"/>
    <mergeCell ref="N168:Y168"/>
    <mergeCell ref="AE149:AN149"/>
    <mergeCell ref="AO133:AZ133"/>
    <mergeCell ref="AO173:AZ173"/>
    <mergeCell ref="N153:Y153"/>
    <mergeCell ref="AE180:AN180"/>
    <mergeCell ref="BP166:CC166"/>
    <mergeCell ref="AO135:AZ135"/>
    <mergeCell ref="AD26:AZ26"/>
    <mergeCell ref="AP17:AZ17"/>
    <mergeCell ref="O58:O63"/>
    <mergeCell ref="BP168:CC168"/>
    <mergeCell ref="N171:Y171"/>
  </mergeCells>
  <pageMargins left="0.2755905511811023" right="0.2755905511811023" top="0.2755905511811023" bottom="0.2755905511811023" header="0.1181102362204724" footer="0.1181102362204724"/>
  <pageSetup orientation="landscape" paperSize="9" scale="52" fitToHeight="0" fitToWidth="1" horizontalDpi="300" verticalDpi="300"/>
  <headerFooter alignWithMargins="0">
    <oddHeader>&amp;C&amp;"Calibri,Bold"&amp;14 Cálculo de Ação Crefaz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L192"/>
  <sheetViews>
    <sheetView showGridLines="0" zoomScaleNormal="100" workbookViewId="0">
      <selection activeCell="C2" sqref="C2:CB2"/>
    </sheetView>
  </sheetViews>
  <sheetFormatPr baseColWidth="8" defaultColWidth="0.7109375" defaultRowHeight="13.5"/>
  <cols>
    <col width="3.42578125" customWidth="1" style="1" min="1" max="1"/>
    <col width="1" customWidth="1" style="1" min="2" max="2"/>
    <col width="17.42578125" customWidth="1" style="1" min="3" max="3"/>
    <col width="1" customWidth="1" style="1" min="4" max="6"/>
    <col width="10.42578125" customWidth="1" style="1" min="7" max="7"/>
    <col width="0.7109375" customWidth="1" style="1" min="8" max="8"/>
    <col width="1.5703125" customWidth="1" style="1" min="9" max="9"/>
    <col width="0.7109375" customWidth="1" style="1" min="10" max="11"/>
    <col width="3.28515625" customWidth="1" style="1" min="12" max="12"/>
    <col width="0.7109375" customWidth="1" style="1" min="13" max="14"/>
    <col width="2.140625" customWidth="1" style="1" min="15" max="15"/>
    <col width="0.7109375" customWidth="1" style="1" min="16" max="16"/>
    <col width="1.5703125" customWidth="1" style="1" min="17" max="17"/>
    <col width="0.7109375" customWidth="1" style="1" min="18" max="18"/>
    <col width="6" customWidth="1" style="1" min="19" max="19"/>
    <col width="0.7109375" customWidth="1" style="1" min="20" max="20"/>
    <col width="2.42578125" customWidth="1" style="1" min="21" max="21"/>
    <col width="0.7109375" customWidth="1" style="1" min="22" max="22"/>
    <col width="1.5703125" customWidth="1" style="1" min="23" max="23"/>
    <col width="0.7109375" customWidth="1" style="1" min="24" max="24"/>
    <col width="6.140625" customWidth="1" style="1" min="25" max="25"/>
    <col width="0.7109375" customWidth="1" style="1" min="26" max="28"/>
    <col width="1.5703125" customWidth="1" style="1" min="29" max="29"/>
    <col width="12.7109375" customWidth="1" style="1" min="30" max="30"/>
    <col width="0.7109375" customWidth="1" style="1" min="31" max="31"/>
    <col width="2.28515625" customWidth="1" style="1" min="32" max="32"/>
    <col width="0.7109375" customWidth="1" style="1" min="33" max="33"/>
    <col width="13.5703125" customWidth="1" style="1" min="34" max="34"/>
    <col width="0.7109375" customWidth="1" style="1" min="35" max="35"/>
    <col width="1.5703125" customWidth="1" style="1" min="36" max="36"/>
    <col width="0.7109375" customWidth="1" style="1" min="37" max="41"/>
    <col width="2.140625" customWidth="1" style="1" min="42" max="42"/>
    <col width="0.7109375" customWidth="1" style="1" min="43" max="43"/>
    <col width="1.5703125" customWidth="1" style="1" min="44" max="44"/>
    <col width="0.7109375" customWidth="1" style="1" min="45" max="45"/>
    <col width="5.85546875" customWidth="1" style="1" min="46" max="46"/>
    <col width="0.7109375" customWidth="1" style="1" min="47" max="47"/>
    <col width="2.28515625" customWidth="1" style="1" min="48" max="48"/>
    <col width="0.7109375" customWidth="1" style="1" min="49" max="49"/>
    <col width="1.5703125" customWidth="1" style="1" min="50" max="50"/>
    <col width="0.7109375" customWidth="1" style="1" min="51" max="51"/>
    <col width="5.85546875" customWidth="1" style="1" min="52" max="52"/>
    <col width="0.7109375" customWidth="1" style="1" min="53" max="56"/>
    <col width="21" customWidth="1" style="1" min="57" max="57"/>
    <col hidden="1" width="0.7109375" customWidth="1" style="1" min="58" max="58"/>
    <col width="2.28515625" customWidth="1" style="1" min="59" max="59"/>
    <col width="4.42578125" customWidth="1" style="1" min="60" max="60"/>
    <col width="1.7109375" customWidth="1" style="1" min="61" max="61"/>
    <col hidden="1" width="7.42578125" customWidth="1" style="1" min="62" max="62"/>
    <col width="2.140625" customWidth="1" style="1" min="63" max="63"/>
    <col width="4.5703125" customWidth="1" style="1" min="64" max="64"/>
    <col width="0.7109375" customWidth="1" style="1" min="65" max="65"/>
    <col width="1.5703125" customWidth="1" style="1" min="66" max="66"/>
    <col width="0.7109375" customWidth="1" style="1" min="67" max="71"/>
    <col width="2.140625" customWidth="1" style="1" min="72" max="72"/>
    <col width="0.7109375" customWidth="1" style="1" min="73" max="73"/>
    <col width="1.5703125" customWidth="1" style="1" min="74" max="74"/>
    <col width="0.7109375" customWidth="1" style="1" min="75" max="75"/>
    <col width="4.42578125" customWidth="1" style="1" min="76" max="76"/>
    <col width="0.7109375" customWidth="1" style="1" min="77" max="77"/>
    <col width="4" customWidth="1" style="1" min="78" max="78"/>
    <col width="0.7109375" customWidth="1" style="1" min="79" max="79"/>
    <col width="1.5703125" customWidth="1" style="1" min="80" max="80"/>
    <col width="0.7109375" customWidth="1" style="1" min="81" max="81"/>
    <col width="10" bestFit="1" customWidth="1" style="1" min="82" max="82"/>
    <col width="12.5703125" customWidth="1" style="3" min="83" max="83"/>
    <col width="0.7109375" customWidth="1" style="1" min="84" max="86"/>
    <col width="12.42578125" customWidth="1" style="5" min="87" max="87"/>
    <col width="6.28515625" customWidth="1" style="1" min="88" max="88"/>
    <col width="12.5703125" customWidth="1" style="3" min="89" max="89"/>
    <col width="13.28515625" customWidth="1" style="5" min="90" max="90"/>
    <col width="0.7109375" customWidth="1" style="1" min="91" max="303"/>
    <col width="3.42578125" customWidth="1" style="1" min="304" max="304"/>
    <col width="2.42578125" customWidth="1" style="1" min="305" max="305"/>
    <col width="7" customWidth="1" style="1" min="306" max="306"/>
    <col width="0.7109375" customWidth="1" style="1" min="307" max="307"/>
    <col width="1.5703125" customWidth="1" style="1" min="308" max="308"/>
    <col width="0.7109375" customWidth="1" style="1" min="309" max="309"/>
    <col width="11.28515625" customWidth="1" style="1" min="310" max="310"/>
    <col width="0.7109375" customWidth="1" style="1" min="311" max="311"/>
    <col width="1.5703125" customWidth="1" style="1" min="312" max="312"/>
    <col width="0.7109375" customWidth="1" style="1" min="313" max="317"/>
    <col width="2.140625" customWidth="1" style="1" min="318" max="318"/>
    <col width="0.7109375" customWidth="1" style="1" min="319" max="319"/>
    <col width="1.5703125" customWidth="1" style="1" min="320" max="320"/>
    <col width="0.7109375" customWidth="1" style="1" min="321" max="321"/>
    <col width="7" bestFit="1" customWidth="1" style="1" min="322" max="322"/>
    <col width="0.7109375" customWidth="1" style="1" min="323" max="323"/>
    <col width="4" customWidth="1" style="1" min="324" max="324"/>
    <col width="0.7109375" customWidth="1" style="1" min="325" max="325"/>
    <col width="1.5703125" customWidth="1" style="1" min="326" max="326"/>
    <col width="0.7109375" customWidth="1" style="1" min="327" max="327"/>
    <col width="7" bestFit="1" customWidth="1" style="1" min="328" max="328"/>
    <col width="0.7109375" customWidth="1" style="1" min="329" max="331"/>
    <col width="2.42578125" customWidth="1" style="1" min="332" max="332"/>
    <col width="0.7109375" customWidth="1" style="1" min="333" max="338"/>
    <col width="16.5703125" customWidth="1" style="1" min="339" max="339"/>
    <col width="0.7109375" customWidth="1" style="1" min="340" max="342"/>
    <col width="9.85546875" bestFit="1" customWidth="1" style="1" min="343" max="343"/>
    <col width="9.28515625" customWidth="1" style="1" min="344" max="346"/>
    <col width="0.7109375" customWidth="1" style="1" min="347" max="559"/>
    <col width="3.42578125" customWidth="1" style="1" min="560" max="560"/>
    <col width="2.42578125" customWidth="1" style="1" min="561" max="561"/>
    <col width="7" customWidth="1" style="1" min="562" max="562"/>
    <col width="0.7109375" customWidth="1" style="1" min="563" max="563"/>
    <col width="1.5703125" customWidth="1" style="1" min="564" max="564"/>
    <col width="0.7109375" customWidth="1" style="1" min="565" max="565"/>
    <col width="11.28515625" customWidth="1" style="1" min="566" max="566"/>
    <col width="0.7109375" customWidth="1" style="1" min="567" max="567"/>
    <col width="1.5703125" customWidth="1" style="1" min="568" max="568"/>
    <col width="0.7109375" customWidth="1" style="1" min="569" max="573"/>
    <col width="2.140625" customWidth="1" style="1" min="574" max="574"/>
    <col width="0.7109375" customWidth="1" style="1" min="575" max="575"/>
    <col width="1.5703125" customWidth="1" style="1" min="576" max="576"/>
    <col width="0.7109375" customWidth="1" style="1" min="577" max="577"/>
    <col width="7" bestFit="1" customWidth="1" style="1" min="578" max="578"/>
    <col width="0.7109375" customWidth="1" style="1" min="579" max="579"/>
    <col width="4" customWidth="1" style="1" min="580" max="580"/>
    <col width="0.7109375" customWidth="1" style="1" min="581" max="581"/>
    <col width="1.5703125" customWidth="1" style="1" min="582" max="582"/>
    <col width="0.7109375" customWidth="1" style="1" min="583" max="583"/>
    <col width="7" bestFit="1" customWidth="1" style="1" min="584" max="584"/>
    <col width="0.7109375" customWidth="1" style="1" min="585" max="587"/>
    <col width="2.42578125" customWidth="1" style="1" min="588" max="588"/>
    <col width="0.7109375" customWidth="1" style="1" min="589" max="594"/>
    <col width="16.5703125" customWidth="1" style="1" min="595" max="595"/>
    <col width="0.7109375" customWidth="1" style="1" min="596" max="598"/>
    <col width="9.85546875" bestFit="1" customWidth="1" style="1" min="599" max="599"/>
    <col width="9.28515625" customWidth="1" style="1" min="600" max="602"/>
    <col width="0.7109375" customWidth="1" style="1" min="603" max="815"/>
    <col width="3.42578125" customWidth="1" style="1" min="816" max="816"/>
    <col width="2.42578125" customWidth="1" style="1" min="817" max="817"/>
    <col width="7" customWidth="1" style="1" min="818" max="818"/>
    <col width="0.7109375" customWidth="1" style="1" min="819" max="819"/>
    <col width="1.5703125" customWidth="1" style="1" min="820" max="820"/>
    <col width="0.7109375" customWidth="1" style="1" min="821" max="821"/>
    <col width="11.28515625" customWidth="1" style="1" min="822" max="822"/>
    <col width="0.7109375" customWidth="1" style="1" min="823" max="823"/>
    <col width="1.5703125" customWidth="1" style="1" min="824" max="824"/>
    <col width="0.7109375" customWidth="1" style="1" min="825" max="829"/>
    <col width="2.140625" customWidth="1" style="1" min="830" max="830"/>
    <col width="0.7109375" customWidth="1" style="1" min="831" max="831"/>
    <col width="1.5703125" customWidth="1" style="1" min="832" max="832"/>
    <col width="0.7109375" customWidth="1" style="1" min="833" max="833"/>
    <col width="7" bestFit="1" customWidth="1" style="1" min="834" max="834"/>
    <col width="0.7109375" customWidth="1" style="1" min="835" max="835"/>
    <col width="4" customWidth="1" style="1" min="836" max="836"/>
    <col width="0.7109375" customWidth="1" style="1" min="837" max="837"/>
    <col width="1.5703125" customWidth="1" style="1" min="838" max="838"/>
    <col width="0.7109375" customWidth="1" style="1" min="839" max="839"/>
    <col width="7" bestFit="1" customWidth="1" style="1" min="840" max="840"/>
    <col width="0.7109375" customWidth="1" style="1" min="841" max="843"/>
    <col width="2.42578125" customWidth="1" style="1" min="844" max="844"/>
    <col width="0.7109375" customWidth="1" style="1" min="845" max="850"/>
    <col width="16.5703125" customWidth="1" style="1" min="851" max="851"/>
    <col width="0.7109375" customWidth="1" style="1" min="852" max="854"/>
    <col width="9.85546875" bestFit="1" customWidth="1" style="1" min="855" max="855"/>
    <col width="9.28515625" customWidth="1" style="1" min="856" max="858"/>
    <col width="0.7109375" customWidth="1" style="1" min="859" max="1071"/>
    <col width="3.42578125" customWidth="1" style="1" min="1072" max="1072"/>
    <col width="2.42578125" customWidth="1" style="1" min="1073" max="1073"/>
    <col width="7" customWidth="1" style="1" min="1074" max="1074"/>
    <col width="0.7109375" customWidth="1" style="1" min="1075" max="1075"/>
    <col width="1.5703125" customWidth="1" style="1" min="1076" max="1076"/>
    <col width="0.7109375" customWidth="1" style="1" min="1077" max="1077"/>
    <col width="11.28515625" customWidth="1" style="1" min="1078" max="1078"/>
    <col width="0.7109375" customWidth="1" style="1" min="1079" max="1079"/>
    <col width="1.5703125" customWidth="1" style="1" min="1080" max="1080"/>
    <col width="0.7109375" customWidth="1" style="1" min="1081" max="1085"/>
    <col width="2.140625" customWidth="1" style="1" min="1086" max="1086"/>
    <col width="0.7109375" customWidth="1" style="1" min="1087" max="1087"/>
    <col width="1.5703125" customWidth="1" style="1" min="1088" max="1088"/>
    <col width="0.7109375" customWidth="1" style="1" min="1089" max="1089"/>
    <col width="7" bestFit="1" customWidth="1" style="1" min="1090" max="1090"/>
    <col width="0.7109375" customWidth="1" style="1" min="1091" max="1091"/>
    <col width="4" customWidth="1" style="1" min="1092" max="1092"/>
    <col width="0.7109375" customWidth="1" style="1" min="1093" max="1093"/>
    <col width="1.5703125" customWidth="1" style="1" min="1094" max="1094"/>
    <col width="0.7109375" customWidth="1" style="1" min="1095" max="1095"/>
    <col width="7" bestFit="1" customWidth="1" style="1" min="1096" max="1096"/>
    <col width="0.7109375" customWidth="1" style="1" min="1097" max="1099"/>
    <col width="2.42578125" customWidth="1" style="1" min="1100" max="1100"/>
    <col width="0.7109375" customWidth="1" style="1" min="1101" max="1106"/>
    <col width="16.5703125" customWidth="1" style="1" min="1107" max="1107"/>
    <col width="0.7109375" customWidth="1" style="1" min="1108" max="1110"/>
    <col width="9.85546875" bestFit="1" customWidth="1" style="1" min="1111" max="1111"/>
    <col width="9.28515625" customWidth="1" style="1" min="1112" max="1114"/>
    <col width="0.7109375" customWidth="1" style="1" min="1115" max="1327"/>
    <col width="3.42578125" customWidth="1" style="1" min="1328" max="1328"/>
    <col width="2.42578125" customWidth="1" style="1" min="1329" max="1329"/>
    <col width="7" customWidth="1" style="1" min="1330" max="1330"/>
    <col width="0.7109375" customWidth="1" style="1" min="1331" max="1331"/>
    <col width="1.5703125" customWidth="1" style="1" min="1332" max="1332"/>
    <col width="0.7109375" customWidth="1" style="1" min="1333" max="1333"/>
    <col width="11.28515625" customWidth="1" style="1" min="1334" max="1334"/>
    <col width="0.7109375" customWidth="1" style="1" min="1335" max="1335"/>
    <col width="1.5703125" customWidth="1" style="1" min="1336" max="1336"/>
    <col width="0.7109375" customWidth="1" style="1" min="1337" max="1341"/>
    <col width="2.140625" customWidth="1" style="1" min="1342" max="1342"/>
    <col width="0.7109375" customWidth="1" style="1" min="1343" max="1343"/>
    <col width="1.5703125" customWidth="1" style="1" min="1344" max="1344"/>
    <col width="0.7109375" customWidth="1" style="1" min="1345" max="1345"/>
    <col width="7" bestFit="1" customWidth="1" style="1" min="1346" max="1346"/>
    <col width="0.7109375" customWidth="1" style="1" min="1347" max="1347"/>
    <col width="4" customWidth="1" style="1" min="1348" max="1348"/>
    <col width="0.7109375" customWidth="1" style="1" min="1349" max="1349"/>
    <col width="1.5703125" customWidth="1" style="1" min="1350" max="1350"/>
    <col width="0.7109375" customWidth="1" style="1" min="1351" max="1351"/>
    <col width="7" bestFit="1" customWidth="1" style="1" min="1352" max="1352"/>
    <col width="0.7109375" customWidth="1" style="1" min="1353" max="1355"/>
    <col width="2.42578125" customWidth="1" style="1" min="1356" max="1356"/>
    <col width="0.7109375" customWidth="1" style="1" min="1357" max="1362"/>
    <col width="16.5703125" customWidth="1" style="1" min="1363" max="1363"/>
    <col width="0.7109375" customWidth="1" style="1" min="1364" max="1366"/>
    <col width="9.85546875" bestFit="1" customWidth="1" style="1" min="1367" max="1367"/>
    <col width="9.28515625" customWidth="1" style="1" min="1368" max="1370"/>
    <col width="0.7109375" customWidth="1" style="1" min="1371" max="1583"/>
    <col width="3.42578125" customWidth="1" style="1" min="1584" max="1584"/>
    <col width="2.42578125" customWidth="1" style="1" min="1585" max="1585"/>
    <col width="7" customWidth="1" style="1" min="1586" max="1586"/>
    <col width="0.7109375" customWidth="1" style="1" min="1587" max="1587"/>
    <col width="1.5703125" customWidth="1" style="1" min="1588" max="1588"/>
    <col width="0.7109375" customWidth="1" style="1" min="1589" max="1589"/>
    <col width="11.28515625" customWidth="1" style="1" min="1590" max="1590"/>
    <col width="0.7109375" customWidth="1" style="1" min="1591" max="1591"/>
    <col width="1.5703125" customWidth="1" style="1" min="1592" max="1592"/>
    <col width="0.7109375" customWidth="1" style="1" min="1593" max="1597"/>
    <col width="2.140625" customWidth="1" style="1" min="1598" max="1598"/>
    <col width="0.7109375" customWidth="1" style="1" min="1599" max="1599"/>
    <col width="1.5703125" customWidth="1" style="1" min="1600" max="1600"/>
    <col width="0.7109375" customWidth="1" style="1" min="1601" max="1601"/>
    <col width="7" bestFit="1" customWidth="1" style="1" min="1602" max="1602"/>
    <col width="0.7109375" customWidth="1" style="1" min="1603" max="1603"/>
    <col width="4" customWidth="1" style="1" min="1604" max="1604"/>
    <col width="0.7109375" customWidth="1" style="1" min="1605" max="1605"/>
    <col width="1.5703125" customWidth="1" style="1" min="1606" max="1606"/>
    <col width="0.7109375" customWidth="1" style="1" min="1607" max="1607"/>
    <col width="7" bestFit="1" customWidth="1" style="1" min="1608" max="1608"/>
    <col width="0.7109375" customWidth="1" style="1" min="1609" max="1611"/>
    <col width="2.42578125" customWidth="1" style="1" min="1612" max="1612"/>
    <col width="0.7109375" customWidth="1" style="1" min="1613" max="1618"/>
    <col width="16.5703125" customWidth="1" style="1" min="1619" max="1619"/>
    <col width="0.7109375" customWidth="1" style="1" min="1620" max="1622"/>
    <col width="9.85546875" bestFit="1" customWidth="1" style="1" min="1623" max="1623"/>
    <col width="9.28515625" customWidth="1" style="1" min="1624" max="1626"/>
    <col width="0.7109375" customWidth="1" style="1" min="1627" max="1839"/>
    <col width="3.42578125" customWidth="1" style="1" min="1840" max="1840"/>
    <col width="2.42578125" customWidth="1" style="1" min="1841" max="1841"/>
    <col width="7" customWidth="1" style="1" min="1842" max="1842"/>
    <col width="0.7109375" customWidth="1" style="1" min="1843" max="1843"/>
    <col width="1.5703125" customWidth="1" style="1" min="1844" max="1844"/>
    <col width="0.7109375" customWidth="1" style="1" min="1845" max="1845"/>
    <col width="11.28515625" customWidth="1" style="1" min="1846" max="1846"/>
    <col width="0.7109375" customWidth="1" style="1" min="1847" max="1847"/>
    <col width="1.5703125" customWidth="1" style="1" min="1848" max="1848"/>
    <col width="0.7109375" customWidth="1" style="1" min="1849" max="1853"/>
    <col width="2.140625" customWidth="1" style="1" min="1854" max="1854"/>
    <col width="0.7109375" customWidth="1" style="1" min="1855" max="1855"/>
    <col width="1.5703125" customWidth="1" style="1" min="1856" max="1856"/>
    <col width="0.7109375" customWidth="1" style="1" min="1857" max="1857"/>
    <col width="7" bestFit="1" customWidth="1" style="1" min="1858" max="1858"/>
    <col width="0.7109375" customWidth="1" style="1" min="1859" max="1859"/>
    <col width="4" customWidth="1" style="1" min="1860" max="1860"/>
    <col width="0.7109375" customWidth="1" style="1" min="1861" max="1861"/>
    <col width="1.5703125" customWidth="1" style="1" min="1862" max="1862"/>
    <col width="0.7109375" customWidth="1" style="1" min="1863" max="1863"/>
    <col width="7" bestFit="1" customWidth="1" style="1" min="1864" max="1864"/>
    <col width="0.7109375" customWidth="1" style="1" min="1865" max="1867"/>
    <col width="2.42578125" customWidth="1" style="1" min="1868" max="1868"/>
    <col width="0.7109375" customWidth="1" style="1" min="1869" max="1874"/>
    <col width="16.5703125" customWidth="1" style="1" min="1875" max="1875"/>
    <col width="0.7109375" customWidth="1" style="1" min="1876" max="1878"/>
    <col width="9.85546875" bestFit="1" customWidth="1" style="1" min="1879" max="1879"/>
    <col width="9.28515625" customWidth="1" style="1" min="1880" max="1882"/>
    <col width="0.7109375" customWidth="1" style="1" min="1883" max="2095"/>
    <col width="3.42578125" customWidth="1" style="1" min="2096" max="2096"/>
    <col width="2.42578125" customWidth="1" style="1" min="2097" max="2097"/>
    <col width="7" customWidth="1" style="1" min="2098" max="2098"/>
    <col width="0.7109375" customWidth="1" style="1" min="2099" max="2099"/>
    <col width="1.5703125" customWidth="1" style="1" min="2100" max="2100"/>
    <col width="0.7109375" customWidth="1" style="1" min="2101" max="2101"/>
    <col width="11.28515625" customWidth="1" style="1" min="2102" max="2102"/>
    <col width="0.7109375" customWidth="1" style="1" min="2103" max="2103"/>
    <col width="1.5703125" customWidth="1" style="1" min="2104" max="2104"/>
    <col width="0.7109375" customWidth="1" style="1" min="2105" max="2109"/>
    <col width="2.140625" customWidth="1" style="1" min="2110" max="2110"/>
    <col width="0.7109375" customWidth="1" style="1" min="2111" max="2111"/>
    <col width="1.5703125" customWidth="1" style="1" min="2112" max="2112"/>
    <col width="0.7109375" customWidth="1" style="1" min="2113" max="2113"/>
    <col width="7" bestFit="1" customWidth="1" style="1" min="2114" max="2114"/>
    <col width="0.7109375" customWidth="1" style="1" min="2115" max="2115"/>
    <col width="4" customWidth="1" style="1" min="2116" max="2116"/>
    <col width="0.7109375" customWidth="1" style="1" min="2117" max="2117"/>
    <col width="1.5703125" customWidth="1" style="1" min="2118" max="2118"/>
    <col width="0.7109375" customWidth="1" style="1" min="2119" max="2119"/>
    <col width="7" bestFit="1" customWidth="1" style="1" min="2120" max="2120"/>
    <col width="0.7109375" customWidth="1" style="1" min="2121" max="2123"/>
    <col width="2.42578125" customWidth="1" style="1" min="2124" max="2124"/>
    <col width="0.7109375" customWidth="1" style="1" min="2125" max="2130"/>
    <col width="16.5703125" customWidth="1" style="1" min="2131" max="2131"/>
    <col width="0.7109375" customWidth="1" style="1" min="2132" max="2134"/>
    <col width="9.85546875" bestFit="1" customWidth="1" style="1" min="2135" max="2135"/>
    <col width="9.28515625" customWidth="1" style="1" min="2136" max="2138"/>
    <col width="0.7109375" customWidth="1" style="1" min="2139" max="2351"/>
    <col width="3.42578125" customWidth="1" style="1" min="2352" max="2352"/>
    <col width="2.42578125" customWidth="1" style="1" min="2353" max="2353"/>
    <col width="7" customWidth="1" style="1" min="2354" max="2354"/>
    <col width="0.7109375" customWidth="1" style="1" min="2355" max="2355"/>
    <col width="1.5703125" customWidth="1" style="1" min="2356" max="2356"/>
    <col width="0.7109375" customWidth="1" style="1" min="2357" max="2357"/>
    <col width="11.28515625" customWidth="1" style="1" min="2358" max="2358"/>
    <col width="0.7109375" customWidth="1" style="1" min="2359" max="2359"/>
    <col width="1.5703125" customWidth="1" style="1" min="2360" max="2360"/>
    <col width="0.7109375" customWidth="1" style="1" min="2361" max="2365"/>
    <col width="2.140625" customWidth="1" style="1" min="2366" max="2366"/>
    <col width="0.7109375" customWidth="1" style="1" min="2367" max="2367"/>
    <col width="1.5703125" customWidth="1" style="1" min="2368" max="2368"/>
    <col width="0.7109375" customWidth="1" style="1" min="2369" max="2369"/>
    <col width="7" bestFit="1" customWidth="1" style="1" min="2370" max="2370"/>
    <col width="0.7109375" customWidth="1" style="1" min="2371" max="2371"/>
    <col width="4" customWidth="1" style="1" min="2372" max="2372"/>
    <col width="0.7109375" customWidth="1" style="1" min="2373" max="2373"/>
    <col width="1.5703125" customWidth="1" style="1" min="2374" max="2374"/>
    <col width="0.7109375" customWidth="1" style="1" min="2375" max="2375"/>
    <col width="7" bestFit="1" customWidth="1" style="1" min="2376" max="2376"/>
    <col width="0.7109375" customWidth="1" style="1" min="2377" max="2379"/>
    <col width="2.42578125" customWidth="1" style="1" min="2380" max="2380"/>
    <col width="0.7109375" customWidth="1" style="1" min="2381" max="2386"/>
    <col width="16.5703125" customWidth="1" style="1" min="2387" max="2387"/>
    <col width="0.7109375" customWidth="1" style="1" min="2388" max="2390"/>
    <col width="9.85546875" bestFit="1" customWidth="1" style="1" min="2391" max="2391"/>
    <col width="9.28515625" customWidth="1" style="1" min="2392" max="2394"/>
    <col width="0.7109375" customWidth="1" style="1" min="2395" max="2607"/>
    <col width="3.42578125" customWidth="1" style="1" min="2608" max="2608"/>
    <col width="2.42578125" customWidth="1" style="1" min="2609" max="2609"/>
    <col width="7" customWidth="1" style="1" min="2610" max="2610"/>
    <col width="0.7109375" customWidth="1" style="1" min="2611" max="2611"/>
    <col width="1.5703125" customWidth="1" style="1" min="2612" max="2612"/>
    <col width="0.7109375" customWidth="1" style="1" min="2613" max="2613"/>
    <col width="11.28515625" customWidth="1" style="1" min="2614" max="2614"/>
    <col width="0.7109375" customWidth="1" style="1" min="2615" max="2615"/>
    <col width="1.5703125" customWidth="1" style="1" min="2616" max="2616"/>
    <col width="0.7109375" customWidth="1" style="1" min="2617" max="2621"/>
    <col width="2.140625" customWidth="1" style="1" min="2622" max="2622"/>
    <col width="0.7109375" customWidth="1" style="1" min="2623" max="2623"/>
    <col width="1.5703125" customWidth="1" style="1" min="2624" max="2624"/>
    <col width="0.7109375" customWidth="1" style="1" min="2625" max="2625"/>
    <col width="7" bestFit="1" customWidth="1" style="1" min="2626" max="2626"/>
    <col width="0.7109375" customWidth="1" style="1" min="2627" max="2627"/>
    <col width="4" customWidth="1" style="1" min="2628" max="2628"/>
    <col width="0.7109375" customWidth="1" style="1" min="2629" max="2629"/>
    <col width="1.5703125" customWidth="1" style="1" min="2630" max="2630"/>
    <col width="0.7109375" customWidth="1" style="1" min="2631" max="2631"/>
    <col width="7" bestFit="1" customWidth="1" style="1" min="2632" max="2632"/>
    <col width="0.7109375" customWidth="1" style="1" min="2633" max="2635"/>
    <col width="2.42578125" customWidth="1" style="1" min="2636" max="2636"/>
    <col width="0.7109375" customWidth="1" style="1" min="2637" max="2642"/>
    <col width="16.5703125" customWidth="1" style="1" min="2643" max="2643"/>
    <col width="0.7109375" customWidth="1" style="1" min="2644" max="2646"/>
    <col width="9.85546875" bestFit="1" customWidth="1" style="1" min="2647" max="2647"/>
    <col width="9.28515625" customWidth="1" style="1" min="2648" max="2650"/>
    <col width="0.7109375" customWidth="1" style="1" min="2651" max="2863"/>
    <col width="3.42578125" customWidth="1" style="1" min="2864" max="2864"/>
    <col width="2.42578125" customWidth="1" style="1" min="2865" max="2865"/>
    <col width="7" customWidth="1" style="1" min="2866" max="2866"/>
    <col width="0.7109375" customWidth="1" style="1" min="2867" max="2867"/>
    <col width="1.5703125" customWidth="1" style="1" min="2868" max="2868"/>
    <col width="0.7109375" customWidth="1" style="1" min="2869" max="2869"/>
    <col width="11.28515625" customWidth="1" style="1" min="2870" max="2870"/>
    <col width="0.7109375" customWidth="1" style="1" min="2871" max="2871"/>
    <col width="1.5703125" customWidth="1" style="1" min="2872" max="2872"/>
    <col width="0.7109375" customWidth="1" style="1" min="2873" max="2877"/>
    <col width="2.140625" customWidth="1" style="1" min="2878" max="2878"/>
    <col width="0.7109375" customWidth="1" style="1" min="2879" max="2879"/>
    <col width="1.5703125" customWidth="1" style="1" min="2880" max="2880"/>
    <col width="0.7109375" customWidth="1" style="1" min="2881" max="2881"/>
    <col width="7" bestFit="1" customWidth="1" style="1" min="2882" max="2882"/>
    <col width="0.7109375" customWidth="1" style="1" min="2883" max="2883"/>
    <col width="4" customWidth="1" style="1" min="2884" max="2884"/>
    <col width="0.7109375" customWidth="1" style="1" min="2885" max="2885"/>
    <col width="1.5703125" customWidth="1" style="1" min="2886" max="2886"/>
    <col width="0.7109375" customWidth="1" style="1" min="2887" max="2887"/>
    <col width="7" bestFit="1" customWidth="1" style="1" min="2888" max="2888"/>
    <col width="0.7109375" customWidth="1" style="1" min="2889" max="2891"/>
    <col width="2.42578125" customWidth="1" style="1" min="2892" max="2892"/>
    <col width="0.7109375" customWidth="1" style="1" min="2893" max="2898"/>
    <col width="16.5703125" customWidth="1" style="1" min="2899" max="2899"/>
    <col width="0.7109375" customWidth="1" style="1" min="2900" max="2902"/>
    <col width="9.85546875" bestFit="1" customWidth="1" style="1" min="2903" max="2903"/>
    <col width="9.28515625" customWidth="1" style="1" min="2904" max="2906"/>
    <col width="0.7109375" customWidth="1" style="1" min="2907" max="3119"/>
    <col width="3.42578125" customWidth="1" style="1" min="3120" max="3120"/>
    <col width="2.42578125" customWidth="1" style="1" min="3121" max="3121"/>
    <col width="7" customWidth="1" style="1" min="3122" max="3122"/>
    <col width="0.7109375" customWidth="1" style="1" min="3123" max="3123"/>
    <col width="1.5703125" customWidth="1" style="1" min="3124" max="3124"/>
    <col width="0.7109375" customWidth="1" style="1" min="3125" max="3125"/>
    <col width="11.28515625" customWidth="1" style="1" min="3126" max="3126"/>
    <col width="0.7109375" customWidth="1" style="1" min="3127" max="3127"/>
    <col width="1.5703125" customWidth="1" style="1" min="3128" max="3128"/>
    <col width="0.7109375" customWidth="1" style="1" min="3129" max="3133"/>
    <col width="2.140625" customWidth="1" style="1" min="3134" max="3134"/>
    <col width="0.7109375" customWidth="1" style="1" min="3135" max="3135"/>
    <col width="1.5703125" customWidth="1" style="1" min="3136" max="3136"/>
    <col width="0.7109375" customWidth="1" style="1" min="3137" max="3137"/>
    <col width="7" bestFit="1" customWidth="1" style="1" min="3138" max="3138"/>
    <col width="0.7109375" customWidth="1" style="1" min="3139" max="3139"/>
    <col width="4" customWidth="1" style="1" min="3140" max="3140"/>
    <col width="0.7109375" customWidth="1" style="1" min="3141" max="3141"/>
    <col width="1.5703125" customWidth="1" style="1" min="3142" max="3142"/>
    <col width="0.7109375" customWidth="1" style="1" min="3143" max="3143"/>
    <col width="7" bestFit="1" customWidth="1" style="1" min="3144" max="3144"/>
    <col width="0.7109375" customWidth="1" style="1" min="3145" max="3147"/>
    <col width="2.42578125" customWidth="1" style="1" min="3148" max="3148"/>
    <col width="0.7109375" customWidth="1" style="1" min="3149" max="3154"/>
    <col width="16.5703125" customWidth="1" style="1" min="3155" max="3155"/>
    <col width="0.7109375" customWidth="1" style="1" min="3156" max="3158"/>
    <col width="9.85546875" bestFit="1" customWidth="1" style="1" min="3159" max="3159"/>
    <col width="9.28515625" customWidth="1" style="1" min="3160" max="3162"/>
    <col width="0.7109375" customWidth="1" style="1" min="3163" max="3375"/>
    <col width="3.42578125" customWidth="1" style="1" min="3376" max="3376"/>
    <col width="2.42578125" customWidth="1" style="1" min="3377" max="3377"/>
    <col width="7" customWidth="1" style="1" min="3378" max="3378"/>
    <col width="0.7109375" customWidth="1" style="1" min="3379" max="3379"/>
    <col width="1.5703125" customWidth="1" style="1" min="3380" max="3380"/>
    <col width="0.7109375" customWidth="1" style="1" min="3381" max="3381"/>
    <col width="11.28515625" customWidth="1" style="1" min="3382" max="3382"/>
    <col width="0.7109375" customWidth="1" style="1" min="3383" max="3383"/>
    <col width="1.5703125" customWidth="1" style="1" min="3384" max="3384"/>
    <col width="0.7109375" customWidth="1" style="1" min="3385" max="3389"/>
    <col width="2.140625" customWidth="1" style="1" min="3390" max="3390"/>
    <col width="0.7109375" customWidth="1" style="1" min="3391" max="3391"/>
    <col width="1.5703125" customWidth="1" style="1" min="3392" max="3392"/>
    <col width="0.7109375" customWidth="1" style="1" min="3393" max="3393"/>
    <col width="7" bestFit="1" customWidth="1" style="1" min="3394" max="3394"/>
    <col width="0.7109375" customWidth="1" style="1" min="3395" max="3395"/>
    <col width="4" customWidth="1" style="1" min="3396" max="3396"/>
    <col width="0.7109375" customWidth="1" style="1" min="3397" max="3397"/>
    <col width="1.5703125" customWidth="1" style="1" min="3398" max="3398"/>
    <col width="0.7109375" customWidth="1" style="1" min="3399" max="3399"/>
    <col width="7" bestFit="1" customWidth="1" style="1" min="3400" max="3400"/>
    <col width="0.7109375" customWidth="1" style="1" min="3401" max="3403"/>
    <col width="2.42578125" customWidth="1" style="1" min="3404" max="3404"/>
    <col width="0.7109375" customWidth="1" style="1" min="3405" max="3410"/>
    <col width="16.5703125" customWidth="1" style="1" min="3411" max="3411"/>
    <col width="0.7109375" customWidth="1" style="1" min="3412" max="3414"/>
    <col width="9.85546875" bestFit="1" customWidth="1" style="1" min="3415" max="3415"/>
    <col width="9.28515625" customWidth="1" style="1" min="3416" max="3418"/>
    <col width="0.7109375" customWidth="1" style="1" min="3419" max="3631"/>
    <col width="3.42578125" customWidth="1" style="1" min="3632" max="3632"/>
    <col width="2.42578125" customWidth="1" style="1" min="3633" max="3633"/>
    <col width="7" customWidth="1" style="1" min="3634" max="3634"/>
    <col width="0.7109375" customWidth="1" style="1" min="3635" max="3635"/>
    <col width="1.5703125" customWidth="1" style="1" min="3636" max="3636"/>
    <col width="0.7109375" customWidth="1" style="1" min="3637" max="3637"/>
    <col width="11.28515625" customWidth="1" style="1" min="3638" max="3638"/>
    <col width="0.7109375" customWidth="1" style="1" min="3639" max="3639"/>
    <col width="1.5703125" customWidth="1" style="1" min="3640" max="3640"/>
    <col width="0.7109375" customWidth="1" style="1" min="3641" max="3645"/>
    <col width="2.140625" customWidth="1" style="1" min="3646" max="3646"/>
    <col width="0.7109375" customWidth="1" style="1" min="3647" max="3647"/>
    <col width="1.5703125" customWidth="1" style="1" min="3648" max="3648"/>
    <col width="0.7109375" customWidth="1" style="1" min="3649" max="3649"/>
    <col width="7" bestFit="1" customWidth="1" style="1" min="3650" max="3650"/>
    <col width="0.7109375" customWidth="1" style="1" min="3651" max="3651"/>
    <col width="4" customWidth="1" style="1" min="3652" max="3652"/>
    <col width="0.7109375" customWidth="1" style="1" min="3653" max="3653"/>
    <col width="1.5703125" customWidth="1" style="1" min="3654" max="3654"/>
    <col width="0.7109375" customWidth="1" style="1" min="3655" max="3655"/>
    <col width="7" bestFit="1" customWidth="1" style="1" min="3656" max="3656"/>
    <col width="0.7109375" customWidth="1" style="1" min="3657" max="3659"/>
    <col width="2.42578125" customWidth="1" style="1" min="3660" max="3660"/>
    <col width="0.7109375" customWidth="1" style="1" min="3661" max="3666"/>
    <col width="16.5703125" customWidth="1" style="1" min="3667" max="3667"/>
    <col width="0.7109375" customWidth="1" style="1" min="3668" max="3670"/>
    <col width="9.85546875" bestFit="1" customWidth="1" style="1" min="3671" max="3671"/>
    <col width="9.28515625" customWidth="1" style="1" min="3672" max="3674"/>
    <col width="0.7109375" customWidth="1" style="1" min="3675" max="3887"/>
    <col width="3.42578125" customWidth="1" style="1" min="3888" max="3888"/>
    <col width="2.42578125" customWidth="1" style="1" min="3889" max="3889"/>
    <col width="7" customWidth="1" style="1" min="3890" max="3890"/>
    <col width="0.7109375" customWidth="1" style="1" min="3891" max="3891"/>
    <col width="1.5703125" customWidth="1" style="1" min="3892" max="3892"/>
    <col width="0.7109375" customWidth="1" style="1" min="3893" max="3893"/>
    <col width="11.28515625" customWidth="1" style="1" min="3894" max="3894"/>
    <col width="0.7109375" customWidth="1" style="1" min="3895" max="3895"/>
    <col width="1.5703125" customWidth="1" style="1" min="3896" max="3896"/>
    <col width="0.7109375" customWidth="1" style="1" min="3897" max="3901"/>
    <col width="2.140625" customWidth="1" style="1" min="3902" max="3902"/>
    <col width="0.7109375" customWidth="1" style="1" min="3903" max="3903"/>
    <col width="1.5703125" customWidth="1" style="1" min="3904" max="3904"/>
    <col width="0.7109375" customWidth="1" style="1" min="3905" max="3905"/>
    <col width="7" bestFit="1" customWidth="1" style="1" min="3906" max="3906"/>
    <col width="0.7109375" customWidth="1" style="1" min="3907" max="3907"/>
    <col width="4" customWidth="1" style="1" min="3908" max="3908"/>
    <col width="0.7109375" customWidth="1" style="1" min="3909" max="3909"/>
    <col width="1.5703125" customWidth="1" style="1" min="3910" max="3910"/>
    <col width="0.7109375" customWidth="1" style="1" min="3911" max="3911"/>
    <col width="7" bestFit="1" customWidth="1" style="1" min="3912" max="3912"/>
    <col width="0.7109375" customWidth="1" style="1" min="3913" max="3915"/>
    <col width="2.42578125" customWidth="1" style="1" min="3916" max="3916"/>
    <col width="0.7109375" customWidth="1" style="1" min="3917" max="3922"/>
    <col width="16.5703125" customWidth="1" style="1" min="3923" max="3923"/>
    <col width="0.7109375" customWidth="1" style="1" min="3924" max="3926"/>
    <col width="9.85546875" bestFit="1" customWidth="1" style="1" min="3927" max="3927"/>
    <col width="9.28515625" customWidth="1" style="1" min="3928" max="3930"/>
    <col width="0.7109375" customWidth="1" style="1" min="3931" max="4143"/>
    <col width="3.42578125" customWidth="1" style="1" min="4144" max="4144"/>
    <col width="2.42578125" customWidth="1" style="1" min="4145" max="4145"/>
    <col width="7" customWidth="1" style="1" min="4146" max="4146"/>
    <col width="0.7109375" customWidth="1" style="1" min="4147" max="4147"/>
    <col width="1.5703125" customWidth="1" style="1" min="4148" max="4148"/>
    <col width="0.7109375" customWidth="1" style="1" min="4149" max="4149"/>
    <col width="11.28515625" customWidth="1" style="1" min="4150" max="4150"/>
    <col width="0.7109375" customWidth="1" style="1" min="4151" max="4151"/>
    <col width="1.5703125" customWidth="1" style="1" min="4152" max="4152"/>
    <col width="0.7109375" customWidth="1" style="1" min="4153" max="4157"/>
    <col width="2.140625" customWidth="1" style="1" min="4158" max="4158"/>
    <col width="0.7109375" customWidth="1" style="1" min="4159" max="4159"/>
    <col width="1.5703125" customWidth="1" style="1" min="4160" max="4160"/>
    <col width="0.7109375" customWidth="1" style="1" min="4161" max="4161"/>
    <col width="7" bestFit="1" customWidth="1" style="1" min="4162" max="4162"/>
    <col width="0.7109375" customWidth="1" style="1" min="4163" max="4163"/>
    <col width="4" customWidth="1" style="1" min="4164" max="4164"/>
    <col width="0.7109375" customWidth="1" style="1" min="4165" max="4165"/>
    <col width="1.5703125" customWidth="1" style="1" min="4166" max="4166"/>
    <col width="0.7109375" customWidth="1" style="1" min="4167" max="4167"/>
    <col width="7" bestFit="1" customWidth="1" style="1" min="4168" max="4168"/>
    <col width="0.7109375" customWidth="1" style="1" min="4169" max="4171"/>
    <col width="2.42578125" customWidth="1" style="1" min="4172" max="4172"/>
    <col width="0.7109375" customWidth="1" style="1" min="4173" max="4178"/>
    <col width="16.5703125" customWidth="1" style="1" min="4179" max="4179"/>
    <col width="0.7109375" customWidth="1" style="1" min="4180" max="4182"/>
    <col width="9.85546875" bestFit="1" customWidth="1" style="1" min="4183" max="4183"/>
    <col width="9.28515625" customWidth="1" style="1" min="4184" max="4186"/>
    <col width="0.7109375" customWidth="1" style="1" min="4187" max="4399"/>
    <col width="3.42578125" customWidth="1" style="1" min="4400" max="4400"/>
    <col width="2.42578125" customWidth="1" style="1" min="4401" max="4401"/>
    <col width="7" customWidth="1" style="1" min="4402" max="4402"/>
    <col width="0.7109375" customWidth="1" style="1" min="4403" max="4403"/>
    <col width="1.5703125" customWidth="1" style="1" min="4404" max="4404"/>
    <col width="0.7109375" customWidth="1" style="1" min="4405" max="4405"/>
    <col width="11.28515625" customWidth="1" style="1" min="4406" max="4406"/>
    <col width="0.7109375" customWidth="1" style="1" min="4407" max="4407"/>
    <col width="1.5703125" customWidth="1" style="1" min="4408" max="4408"/>
    <col width="0.7109375" customWidth="1" style="1" min="4409" max="4413"/>
    <col width="2.140625" customWidth="1" style="1" min="4414" max="4414"/>
    <col width="0.7109375" customWidth="1" style="1" min="4415" max="4415"/>
    <col width="1.5703125" customWidth="1" style="1" min="4416" max="4416"/>
    <col width="0.7109375" customWidth="1" style="1" min="4417" max="4417"/>
    <col width="7" bestFit="1" customWidth="1" style="1" min="4418" max="4418"/>
    <col width="0.7109375" customWidth="1" style="1" min="4419" max="4419"/>
    <col width="4" customWidth="1" style="1" min="4420" max="4420"/>
    <col width="0.7109375" customWidth="1" style="1" min="4421" max="4421"/>
    <col width="1.5703125" customWidth="1" style="1" min="4422" max="4422"/>
    <col width="0.7109375" customWidth="1" style="1" min="4423" max="4423"/>
    <col width="7" bestFit="1" customWidth="1" style="1" min="4424" max="4424"/>
    <col width="0.7109375" customWidth="1" style="1" min="4425" max="4427"/>
    <col width="2.42578125" customWidth="1" style="1" min="4428" max="4428"/>
    <col width="0.7109375" customWidth="1" style="1" min="4429" max="4434"/>
    <col width="16.5703125" customWidth="1" style="1" min="4435" max="4435"/>
    <col width="0.7109375" customWidth="1" style="1" min="4436" max="4438"/>
    <col width="9.85546875" bestFit="1" customWidth="1" style="1" min="4439" max="4439"/>
    <col width="9.28515625" customWidth="1" style="1" min="4440" max="4442"/>
    <col width="0.7109375" customWidth="1" style="1" min="4443" max="4655"/>
    <col width="3.42578125" customWidth="1" style="1" min="4656" max="4656"/>
    <col width="2.42578125" customWidth="1" style="1" min="4657" max="4657"/>
    <col width="7" customWidth="1" style="1" min="4658" max="4658"/>
    <col width="0.7109375" customWidth="1" style="1" min="4659" max="4659"/>
    <col width="1.5703125" customWidth="1" style="1" min="4660" max="4660"/>
    <col width="0.7109375" customWidth="1" style="1" min="4661" max="4661"/>
    <col width="11.28515625" customWidth="1" style="1" min="4662" max="4662"/>
    <col width="0.7109375" customWidth="1" style="1" min="4663" max="4663"/>
    <col width="1.5703125" customWidth="1" style="1" min="4664" max="4664"/>
    <col width="0.7109375" customWidth="1" style="1" min="4665" max="4669"/>
    <col width="2.140625" customWidth="1" style="1" min="4670" max="4670"/>
    <col width="0.7109375" customWidth="1" style="1" min="4671" max="4671"/>
    <col width="1.5703125" customWidth="1" style="1" min="4672" max="4672"/>
    <col width="0.7109375" customWidth="1" style="1" min="4673" max="4673"/>
    <col width="7" bestFit="1" customWidth="1" style="1" min="4674" max="4674"/>
    <col width="0.7109375" customWidth="1" style="1" min="4675" max="4675"/>
    <col width="4" customWidth="1" style="1" min="4676" max="4676"/>
    <col width="0.7109375" customWidth="1" style="1" min="4677" max="4677"/>
    <col width="1.5703125" customWidth="1" style="1" min="4678" max="4678"/>
    <col width="0.7109375" customWidth="1" style="1" min="4679" max="4679"/>
    <col width="7" bestFit="1" customWidth="1" style="1" min="4680" max="4680"/>
    <col width="0.7109375" customWidth="1" style="1" min="4681" max="4683"/>
    <col width="2.42578125" customWidth="1" style="1" min="4684" max="4684"/>
    <col width="0.7109375" customWidth="1" style="1" min="4685" max="4690"/>
    <col width="16.5703125" customWidth="1" style="1" min="4691" max="4691"/>
    <col width="0.7109375" customWidth="1" style="1" min="4692" max="4694"/>
    <col width="9.85546875" bestFit="1" customWidth="1" style="1" min="4695" max="4695"/>
    <col width="9.28515625" customWidth="1" style="1" min="4696" max="4698"/>
    <col width="0.7109375" customWidth="1" style="1" min="4699" max="4911"/>
    <col width="3.42578125" customWidth="1" style="1" min="4912" max="4912"/>
    <col width="2.42578125" customWidth="1" style="1" min="4913" max="4913"/>
    <col width="7" customWidth="1" style="1" min="4914" max="4914"/>
    <col width="0.7109375" customWidth="1" style="1" min="4915" max="4915"/>
    <col width="1.5703125" customWidth="1" style="1" min="4916" max="4916"/>
    <col width="0.7109375" customWidth="1" style="1" min="4917" max="4917"/>
    <col width="11.28515625" customWidth="1" style="1" min="4918" max="4918"/>
    <col width="0.7109375" customWidth="1" style="1" min="4919" max="4919"/>
    <col width="1.5703125" customWidth="1" style="1" min="4920" max="4920"/>
    <col width="0.7109375" customWidth="1" style="1" min="4921" max="4925"/>
    <col width="2.140625" customWidth="1" style="1" min="4926" max="4926"/>
    <col width="0.7109375" customWidth="1" style="1" min="4927" max="4927"/>
    <col width="1.5703125" customWidth="1" style="1" min="4928" max="4928"/>
    <col width="0.7109375" customWidth="1" style="1" min="4929" max="4929"/>
    <col width="7" bestFit="1" customWidth="1" style="1" min="4930" max="4930"/>
    <col width="0.7109375" customWidth="1" style="1" min="4931" max="4931"/>
    <col width="4" customWidth="1" style="1" min="4932" max="4932"/>
    <col width="0.7109375" customWidth="1" style="1" min="4933" max="4933"/>
    <col width="1.5703125" customWidth="1" style="1" min="4934" max="4934"/>
    <col width="0.7109375" customWidth="1" style="1" min="4935" max="4935"/>
    <col width="7" bestFit="1" customWidth="1" style="1" min="4936" max="4936"/>
    <col width="0.7109375" customWidth="1" style="1" min="4937" max="4939"/>
    <col width="2.42578125" customWidth="1" style="1" min="4940" max="4940"/>
    <col width="0.7109375" customWidth="1" style="1" min="4941" max="4946"/>
    <col width="16.5703125" customWidth="1" style="1" min="4947" max="4947"/>
    <col width="0.7109375" customWidth="1" style="1" min="4948" max="4950"/>
    <col width="9.85546875" bestFit="1" customWidth="1" style="1" min="4951" max="4951"/>
    <col width="9.28515625" customWidth="1" style="1" min="4952" max="4954"/>
    <col width="0.7109375" customWidth="1" style="1" min="4955" max="5167"/>
    <col width="3.42578125" customWidth="1" style="1" min="5168" max="5168"/>
    <col width="2.42578125" customWidth="1" style="1" min="5169" max="5169"/>
    <col width="7" customWidth="1" style="1" min="5170" max="5170"/>
    <col width="0.7109375" customWidth="1" style="1" min="5171" max="5171"/>
    <col width="1.5703125" customWidth="1" style="1" min="5172" max="5172"/>
    <col width="0.7109375" customWidth="1" style="1" min="5173" max="5173"/>
    <col width="11.28515625" customWidth="1" style="1" min="5174" max="5174"/>
    <col width="0.7109375" customWidth="1" style="1" min="5175" max="5175"/>
    <col width="1.5703125" customWidth="1" style="1" min="5176" max="5176"/>
    <col width="0.7109375" customWidth="1" style="1" min="5177" max="5181"/>
    <col width="2.140625" customWidth="1" style="1" min="5182" max="5182"/>
    <col width="0.7109375" customWidth="1" style="1" min="5183" max="5183"/>
    <col width="1.5703125" customWidth="1" style="1" min="5184" max="5184"/>
    <col width="0.7109375" customWidth="1" style="1" min="5185" max="5185"/>
    <col width="7" bestFit="1" customWidth="1" style="1" min="5186" max="5186"/>
    <col width="0.7109375" customWidth="1" style="1" min="5187" max="5187"/>
    <col width="4" customWidth="1" style="1" min="5188" max="5188"/>
    <col width="0.7109375" customWidth="1" style="1" min="5189" max="5189"/>
    <col width="1.5703125" customWidth="1" style="1" min="5190" max="5190"/>
    <col width="0.7109375" customWidth="1" style="1" min="5191" max="5191"/>
    <col width="7" bestFit="1" customWidth="1" style="1" min="5192" max="5192"/>
    <col width="0.7109375" customWidth="1" style="1" min="5193" max="5195"/>
    <col width="2.42578125" customWidth="1" style="1" min="5196" max="5196"/>
    <col width="0.7109375" customWidth="1" style="1" min="5197" max="5202"/>
    <col width="16.5703125" customWidth="1" style="1" min="5203" max="5203"/>
    <col width="0.7109375" customWidth="1" style="1" min="5204" max="5206"/>
    <col width="9.85546875" bestFit="1" customWidth="1" style="1" min="5207" max="5207"/>
    <col width="9.28515625" customWidth="1" style="1" min="5208" max="5210"/>
    <col width="0.7109375" customWidth="1" style="1" min="5211" max="5423"/>
    <col width="3.42578125" customWidth="1" style="1" min="5424" max="5424"/>
    <col width="2.42578125" customWidth="1" style="1" min="5425" max="5425"/>
    <col width="7" customWidth="1" style="1" min="5426" max="5426"/>
    <col width="0.7109375" customWidth="1" style="1" min="5427" max="5427"/>
    <col width="1.5703125" customWidth="1" style="1" min="5428" max="5428"/>
    <col width="0.7109375" customWidth="1" style="1" min="5429" max="5429"/>
    <col width="11.28515625" customWidth="1" style="1" min="5430" max="5430"/>
    <col width="0.7109375" customWidth="1" style="1" min="5431" max="5431"/>
    <col width="1.5703125" customWidth="1" style="1" min="5432" max="5432"/>
    <col width="0.7109375" customWidth="1" style="1" min="5433" max="5437"/>
    <col width="2.140625" customWidth="1" style="1" min="5438" max="5438"/>
    <col width="0.7109375" customWidth="1" style="1" min="5439" max="5439"/>
    <col width="1.5703125" customWidth="1" style="1" min="5440" max="5440"/>
    <col width="0.7109375" customWidth="1" style="1" min="5441" max="5441"/>
    <col width="7" bestFit="1" customWidth="1" style="1" min="5442" max="5442"/>
    <col width="0.7109375" customWidth="1" style="1" min="5443" max="5443"/>
    <col width="4" customWidth="1" style="1" min="5444" max="5444"/>
    <col width="0.7109375" customWidth="1" style="1" min="5445" max="5445"/>
    <col width="1.5703125" customWidth="1" style="1" min="5446" max="5446"/>
    <col width="0.7109375" customWidth="1" style="1" min="5447" max="5447"/>
    <col width="7" bestFit="1" customWidth="1" style="1" min="5448" max="5448"/>
    <col width="0.7109375" customWidth="1" style="1" min="5449" max="5451"/>
    <col width="2.42578125" customWidth="1" style="1" min="5452" max="5452"/>
    <col width="0.7109375" customWidth="1" style="1" min="5453" max="5458"/>
    <col width="16.5703125" customWidth="1" style="1" min="5459" max="5459"/>
    <col width="0.7109375" customWidth="1" style="1" min="5460" max="5462"/>
    <col width="9.85546875" bestFit="1" customWidth="1" style="1" min="5463" max="5463"/>
    <col width="9.28515625" customWidth="1" style="1" min="5464" max="5466"/>
    <col width="0.7109375" customWidth="1" style="1" min="5467" max="5679"/>
    <col width="3.42578125" customWidth="1" style="1" min="5680" max="5680"/>
    <col width="2.42578125" customWidth="1" style="1" min="5681" max="5681"/>
    <col width="7" customWidth="1" style="1" min="5682" max="5682"/>
    <col width="0.7109375" customWidth="1" style="1" min="5683" max="5683"/>
    <col width="1.5703125" customWidth="1" style="1" min="5684" max="5684"/>
    <col width="0.7109375" customWidth="1" style="1" min="5685" max="5685"/>
    <col width="11.28515625" customWidth="1" style="1" min="5686" max="5686"/>
    <col width="0.7109375" customWidth="1" style="1" min="5687" max="5687"/>
    <col width="1.5703125" customWidth="1" style="1" min="5688" max="5688"/>
    <col width="0.7109375" customWidth="1" style="1" min="5689" max="5693"/>
    <col width="2.140625" customWidth="1" style="1" min="5694" max="5694"/>
    <col width="0.7109375" customWidth="1" style="1" min="5695" max="5695"/>
    <col width="1.5703125" customWidth="1" style="1" min="5696" max="5696"/>
    <col width="0.7109375" customWidth="1" style="1" min="5697" max="5697"/>
    <col width="7" bestFit="1" customWidth="1" style="1" min="5698" max="5698"/>
    <col width="0.7109375" customWidth="1" style="1" min="5699" max="5699"/>
    <col width="4" customWidth="1" style="1" min="5700" max="5700"/>
    <col width="0.7109375" customWidth="1" style="1" min="5701" max="5701"/>
    <col width="1.5703125" customWidth="1" style="1" min="5702" max="5702"/>
    <col width="0.7109375" customWidth="1" style="1" min="5703" max="5703"/>
    <col width="7" bestFit="1" customWidth="1" style="1" min="5704" max="5704"/>
    <col width="0.7109375" customWidth="1" style="1" min="5705" max="5707"/>
    <col width="2.42578125" customWidth="1" style="1" min="5708" max="5708"/>
    <col width="0.7109375" customWidth="1" style="1" min="5709" max="5714"/>
    <col width="16.5703125" customWidth="1" style="1" min="5715" max="5715"/>
    <col width="0.7109375" customWidth="1" style="1" min="5716" max="5718"/>
    <col width="9.85546875" bestFit="1" customWidth="1" style="1" min="5719" max="5719"/>
    <col width="9.28515625" customWidth="1" style="1" min="5720" max="5722"/>
    <col width="0.7109375" customWidth="1" style="1" min="5723" max="5935"/>
    <col width="3.42578125" customWidth="1" style="1" min="5936" max="5936"/>
    <col width="2.42578125" customWidth="1" style="1" min="5937" max="5937"/>
    <col width="7" customWidth="1" style="1" min="5938" max="5938"/>
    <col width="0.7109375" customWidth="1" style="1" min="5939" max="5939"/>
    <col width="1.5703125" customWidth="1" style="1" min="5940" max="5940"/>
    <col width="0.7109375" customWidth="1" style="1" min="5941" max="5941"/>
    <col width="11.28515625" customWidth="1" style="1" min="5942" max="5942"/>
    <col width="0.7109375" customWidth="1" style="1" min="5943" max="5943"/>
    <col width="1.5703125" customWidth="1" style="1" min="5944" max="5944"/>
    <col width="0.7109375" customWidth="1" style="1" min="5945" max="5949"/>
    <col width="2.140625" customWidth="1" style="1" min="5950" max="5950"/>
    <col width="0.7109375" customWidth="1" style="1" min="5951" max="5951"/>
    <col width="1.5703125" customWidth="1" style="1" min="5952" max="5952"/>
    <col width="0.7109375" customWidth="1" style="1" min="5953" max="5953"/>
    <col width="7" bestFit="1" customWidth="1" style="1" min="5954" max="5954"/>
    <col width="0.7109375" customWidth="1" style="1" min="5955" max="5955"/>
    <col width="4" customWidth="1" style="1" min="5956" max="5956"/>
    <col width="0.7109375" customWidth="1" style="1" min="5957" max="5957"/>
    <col width="1.5703125" customWidth="1" style="1" min="5958" max="5958"/>
    <col width="0.7109375" customWidth="1" style="1" min="5959" max="5959"/>
    <col width="7" bestFit="1" customWidth="1" style="1" min="5960" max="5960"/>
    <col width="0.7109375" customWidth="1" style="1" min="5961" max="5963"/>
    <col width="2.42578125" customWidth="1" style="1" min="5964" max="5964"/>
    <col width="0.7109375" customWidth="1" style="1" min="5965" max="5970"/>
    <col width="16.5703125" customWidth="1" style="1" min="5971" max="5971"/>
    <col width="0.7109375" customWidth="1" style="1" min="5972" max="5974"/>
    <col width="9.85546875" bestFit="1" customWidth="1" style="1" min="5975" max="5975"/>
    <col width="9.28515625" customWidth="1" style="1" min="5976" max="5978"/>
    <col width="0.7109375" customWidth="1" style="1" min="5979" max="6191"/>
    <col width="3.42578125" customWidth="1" style="1" min="6192" max="6192"/>
    <col width="2.42578125" customWidth="1" style="1" min="6193" max="6193"/>
    <col width="7" customWidth="1" style="1" min="6194" max="6194"/>
    <col width="0.7109375" customWidth="1" style="1" min="6195" max="6195"/>
    <col width="1.5703125" customWidth="1" style="1" min="6196" max="6196"/>
    <col width="0.7109375" customWidth="1" style="1" min="6197" max="6197"/>
    <col width="11.28515625" customWidth="1" style="1" min="6198" max="6198"/>
    <col width="0.7109375" customWidth="1" style="1" min="6199" max="6199"/>
    <col width="1.5703125" customWidth="1" style="1" min="6200" max="6200"/>
    <col width="0.7109375" customWidth="1" style="1" min="6201" max="6205"/>
    <col width="2.140625" customWidth="1" style="1" min="6206" max="6206"/>
    <col width="0.7109375" customWidth="1" style="1" min="6207" max="6207"/>
    <col width="1.5703125" customWidth="1" style="1" min="6208" max="6208"/>
    <col width="0.7109375" customWidth="1" style="1" min="6209" max="6209"/>
    <col width="7" bestFit="1" customWidth="1" style="1" min="6210" max="6210"/>
    <col width="0.7109375" customWidth="1" style="1" min="6211" max="6211"/>
    <col width="4" customWidth="1" style="1" min="6212" max="6212"/>
    <col width="0.7109375" customWidth="1" style="1" min="6213" max="6213"/>
    <col width="1.5703125" customWidth="1" style="1" min="6214" max="6214"/>
    <col width="0.7109375" customWidth="1" style="1" min="6215" max="6215"/>
    <col width="7" bestFit="1" customWidth="1" style="1" min="6216" max="6216"/>
    <col width="0.7109375" customWidth="1" style="1" min="6217" max="6219"/>
    <col width="2.42578125" customWidth="1" style="1" min="6220" max="6220"/>
    <col width="0.7109375" customWidth="1" style="1" min="6221" max="6226"/>
    <col width="16.5703125" customWidth="1" style="1" min="6227" max="6227"/>
    <col width="0.7109375" customWidth="1" style="1" min="6228" max="6230"/>
    <col width="9.85546875" bestFit="1" customWidth="1" style="1" min="6231" max="6231"/>
    <col width="9.28515625" customWidth="1" style="1" min="6232" max="6234"/>
    <col width="0.7109375" customWidth="1" style="1" min="6235" max="6447"/>
    <col width="3.42578125" customWidth="1" style="1" min="6448" max="6448"/>
    <col width="2.42578125" customWidth="1" style="1" min="6449" max="6449"/>
    <col width="7" customWidth="1" style="1" min="6450" max="6450"/>
    <col width="0.7109375" customWidth="1" style="1" min="6451" max="6451"/>
    <col width="1.5703125" customWidth="1" style="1" min="6452" max="6452"/>
    <col width="0.7109375" customWidth="1" style="1" min="6453" max="6453"/>
    <col width="11.28515625" customWidth="1" style="1" min="6454" max="6454"/>
    <col width="0.7109375" customWidth="1" style="1" min="6455" max="6455"/>
    <col width="1.5703125" customWidth="1" style="1" min="6456" max="6456"/>
    <col width="0.7109375" customWidth="1" style="1" min="6457" max="6461"/>
    <col width="2.140625" customWidth="1" style="1" min="6462" max="6462"/>
    <col width="0.7109375" customWidth="1" style="1" min="6463" max="6463"/>
    <col width="1.5703125" customWidth="1" style="1" min="6464" max="6464"/>
    <col width="0.7109375" customWidth="1" style="1" min="6465" max="6465"/>
    <col width="7" bestFit="1" customWidth="1" style="1" min="6466" max="6466"/>
    <col width="0.7109375" customWidth="1" style="1" min="6467" max="6467"/>
    <col width="4" customWidth="1" style="1" min="6468" max="6468"/>
    <col width="0.7109375" customWidth="1" style="1" min="6469" max="6469"/>
    <col width="1.5703125" customWidth="1" style="1" min="6470" max="6470"/>
    <col width="0.7109375" customWidth="1" style="1" min="6471" max="6471"/>
    <col width="7" bestFit="1" customWidth="1" style="1" min="6472" max="6472"/>
    <col width="0.7109375" customWidth="1" style="1" min="6473" max="6475"/>
    <col width="2.42578125" customWidth="1" style="1" min="6476" max="6476"/>
    <col width="0.7109375" customWidth="1" style="1" min="6477" max="6482"/>
    <col width="16.5703125" customWidth="1" style="1" min="6483" max="6483"/>
    <col width="0.7109375" customWidth="1" style="1" min="6484" max="6486"/>
    <col width="9.85546875" bestFit="1" customWidth="1" style="1" min="6487" max="6487"/>
    <col width="9.28515625" customWidth="1" style="1" min="6488" max="6490"/>
    <col width="0.7109375" customWidth="1" style="1" min="6491" max="6703"/>
    <col width="3.42578125" customWidth="1" style="1" min="6704" max="6704"/>
    <col width="2.42578125" customWidth="1" style="1" min="6705" max="6705"/>
    <col width="7" customWidth="1" style="1" min="6706" max="6706"/>
    <col width="0.7109375" customWidth="1" style="1" min="6707" max="6707"/>
    <col width="1.5703125" customWidth="1" style="1" min="6708" max="6708"/>
    <col width="0.7109375" customWidth="1" style="1" min="6709" max="6709"/>
    <col width="11.28515625" customWidth="1" style="1" min="6710" max="6710"/>
    <col width="0.7109375" customWidth="1" style="1" min="6711" max="6711"/>
    <col width="1.5703125" customWidth="1" style="1" min="6712" max="6712"/>
    <col width="0.7109375" customWidth="1" style="1" min="6713" max="6717"/>
    <col width="2.140625" customWidth="1" style="1" min="6718" max="6718"/>
    <col width="0.7109375" customWidth="1" style="1" min="6719" max="6719"/>
    <col width="1.5703125" customWidth="1" style="1" min="6720" max="6720"/>
    <col width="0.7109375" customWidth="1" style="1" min="6721" max="6721"/>
    <col width="7" bestFit="1" customWidth="1" style="1" min="6722" max="6722"/>
    <col width="0.7109375" customWidth="1" style="1" min="6723" max="6723"/>
    <col width="4" customWidth="1" style="1" min="6724" max="6724"/>
    <col width="0.7109375" customWidth="1" style="1" min="6725" max="6725"/>
    <col width="1.5703125" customWidth="1" style="1" min="6726" max="6726"/>
    <col width="0.7109375" customWidth="1" style="1" min="6727" max="6727"/>
    <col width="7" bestFit="1" customWidth="1" style="1" min="6728" max="6728"/>
    <col width="0.7109375" customWidth="1" style="1" min="6729" max="6731"/>
    <col width="2.42578125" customWidth="1" style="1" min="6732" max="6732"/>
    <col width="0.7109375" customWidth="1" style="1" min="6733" max="6738"/>
    <col width="16.5703125" customWidth="1" style="1" min="6739" max="6739"/>
    <col width="0.7109375" customWidth="1" style="1" min="6740" max="6742"/>
    <col width="9.85546875" bestFit="1" customWidth="1" style="1" min="6743" max="6743"/>
    <col width="9.28515625" customWidth="1" style="1" min="6744" max="6746"/>
    <col width="0.7109375" customWidth="1" style="1" min="6747" max="6959"/>
    <col width="3.42578125" customWidth="1" style="1" min="6960" max="6960"/>
    <col width="2.42578125" customWidth="1" style="1" min="6961" max="6961"/>
    <col width="7" customWidth="1" style="1" min="6962" max="6962"/>
    <col width="0.7109375" customWidth="1" style="1" min="6963" max="6963"/>
    <col width="1.5703125" customWidth="1" style="1" min="6964" max="6964"/>
    <col width="0.7109375" customWidth="1" style="1" min="6965" max="6965"/>
    <col width="11.28515625" customWidth="1" style="1" min="6966" max="6966"/>
    <col width="0.7109375" customWidth="1" style="1" min="6967" max="6967"/>
    <col width="1.5703125" customWidth="1" style="1" min="6968" max="6968"/>
    <col width="0.7109375" customWidth="1" style="1" min="6969" max="6973"/>
    <col width="2.140625" customWidth="1" style="1" min="6974" max="6974"/>
    <col width="0.7109375" customWidth="1" style="1" min="6975" max="6975"/>
    <col width="1.5703125" customWidth="1" style="1" min="6976" max="6976"/>
    <col width="0.7109375" customWidth="1" style="1" min="6977" max="6977"/>
    <col width="7" bestFit="1" customWidth="1" style="1" min="6978" max="6978"/>
    <col width="0.7109375" customWidth="1" style="1" min="6979" max="6979"/>
    <col width="4" customWidth="1" style="1" min="6980" max="6980"/>
    <col width="0.7109375" customWidth="1" style="1" min="6981" max="6981"/>
    <col width="1.5703125" customWidth="1" style="1" min="6982" max="6982"/>
    <col width="0.7109375" customWidth="1" style="1" min="6983" max="6983"/>
    <col width="7" bestFit="1" customWidth="1" style="1" min="6984" max="6984"/>
    <col width="0.7109375" customWidth="1" style="1" min="6985" max="6987"/>
    <col width="2.42578125" customWidth="1" style="1" min="6988" max="6988"/>
    <col width="0.7109375" customWidth="1" style="1" min="6989" max="6994"/>
    <col width="16.5703125" customWidth="1" style="1" min="6995" max="6995"/>
    <col width="0.7109375" customWidth="1" style="1" min="6996" max="6998"/>
    <col width="9.85546875" bestFit="1" customWidth="1" style="1" min="6999" max="6999"/>
    <col width="9.28515625" customWidth="1" style="1" min="7000" max="7002"/>
    <col width="0.7109375" customWidth="1" style="1" min="7003" max="7215"/>
    <col width="3.42578125" customWidth="1" style="1" min="7216" max="7216"/>
    <col width="2.42578125" customWidth="1" style="1" min="7217" max="7217"/>
    <col width="7" customWidth="1" style="1" min="7218" max="7218"/>
    <col width="0.7109375" customWidth="1" style="1" min="7219" max="7219"/>
    <col width="1.5703125" customWidth="1" style="1" min="7220" max="7220"/>
    <col width="0.7109375" customWidth="1" style="1" min="7221" max="7221"/>
    <col width="11.28515625" customWidth="1" style="1" min="7222" max="7222"/>
    <col width="0.7109375" customWidth="1" style="1" min="7223" max="7223"/>
    <col width="1.5703125" customWidth="1" style="1" min="7224" max="7224"/>
    <col width="0.7109375" customWidth="1" style="1" min="7225" max="7229"/>
    <col width="2.140625" customWidth="1" style="1" min="7230" max="7230"/>
    <col width="0.7109375" customWidth="1" style="1" min="7231" max="7231"/>
    <col width="1.5703125" customWidth="1" style="1" min="7232" max="7232"/>
    <col width="0.7109375" customWidth="1" style="1" min="7233" max="7233"/>
    <col width="7" bestFit="1" customWidth="1" style="1" min="7234" max="7234"/>
    <col width="0.7109375" customWidth="1" style="1" min="7235" max="7235"/>
    <col width="4" customWidth="1" style="1" min="7236" max="7236"/>
    <col width="0.7109375" customWidth="1" style="1" min="7237" max="7237"/>
    <col width="1.5703125" customWidth="1" style="1" min="7238" max="7238"/>
    <col width="0.7109375" customWidth="1" style="1" min="7239" max="7239"/>
    <col width="7" bestFit="1" customWidth="1" style="1" min="7240" max="7240"/>
    <col width="0.7109375" customWidth="1" style="1" min="7241" max="7243"/>
    <col width="2.42578125" customWidth="1" style="1" min="7244" max="7244"/>
    <col width="0.7109375" customWidth="1" style="1" min="7245" max="7250"/>
    <col width="16.5703125" customWidth="1" style="1" min="7251" max="7251"/>
    <col width="0.7109375" customWidth="1" style="1" min="7252" max="7254"/>
    <col width="9.85546875" bestFit="1" customWidth="1" style="1" min="7255" max="7255"/>
    <col width="9.28515625" customWidth="1" style="1" min="7256" max="7258"/>
    <col width="0.7109375" customWidth="1" style="1" min="7259" max="7471"/>
    <col width="3.42578125" customWidth="1" style="1" min="7472" max="7472"/>
    <col width="2.42578125" customWidth="1" style="1" min="7473" max="7473"/>
    <col width="7" customWidth="1" style="1" min="7474" max="7474"/>
    <col width="0.7109375" customWidth="1" style="1" min="7475" max="7475"/>
    <col width="1.5703125" customWidth="1" style="1" min="7476" max="7476"/>
    <col width="0.7109375" customWidth="1" style="1" min="7477" max="7477"/>
    <col width="11.28515625" customWidth="1" style="1" min="7478" max="7478"/>
    <col width="0.7109375" customWidth="1" style="1" min="7479" max="7479"/>
    <col width="1.5703125" customWidth="1" style="1" min="7480" max="7480"/>
    <col width="0.7109375" customWidth="1" style="1" min="7481" max="7485"/>
    <col width="2.140625" customWidth="1" style="1" min="7486" max="7486"/>
    <col width="0.7109375" customWidth="1" style="1" min="7487" max="7487"/>
    <col width="1.5703125" customWidth="1" style="1" min="7488" max="7488"/>
    <col width="0.7109375" customWidth="1" style="1" min="7489" max="7489"/>
    <col width="7" bestFit="1" customWidth="1" style="1" min="7490" max="7490"/>
    <col width="0.7109375" customWidth="1" style="1" min="7491" max="7491"/>
    <col width="4" customWidth="1" style="1" min="7492" max="7492"/>
    <col width="0.7109375" customWidth="1" style="1" min="7493" max="7493"/>
    <col width="1.5703125" customWidth="1" style="1" min="7494" max="7494"/>
    <col width="0.7109375" customWidth="1" style="1" min="7495" max="7495"/>
    <col width="7" bestFit="1" customWidth="1" style="1" min="7496" max="7496"/>
    <col width="0.7109375" customWidth="1" style="1" min="7497" max="7499"/>
    <col width="2.42578125" customWidth="1" style="1" min="7500" max="7500"/>
    <col width="0.7109375" customWidth="1" style="1" min="7501" max="7506"/>
    <col width="16.5703125" customWidth="1" style="1" min="7507" max="7507"/>
    <col width="0.7109375" customWidth="1" style="1" min="7508" max="7510"/>
    <col width="9.85546875" bestFit="1" customWidth="1" style="1" min="7511" max="7511"/>
    <col width="9.28515625" customWidth="1" style="1" min="7512" max="7514"/>
    <col width="0.7109375" customWidth="1" style="1" min="7515" max="7727"/>
    <col width="3.42578125" customWidth="1" style="1" min="7728" max="7728"/>
    <col width="2.42578125" customWidth="1" style="1" min="7729" max="7729"/>
    <col width="7" customWidth="1" style="1" min="7730" max="7730"/>
    <col width="0.7109375" customWidth="1" style="1" min="7731" max="7731"/>
    <col width="1.5703125" customWidth="1" style="1" min="7732" max="7732"/>
    <col width="0.7109375" customWidth="1" style="1" min="7733" max="7733"/>
    <col width="11.28515625" customWidth="1" style="1" min="7734" max="7734"/>
    <col width="0.7109375" customWidth="1" style="1" min="7735" max="7735"/>
    <col width="1.5703125" customWidth="1" style="1" min="7736" max="7736"/>
    <col width="0.7109375" customWidth="1" style="1" min="7737" max="7741"/>
    <col width="2.140625" customWidth="1" style="1" min="7742" max="7742"/>
    <col width="0.7109375" customWidth="1" style="1" min="7743" max="7743"/>
    <col width="1.5703125" customWidth="1" style="1" min="7744" max="7744"/>
    <col width="0.7109375" customWidth="1" style="1" min="7745" max="7745"/>
    <col width="7" bestFit="1" customWidth="1" style="1" min="7746" max="7746"/>
    <col width="0.7109375" customWidth="1" style="1" min="7747" max="7747"/>
    <col width="4" customWidth="1" style="1" min="7748" max="7748"/>
    <col width="0.7109375" customWidth="1" style="1" min="7749" max="7749"/>
    <col width="1.5703125" customWidth="1" style="1" min="7750" max="7750"/>
    <col width="0.7109375" customWidth="1" style="1" min="7751" max="7751"/>
    <col width="7" bestFit="1" customWidth="1" style="1" min="7752" max="7752"/>
    <col width="0.7109375" customWidth="1" style="1" min="7753" max="7755"/>
    <col width="2.42578125" customWidth="1" style="1" min="7756" max="7756"/>
    <col width="0.7109375" customWidth="1" style="1" min="7757" max="7762"/>
    <col width="16.5703125" customWidth="1" style="1" min="7763" max="7763"/>
    <col width="0.7109375" customWidth="1" style="1" min="7764" max="7766"/>
    <col width="9.85546875" bestFit="1" customWidth="1" style="1" min="7767" max="7767"/>
    <col width="9.28515625" customWidth="1" style="1" min="7768" max="7770"/>
    <col width="0.7109375" customWidth="1" style="1" min="7771" max="7983"/>
    <col width="3.42578125" customWidth="1" style="1" min="7984" max="7984"/>
    <col width="2.42578125" customWidth="1" style="1" min="7985" max="7985"/>
    <col width="7" customWidth="1" style="1" min="7986" max="7986"/>
    <col width="0.7109375" customWidth="1" style="1" min="7987" max="7987"/>
    <col width="1.5703125" customWidth="1" style="1" min="7988" max="7988"/>
    <col width="0.7109375" customWidth="1" style="1" min="7989" max="7989"/>
    <col width="11.28515625" customWidth="1" style="1" min="7990" max="7990"/>
    <col width="0.7109375" customWidth="1" style="1" min="7991" max="7991"/>
    <col width="1.5703125" customWidth="1" style="1" min="7992" max="7992"/>
    <col width="0.7109375" customWidth="1" style="1" min="7993" max="7997"/>
    <col width="2.140625" customWidth="1" style="1" min="7998" max="7998"/>
    <col width="0.7109375" customWidth="1" style="1" min="7999" max="7999"/>
    <col width="1.5703125" customWidth="1" style="1" min="8000" max="8000"/>
    <col width="0.7109375" customWidth="1" style="1" min="8001" max="8001"/>
    <col width="7" bestFit="1" customWidth="1" style="1" min="8002" max="8002"/>
    <col width="0.7109375" customWidth="1" style="1" min="8003" max="8003"/>
    <col width="4" customWidth="1" style="1" min="8004" max="8004"/>
    <col width="0.7109375" customWidth="1" style="1" min="8005" max="8005"/>
    <col width="1.5703125" customWidth="1" style="1" min="8006" max="8006"/>
    <col width="0.7109375" customWidth="1" style="1" min="8007" max="8007"/>
    <col width="7" bestFit="1" customWidth="1" style="1" min="8008" max="8008"/>
    <col width="0.7109375" customWidth="1" style="1" min="8009" max="8011"/>
    <col width="2.42578125" customWidth="1" style="1" min="8012" max="8012"/>
    <col width="0.7109375" customWidth="1" style="1" min="8013" max="8018"/>
    <col width="16.5703125" customWidth="1" style="1" min="8019" max="8019"/>
    <col width="0.7109375" customWidth="1" style="1" min="8020" max="8022"/>
    <col width="9.85546875" bestFit="1" customWidth="1" style="1" min="8023" max="8023"/>
    <col width="9.28515625" customWidth="1" style="1" min="8024" max="8026"/>
    <col width="0.7109375" customWidth="1" style="1" min="8027" max="8239"/>
    <col width="3.42578125" customWidth="1" style="1" min="8240" max="8240"/>
    <col width="2.42578125" customWidth="1" style="1" min="8241" max="8241"/>
    <col width="7" customWidth="1" style="1" min="8242" max="8242"/>
    <col width="0.7109375" customWidth="1" style="1" min="8243" max="8243"/>
    <col width="1.5703125" customWidth="1" style="1" min="8244" max="8244"/>
    <col width="0.7109375" customWidth="1" style="1" min="8245" max="8245"/>
    <col width="11.28515625" customWidth="1" style="1" min="8246" max="8246"/>
    <col width="0.7109375" customWidth="1" style="1" min="8247" max="8247"/>
    <col width="1.5703125" customWidth="1" style="1" min="8248" max="8248"/>
    <col width="0.7109375" customWidth="1" style="1" min="8249" max="8253"/>
    <col width="2.140625" customWidth="1" style="1" min="8254" max="8254"/>
    <col width="0.7109375" customWidth="1" style="1" min="8255" max="8255"/>
    <col width="1.5703125" customWidth="1" style="1" min="8256" max="8256"/>
    <col width="0.7109375" customWidth="1" style="1" min="8257" max="8257"/>
    <col width="7" bestFit="1" customWidth="1" style="1" min="8258" max="8258"/>
    <col width="0.7109375" customWidth="1" style="1" min="8259" max="8259"/>
    <col width="4" customWidth="1" style="1" min="8260" max="8260"/>
    <col width="0.7109375" customWidth="1" style="1" min="8261" max="8261"/>
    <col width="1.5703125" customWidth="1" style="1" min="8262" max="8262"/>
    <col width="0.7109375" customWidth="1" style="1" min="8263" max="8263"/>
    <col width="7" bestFit="1" customWidth="1" style="1" min="8264" max="8264"/>
    <col width="0.7109375" customWidth="1" style="1" min="8265" max="8267"/>
    <col width="2.42578125" customWidth="1" style="1" min="8268" max="8268"/>
    <col width="0.7109375" customWidth="1" style="1" min="8269" max="8274"/>
    <col width="16.5703125" customWidth="1" style="1" min="8275" max="8275"/>
    <col width="0.7109375" customWidth="1" style="1" min="8276" max="8278"/>
    <col width="9.85546875" bestFit="1" customWidth="1" style="1" min="8279" max="8279"/>
    <col width="9.28515625" customWidth="1" style="1" min="8280" max="8282"/>
    <col width="0.7109375" customWidth="1" style="1" min="8283" max="8495"/>
    <col width="3.42578125" customWidth="1" style="1" min="8496" max="8496"/>
    <col width="2.42578125" customWidth="1" style="1" min="8497" max="8497"/>
    <col width="7" customWidth="1" style="1" min="8498" max="8498"/>
    <col width="0.7109375" customWidth="1" style="1" min="8499" max="8499"/>
    <col width="1.5703125" customWidth="1" style="1" min="8500" max="8500"/>
    <col width="0.7109375" customWidth="1" style="1" min="8501" max="8501"/>
    <col width="11.28515625" customWidth="1" style="1" min="8502" max="8502"/>
    <col width="0.7109375" customWidth="1" style="1" min="8503" max="8503"/>
    <col width="1.5703125" customWidth="1" style="1" min="8504" max="8504"/>
    <col width="0.7109375" customWidth="1" style="1" min="8505" max="8509"/>
    <col width="2.140625" customWidth="1" style="1" min="8510" max="8510"/>
    <col width="0.7109375" customWidth="1" style="1" min="8511" max="8511"/>
    <col width="1.5703125" customWidth="1" style="1" min="8512" max="8512"/>
    <col width="0.7109375" customWidth="1" style="1" min="8513" max="8513"/>
    <col width="7" bestFit="1" customWidth="1" style="1" min="8514" max="8514"/>
    <col width="0.7109375" customWidth="1" style="1" min="8515" max="8515"/>
    <col width="4" customWidth="1" style="1" min="8516" max="8516"/>
    <col width="0.7109375" customWidth="1" style="1" min="8517" max="8517"/>
    <col width="1.5703125" customWidth="1" style="1" min="8518" max="8518"/>
    <col width="0.7109375" customWidth="1" style="1" min="8519" max="8519"/>
    <col width="7" bestFit="1" customWidth="1" style="1" min="8520" max="8520"/>
    <col width="0.7109375" customWidth="1" style="1" min="8521" max="8523"/>
    <col width="2.42578125" customWidth="1" style="1" min="8524" max="8524"/>
    <col width="0.7109375" customWidth="1" style="1" min="8525" max="8530"/>
    <col width="16.5703125" customWidth="1" style="1" min="8531" max="8531"/>
    <col width="0.7109375" customWidth="1" style="1" min="8532" max="8534"/>
    <col width="9.85546875" bestFit="1" customWidth="1" style="1" min="8535" max="8535"/>
    <col width="9.28515625" customWidth="1" style="1" min="8536" max="8538"/>
    <col width="0.7109375" customWidth="1" style="1" min="8539" max="8751"/>
    <col width="3.42578125" customWidth="1" style="1" min="8752" max="8752"/>
    <col width="2.42578125" customWidth="1" style="1" min="8753" max="8753"/>
    <col width="7" customWidth="1" style="1" min="8754" max="8754"/>
    <col width="0.7109375" customWidth="1" style="1" min="8755" max="8755"/>
    <col width="1.5703125" customWidth="1" style="1" min="8756" max="8756"/>
    <col width="0.7109375" customWidth="1" style="1" min="8757" max="8757"/>
    <col width="11.28515625" customWidth="1" style="1" min="8758" max="8758"/>
    <col width="0.7109375" customWidth="1" style="1" min="8759" max="8759"/>
    <col width="1.5703125" customWidth="1" style="1" min="8760" max="8760"/>
    <col width="0.7109375" customWidth="1" style="1" min="8761" max="8765"/>
    <col width="2.140625" customWidth="1" style="1" min="8766" max="8766"/>
    <col width="0.7109375" customWidth="1" style="1" min="8767" max="8767"/>
    <col width="1.5703125" customWidth="1" style="1" min="8768" max="8768"/>
    <col width="0.7109375" customWidth="1" style="1" min="8769" max="8769"/>
    <col width="7" bestFit="1" customWidth="1" style="1" min="8770" max="8770"/>
    <col width="0.7109375" customWidth="1" style="1" min="8771" max="8771"/>
    <col width="4" customWidth="1" style="1" min="8772" max="8772"/>
    <col width="0.7109375" customWidth="1" style="1" min="8773" max="8773"/>
    <col width="1.5703125" customWidth="1" style="1" min="8774" max="8774"/>
    <col width="0.7109375" customWidth="1" style="1" min="8775" max="8775"/>
    <col width="7" bestFit="1" customWidth="1" style="1" min="8776" max="8776"/>
    <col width="0.7109375" customWidth="1" style="1" min="8777" max="8779"/>
    <col width="2.42578125" customWidth="1" style="1" min="8780" max="8780"/>
    <col width="0.7109375" customWidth="1" style="1" min="8781" max="8786"/>
    <col width="16.5703125" customWidth="1" style="1" min="8787" max="8787"/>
    <col width="0.7109375" customWidth="1" style="1" min="8788" max="8790"/>
    <col width="9.85546875" bestFit="1" customWidth="1" style="1" min="8791" max="8791"/>
    <col width="9.28515625" customWidth="1" style="1" min="8792" max="8794"/>
    <col width="0.7109375" customWidth="1" style="1" min="8795" max="9007"/>
    <col width="3.42578125" customWidth="1" style="1" min="9008" max="9008"/>
    <col width="2.42578125" customWidth="1" style="1" min="9009" max="9009"/>
    <col width="7" customWidth="1" style="1" min="9010" max="9010"/>
    <col width="0.7109375" customWidth="1" style="1" min="9011" max="9011"/>
    <col width="1.5703125" customWidth="1" style="1" min="9012" max="9012"/>
    <col width="0.7109375" customWidth="1" style="1" min="9013" max="9013"/>
    <col width="11.28515625" customWidth="1" style="1" min="9014" max="9014"/>
    <col width="0.7109375" customWidth="1" style="1" min="9015" max="9015"/>
    <col width="1.5703125" customWidth="1" style="1" min="9016" max="9016"/>
    <col width="0.7109375" customWidth="1" style="1" min="9017" max="9021"/>
    <col width="2.140625" customWidth="1" style="1" min="9022" max="9022"/>
    <col width="0.7109375" customWidth="1" style="1" min="9023" max="9023"/>
    <col width="1.5703125" customWidth="1" style="1" min="9024" max="9024"/>
    <col width="0.7109375" customWidth="1" style="1" min="9025" max="9025"/>
    <col width="7" bestFit="1" customWidth="1" style="1" min="9026" max="9026"/>
    <col width="0.7109375" customWidth="1" style="1" min="9027" max="9027"/>
    <col width="4" customWidth="1" style="1" min="9028" max="9028"/>
    <col width="0.7109375" customWidth="1" style="1" min="9029" max="9029"/>
    <col width="1.5703125" customWidth="1" style="1" min="9030" max="9030"/>
    <col width="0.7109375" customWidth="1" style="1" min="9031" max="9031"/>
    <col width="7" bestFit="1" customWidth="1" style="1" min="9032" max="9032"/>
    <col width="0.7109375" customWidth="1" style="1" min="9033" max="9035"/>
    <col width="2.42578125" customWidth="1" style="1" min="9036" max="9036"/>
    <col width="0.7109375" customWidth="1" style="1" min="9037" max="9042"/>
    <col width="16.5703125" customWidth="1" style="1" min="9043" max="9043"/>
    <col width="0.7109375" customWidth="1" style="1" min="9044" max="9046"/>
    <col width="9.85546875" bestFit="1" customWidth="1" style="1" min="9047" max="9047"/>
    <col width="9.28515625" customWidth="1" style="1" min="9048" max="9050"/>
    <col width="0.7109375" customWidth="1" style="1" min="9051" max="9263"/>
    <col width="3.42578125" customWidth="1" style="1" min="9264" max="9264"/>
    <col width="2.42578125" customWidth="1" style="1" min="9265" max="9265"/>
    <col width="7" customWidth="1" style="1" min="9266" max="9266"/>
    <col width="0.7109375" customWidth="1" style="1" min="9267" max="9267"/>
    <col width="1.5703125" customWidth="1" style="1" min="9268" max="9268"/>
    <col width="0.7109375" customWidth="1" style="1" min="9269" max="9269"/>
    <col width="11.28515625" customWidth="1" style="1" min="9270" max="9270"/>
    <col width="0.7109375" customWidth="1" style="1" min="9271" max="9271"/>
    <col width="1.5703125" customWidth="1" style="1" min="9272" max="9272"/>
    <col width="0.7109375" customWidth="1" style="1" min="9273" max="9277"/>
    <col width="2.140625" customWidth="1" style="1" min="9278" max="9278"/>
    <col width="0.7109375" customWidth="1" style="1" min="9279" max="9279"/>
    <col width="1.5703125" customWidth="1" style="1" min="9280" max="9280"/>
    <col width="0.7109375" customWidth="1" style="1" min="9281" max="9281"/>
    <col width="7" bestFit="1" customWidth="1" style="1" min="9282" max="9282"/>
    <col width="0.7109375" customWidth="1" style="1" min="9283" max="9283"/>
    <col width="4" customWidth="1" style="1" min="9284" max="9284"/>
    <col width="0.7109375" customWidth="1" style="1" min="9285" max="9285"/>
    <col width="1.5703125" customWidth="1" style="1" min="9286" max="9286"/>
    <col width="0.7109375" customWidth="1" style="1" min="9287" max="9287"/>
    <col width="7" bestFit="1" customWidth="1" style="1" min="9288" max="9288"/>
    <col width="0.7109375" customWidth="1" style="1" min="9289" max="9291"/>
    <col width="2.42578125" customWidth="1" style="1" min="9292" max="9292"/>
    <col width="0.7109375" customWidth="1" style="1" min="9293" max="9298"/>
    <col width="16.5703125" customWidth="1" style="1" min="9299" max="9299"/>
    <col width="0.7109375" customWidth="1" style="1" min="9300" max="9302"/>
    <col width="9.85546875" bestFit="1" customWidth="1" style="1" min="9303" max="9303"/>
    <col width="9.28515625" customWidth="1" style="1" min="9304" max="9306"/>
    <col width="0.7109375" customWidth="1" style="1" min="9307" max="9519"/>
    <col width="3.42578125" customWidth="1" style="1" min="9520" max="9520"/>
    <col width="2.42578125" customWidth="1" style="1" min="9521" max="9521"/>
    <col width="7" customWidth="1" style="1" min="9522" max="9522"/>
    <col width="0.7109375" customWidth="1" style="1" min="9523" max="9523"/>
    <col width="1.5703125" customWidth="1" style="1" min="9524" max="9524"/>
    <col width="0.7109375" customWidth="1" style="1" min="9525" max="9525"/>
    <col width="11.28515625" customWidth="1" style="1" min="9526" max="9526"/>
    <col width="0.7109375" customWidth="1" style="1" min="9527" max="9527"/>
    <col width="1.5703125" customWidth="1" style="1" min="9528" max="9528"/>
    <col width="0.7109375" customWidth="1" style="1" min="9529" max="9533"/>
    <col width="2.140625" customWidth="1" style="1" min="9534" max="9534"/>
    <col width="0.7109375" customWidth="1" style="1" min="9535" max="9535"/>
    <col width="1.5703125" customWidth="1" style="1" min="9536" max="9536"/>
    <col width="0.7109375" customWidth="1" style="1" min="9537" max="9537"/>
    <col width="7" bestFit="1" customWidth="1" style="1" min="9538" max="9538"/>
    <col width="0.7109375" customWidth="1" style="1" min="9539" max="9539"/>
    <col width="4" customWidth="1" style="1" min="9540" max="9540"/>
    <col width="0.7109375" customWidth="1" style="1" min="9541" max="9541"/>
    <col width="1.5703125" customWidth="1" style="1" min="9542" max="9542"/>
    <col width="0.7109375" customWidth="1" style="1" min="9543" max="9543"/>
    <col width="7" bestFit="1" customWidth="1" style="1" min="9544" max="9544"/>
    <col width="0.7109375" customWidth="1" style="1" min="9545" max="9547"/>
    <col width="2.42578125" customWidth="1" style="1" min="9548" max="9548"/>
    <col width="0.7109375" customWidth="1" style="1" min="9549" max="9554"/>
    <col width="16.5703125" customWidth="1" style="1" min="9555" max="9555"/>
    <col width="0.7109375" customWidth="1" style="1" min="9556" max="9558"/>
    <col width="9.85546875" bestFit="1" customWidth="1" style="1" min="9559" max="9559"/>
    <col width="9.28515625" customWidth="1" style="1" min="9560" max="9562"/>
    <col width="0.7109375" customWidth="1" style="1" min="9563" max="9775"/>
    <col width="3.42578125" customWidth="1" style="1" min="9776" max="9776"/>
    <col width="2.42578125" customWidth="1" style="1" min="9777" max="9777"/>
    <col width="7" customWidth="1" style="1" min="9778" max="9778"/>
    <col width="0.7109375" customWidth="1" style="1" min="9779" max="9779"/>
    <col width="1.5703125" customWidth="1" style="1" min="9780" max="9780"/>
    <col width="0.7109375" customWidth="1" style="1" min="9781" max="9781"/>
    <col width="11.28515625" customWidth="1" style="1" min="9782" max="9782"/>
    <col width="0.7109375" customWidth="1" style="1" min="9783" max="9783"/>
    <col width="1.5703125" customWidth="1" style="1" min="9784" max="9784"/>
    <col width="0.7109375" customWidth="1" style="1" min="9785" max="9789"/>
    <col width="2.140625" customWidth="1" style="1" min="9790" max="9790"/>
    <col width="0.7109375" customWidth="1" style="1" min="9791" max="9791"/>
    <col width="1.5703125" customWidth="1" style="1" min="9792" max="9792"/>
    <col width="0.7109375" customWidth="1" style="1" min="9793" max="9793"/>
    <col width="7" bestFit="1" customWidth="1" style="1" min="9794" max="9794"/>
    <col width="0.7109375" customWidth="1" style="1" min="9795" max="9795"/>
    <col width="4" customWidth="1" style="1" min="9796" max="9796"/>
    <col width="0.7109375" customWidth="1" style="1" min="9797" max="9797"/>
    <col width="1.5703125" customWidth="1" style="1" min="9798" max="9798"/>
    <col width="0.7109375" customWidth="1" style="1" min="9799" max="9799"/>
    <col width="7" bestFit="1" customWidth="1" style="1" min="9800" max="9800"/>
    <col width="0.7109375" customWidth="1" style="1" min="9801" max="9803"/>
    <col width="2.42578125" customWidth="1" style="1" min="9804" max="9804"/>
    <col width="0.7109375" customWidth="1" style="1" min="9805" max="9810"/>
    <col width="16.5703125" customWidth="1" style="1" min="9811" max="9811"/>
    <col width="0.7109375" customWidth="1" style="1" min="9812" max="9814"/>
    <col width="9.85546875" bestFit="1" customWidth="1" style="1" min="9815" max="9815"/>
    <col width="9.28515625" customWidth="1" style="1" min="9816" max="9818"/>
    <col width="0.7109375" customWidth="1" style="1" min="9819" max="10031"/>
    <col width="3.42578125" customWidth="1" style="1" min="10032" max="10032"/>
    <col width="2.42578125" customWidth="1" style="1" min="10033" max="10033"/>
    <col width="7" customWidth="1" style="1" min="10034" max="10034"/>
    <col width="0.7109375" customWidth="1" style="1" min="10035" max="10035"/>
    <col width="1.5703125" customWidth="1" style="1" min="10036" max="10036"/>
    <col width="0.7109375" customWidth="1" style="1" min="10037" max="10037"/>
    <col width="11.28515625" customWidth="1" style="1" min="10038" max="10038"/>
    <col width="0.7109375" customWidth="1" style="1" min="10039" max="10039"/>
    <col width="1.5703125" customWidth="1" style="1" min="10040" max="10040"/>
    <col width="0.7109375" customWidth="1" style="1" min="10041" max="10045"/>
    <col width="2.140625" customWidth="1" style="1" min="10046" max="10046"/>
    <col width="0.7109375" customWidth="1" style="1" min="10047" max="10047"/>
    <col width="1.5703125" customWidth="1" style="1" min="10048" max="10048"/>
    <col width="0.7109375" customWidth="1" style="1" min="10049" max="10049"/>
    <col width="7" bestFit="1" customWidth="1" style="1" min="10050" max="10050"/>
    <col width="0.7109375" customWidth="1" style="1" min="10051" max="10051"/>
    <col width="4" customWidth="1" style="1" min="10052" max="10052"/>
    <col width="0.7109375" customWidth="1" style="1" min="10053" max="10053"/>
    <col width="1.5703125" customWidth="1" style="1" min="10054" max="10054"/>
    <col width="0.7109375" customWidth="1" style="1" min="10055" max="10055"/>
    <col width="7" bestFit="1" customWidth="1" style="1" min="10056" max="10056"/>
    <col width="0.7109375" customWidth="1" style="1" min="10057" max="10059"/>
    <col width="2.42578125" customWidth="1" style="1" min="10060" max="10060"/>
    <col width="0.7109375" customWidth="1" style="1" min="10061" max="10066"/>
    <col width="16.5703125" customWidth="1" style="1" min="10067" max="10067"/>
    <col width="0.7109375" customWidth="1" style="1" min="10068" max="10070"/>
    <col width="9.85546875" bestFit="1" customWidth="1" style="1" min="10071" max="10071"/>
    <col width="9.28515625" customWidth="1" style="1" min="10072" max="10074"/>
    <col width="0.7109375" customWidth="1" style="1" min="10075" max="10287"/>
    <col width="3.42578125" customWidth="1" style="1" min="10288" max="10288"/>
    <col width="2.42578125" customWidth="1" style="1" min="10289" max="10289"/>
    <col width="7" customWidth="1" style="1" min="10290" max="10290"/>
    <col width="0.7109375" customWidth="1" style="1" min="10291" max="10291"/>
    <col width="1.5703125" customWidth="1" style="1" min="10292" max="10292"/>
    <col width="0.7109375" customWidth="1" style="1" min="10293" max="10293"/>
    <col width="11.28515625" customWidth="1" style="1" min="10294" max="10294"/>
    <col width="0.7109375" customWidth="1" style="1" min="10295" max="10295"/>
    <col width="1.5703125" customWidth="1" style="1" min="10296" max="10296"/>
    <col width="0.7109375" customWidth="1" style="1" min="10297" max="10301"/>
    <col width="2.140625" customWidth="1" style="1" min="10302" max="10302"/>
    <col width="0.7109375" customWidth="1" style="1" min="10303" max="10303"/>
    <col width="1.5703125" customWidth="1" style="1" min="10304" max="10304"/>
    <col width="0.7109375" customWidth="1" style="1" min="10305" max="10305"/>
    <col width="7" bestFit="1" customWidth="1" style="1" min="10306" max="10306"/>
    <col width="0.7109375" customWidth="1" style="1" min="10307" max="10307"/>
    <col width="4" customWidth="1" style="1" min="10308" max="10308"/>
    <col width="0.7109375" customWidth="1" style="1" min="10309" max="10309"/>
    <col width="1.5703125" customWidth="1" style="1" min="10310" max="10310"/>
    <col width="0.7109375" customWidth="1" style="1" min="10311" max="10311"/>
    <col width="7" bestFit="1" customWidth="1" style="1" min="10312" max="10312"/>
    <col width="0.7109375" customWidth="1" style="1" min="10313" max="10315"/>
    <col width="2.42578125" customWidth="1" style="1" min="10316" max="10316"/>
    <col width="0.7109375" customWidth="1" style="1" min="10317" max="10322"/>
    <col width="16.5703125" customWidth="1" style="1" min="10323" max="10323"/>
    <col width="0.7109375" customWidth="1" style="1" min="10324" max="10326"/>
    <col width="9.85546875" bestFit="1" customWidth="1" style="1" min="10327" max="10327"/>
    <col width="9.28515625" customWidth="1" style="1" min="10328" max="10330"/>
    <col width="0.7109375" customWidth="1" style="1" min="10331" max="10543"/>
    <col width="3.42578125" customWidth="1" style="1" min="10544" max="10544"/>
    <col width="2.42578125" customWidth="1" style="1" min="10545" max="10545"/>
    <col width="7" customWidth="1" style="1" min="10546" max="10546"/>
    <col width="0.7109375" customWidth="1" style="1" min="10547" max="10547"/>
    <col width="1.5703125" customWidth="1" style="1" min="10548" max="10548"/>
    <col width="0.7109375" customWidth="1" style="1" min="10549" max="10549"/>
    <col width="11.28515625" customWidth="1" style="1" min="10550" max="10550"/>
    <col width="0.7109375" customWidth="1" style="1" min="10551" max="10551"/>
    <col width="1.5703125" customWidth="1" style="1" min="10552" max="10552"/>
    <col width="0.7109375" customWidth="1" style="1" min="10553" max="10557"/>
    <col width="2.140625" customWidth="1" style="1" min="10558" max="10558"/>
    <col width="0.7109375" customWidth="1" style="1" min="10559" max="10559"/>
    <col width="1.5703125" customWidth="1" style="1" min="10560" max="10560"/>
    <col width="0.7109375" customWidth="1" style="1" min="10561" max="10561"/>
    <col width="7" bestFit="1" customWidth="1" style="1" min="10562" max="10562"/>
    <col width="0.7109375" customWidth="1" style="1" min="10563" max="10563"/>
    <col width="4" customWidth="1" style="1" min="10564" max="10564"/>
    <col width="0.7109375" customWidth="1" style="1" min="10565" max="10565"/>
    <col width="1.5703125" customWidth="1" style="1" min="10566" max="10566"/>
    <col width="0.7109375" customWidth="1" style="1" min="10567" max="10567"/>
    <col width="7" bestFit="1" customWidth="1" style="1" min="10568" max="10568"/>
    <col width="0.7109375" customWidth="1" style="1" min="10569" max="10571"/>
    <col width="2.42578125" customWidth="1" style="1" min="10572" max="10572"/>
    <col width="0.7109375" customWidth="1" style="1" min="10573" max="10578"/>
    <col width="16.5703125" customWidth="1" style="1" min="10579" max="10579"/>
    <col width="0.7109375" customWidth="1" style="1" min="10580" max="10582"/>
    <col width="9.85546875" bestFit="1" customWidth="1" style="1" min="10583" max="10583"/>
    <col width="9.28515625" customWidth="1" style="1" min="10584" max="10586"/>
    <col width="0.7109375" customWidth="1" style="1" min="10587" max="10799"/>
    <col width="3.42578125" customWidth="1" style="1" min="10800" max="10800"/>
    <col width="2.42578125" customWidth="1" style="1" min="10801" max="10801"/>
    <col width="7" customWidth="1" style="1" min="10802" max="10802"/>
    <col width="0.7109375" customWidth="1" style="1" min="10803" max="10803"/>
    <col width="1.5703125" customWidth="1" style="1" min="10804" max="10804"/>
    <col width="0.7109375" customWidth="1" style="1" min="10805" max="10805"/>
    <col width="11.28515625" customWidth="1" style="1" min="10806" max="10806"/>
    <col width="0.7109375" customWidth="1" style="1" min="10807" max="10807"/>
    <col width="1.5703125" customWidth="1" style="1" min="10808" max="10808"/>
    <col width="0.7109375" customWidth="1" style="1" min="10809" max="10813"/>
    <col width="2.140625" customWidth="1" style="1" min="10814" max="10814"/>
    <col width="0.7109375" customWidth="1" style="1" min="10815" max="10815"/>
    <col width="1.5703125" customWidth="1" style="1" min="10816" max="10816"/>
    <col width="0.7109375" customWidth="1" style="1" min="10817" max="10817"/>
    <col width="7" bestFit="1" customWidth="1" style="1" min="10818" max="10818"/>
    <col width="0.7109375" customWidth="1" style="1" min="10819" max="10819"/>
    <col width="4" customWidth="1" style="1" min="10820" max="10820"/>
    <col width="0.7109375" customWidth="1" style="1" min="10821" max="10821"/>
    <col width="1.5703125" customWidth="1" style="1" min="10822" max="10822"/>
    <col width="0.7109375" customWidth="1" style="1" min="10823" max="10823"/>
    <col width="7" bestFit="1" customWidth="1" style="1" min="10824" max="10824"/>
    <col width="0.7109375" customWidth="1" style="1" min="10825" max="10827"/>
    <col width="2.42578125" customWidth="1" style="1" min="10828" max="10828"/>
    <col width="0.7109375" customWidth="1" style="1" min="10829" max="10834"/>
    <col width="16.5703125" customWidth="1" style="1" min="10835" max="10835"/>
    <col width="0.7109375" customWidth="1" style="1" min="10836" max="10838"/>
    <col width="9.85546875" bestFit="1" customWidth="1" style="1" min="10839" max="10839"/>
    <col width="9.28515625" customWidth="1" style="1" min="10840" max="10842"/>
    <col width="0.7109375" customWidth="1" style="1" min="10843" max="11055"/>
    <col width="3.42578125" customWidth="1" style="1" min="11056" max="11056"/>
    <col width="2.42578125" customWidth="1" style="1" min="11057" max="11057"/>
    <col width="7" customWidth="1" style="1" min="11058" max="11058"/>
    <col width="0.7109375" customWidth="1" style="1" min="11059" max="11059"/>
    <col width="1.5703125" customWidth="1" style="1" min="11060" max="11060"/>
    <col width="0.7109375" customWidth="1" style="1" min="11061" max="11061"/>
    <col width="11.28515625" customWidth="1" style="1" min="11062" max="11062"/>
    <col width="0.7109375" customWidth="1" style="1" min="11063" max="11063"/>
    <col width="1.5703125" customWidth="1" style="1" min="11064" max="11064"/>
    <col width="0.7109375" customWidth="1" style="1" min="11065" max="11069"/>
    <col width="2.140625" customWidth="1" style="1" min="11070" max="11070"/>
    <col width="0.7109375" customWidth="1" style="1" min="11071" max="11071"/>
    <col width="1.5703125" customWidth="1" style="1" min="11072" max="11072"/>
    <col width="0.7109375" customWidth="1" style="1" min="11073" max="11073"/>
    <col width="7" bestFit="1" customWidth="1" style="1" min="11074" max="11074"/>
    <col width="0.7109375" customWidth="1" style="1" min="11075" max="11075"/>
    <col width="4" customWidth="1" style="1" min="11076" max="11076"/>
    <col width="0.7109375" customWidth="1" style="1" min="11077" max="11077"/>
    <col width="1.5703125" customWidth="1" style="1" min="11078" max="11078"/>
    <col width="0.7109375" customWidth="1" style="1" min="11079" max="11079"/>
    <col width="7" bestFit="1" customWidth="1" style="1" min="11080" max="11080"/>
    <col width="0.7109375" customWidth="1" style="1" min="11081" max="11083"/>
    <col width="2.42578125" customWidth="1" style="1" min="11084" max="11084"/>
    <col width="0.7109375" customWidth="1" style="1" min="11085" max="11090"/>
    <col width="16.5703125" customWidth="1" style="1" min="11091" max="11091"/>
    <col width="0.7109375" customWidth="1" style="1" min="11092" max="11094"/>
    <col width="9.85546875" bestFit="1" customWidth="1" style="1" min="11095" max="11095"/>
    <col width="9.28515625" customWidth="1" style="1" min="11096" max="11098"/>
    <col width="0.7109375" customWidth="1" style="1" min="11099" max="11311"/>
    <col width="3.42578125" customWidth="1" style="1" min="11312" max="11312"/>
    <col width="2.42578125" customWidth="1" style="1" min="11313" max="11313"/>
    <col width="7" customWidth="1" style="1" min="11314" max="11314"/>
    <col width="0.7109375" customWidth="1" style="1" min="11315" max="11315"/>
    <col width="1.5703125" customWidth="1" style="1" min="11316" max="11316"/>
    <col width="0.7109375" customWidth="1" style="1" min="11317" max="11317"/>
    <col width="11.28515625" customWidth="1" style="1" min="11318" max="11318"/>
    <col width="0.7109375" customWidth="1" style="1" min="11319" max="11319"/>
    <col width="1.5703125" customWidth="1" style="1" min="11320" max="11320"/>
    <col width="0.7109375" customWidth="1" style="1" min="11321" max="11325"/>
    <col width="2.140625" customWidth="1" style="1" min="11326" max="11326"/>
    <col width="0.7109375" customWidth="1" style="1" min="11327" max="11327"/>
    <col width="1.5703125" customWidth="1" style="1" min="11328" max="11328"/>
    <col width="0.7109375" customWidth="1" style="1" min="11329" max="11329"/>
    <col width="7" bestFit="1" customWidth="1" style="1" min="11330" max="11330"/>
    <col width="0.7109375" customWidth="1" style="1" min="11331" max="11331"/>
    <col width="4" customWidth="1" style="1" min="11332" max="11332"/>
    <col width="0.7109375" customWidth="1" style="1" min="11333" max="11333"/>
    <col width="1.5703125" customWidth="1" style="1" min="11334" max="11334"/>
    <col width="0.7109375" customWidth="1" style="1" min="11335" max="11335"/>
    <col width="7" bestFit="1" customWidth="1" style="1" min="11336" max="11336"/>
    <col width="0.7109375" customWidth="1" style="1" min="11337" max="11339"/>
    <col width="2.42578125" customWidth="1" style="1" min="11340" max="11340"/>
    <col width="0.7109375" customWidth="1" style="1" min="11341" max="11346"/>
    <col width="16.5703125" customWidth="1" style="1" min="11347" max="11347"/>
    <col width="0.7109375" customWidth="1" style="1" min="11348" max="11350"/>
    <col width="9.85546875" bestFit="1" customWidth="1" style="1" min="11351" max="11351"/>
    <col width="9.28515625" customWidth="1" style="1" min="11352" max="11354"/>
    <col width="0.7109375" customWidth="1" style="1" min="11355" max="11567"/>
    <col width="3.42578125" customWidth="1" style="1" min="11568" max="11568"/>
    <col width="2.42578125" customWidth="1" style="1" min="11569" max="11569"/>
    <col width="7" customWidth="1" style="1" min="11570" max="11570"/>
    <col width="0.7109375" customWidth="1" style="1" min="11571" max="11571"/>
    <col width="1.5703125" customWidth="1" style="1" min="11572" max="11572"/>
    <col width="0.7109375" customWidth="1" style="1" min="11573" max="11573"/>
    <col width="11.28515625" customWidth="1" style="1" min="11574" max="11574"/>
    <col width="0.7109375" customWidth="1" style="1" min="11575" max="11575"/>
    <col width="1.5703125" customWidth="1" style="1" min="11576" max="11576"/>
    <col width="0.7109375" customWidth="1" style="1" min="11577" max="11581"/>
    <col width="2.140625" customWidth="1" style="1" min="11582" max="11582"/>
    <col width="0.7109375" customWidth="1" style="1" min="11583" max="11583"/>
    <col width="1.5703125" customWidth="1" style="1" min="11584" max="11584"/>
    <col width="0.7109375" customWidth="1" style="1" min="11585" max="11585"/>
    <col width="7" bestFit="1" customWidth="1" style="1" min="11586" max="11586"/>
    <col width="0.7109375" customWidth="1" style="1" min="11587" max="11587"/>
    <col width="4" customWidth="1" style="1" min="11588" max="11588"/>
    <col width="0.7109375" customWidth="1" style="1" min="11589" max="11589"/>
    <col width="1.5703125" customWidth="1" style="1" min="11590" max="11590"/>
    <col width="0.7109375" customWidth="1" style="1" min="11591" max="11591"/>
    <col width="7" bestFit="1" customWidth="1" style="1" min="11592" max="11592"/>
    <col width="0.7109375" customWidth="1" style="1" min="11593" max="11595"/>
    <col width="2.42578125" customWidth="1" style="1" min="11596" max="11596"/>
    <col width="0.7109375" customWidth="1" style="1" min="11597" max="11602"/>
    <col width="16.5703125" customWidth="1" style="1" min="11603" max="11603"/>
    <col width="0.7109375" customWidth="1" style="1" min="11604" max="11606"/>
    <col width="9.85546875" bestFit="1" customWidth="1" style="1" min="11607" max="11607"/>
    <col width="9.28515625" customWidth="1" style="1" min="11608" max="11610"/>
    <col width="0.7109375" customWidth="1" style="1" min="11611" max="11823"/>
    <col width="3.42578125" customWidth="1" style="1" min="11824" max="11824"/>
    <col width="2.42578125" customWidth="1" style="1" min="11825" max="11825"/>
    <col width="7" customWidth="1" style="1" min="11826" max="11826"/>
    <col width="0.7109375" customWidth="1" style="1" min="11827" max="11827"/>
    <col width="1.5703125" customWidth="1" style="1" min="11828" max="11828"/>
    <col width="0.7109375" customWidth="1" style="1" min="11829" max="11829"/>
    <col width="11.28515625" customWidth="1" style="1" min="11830" max="11830"/>
    <col width="0.7109375" customWidth="1" style="1" min="11831" max="11831"/>
    <col width="1.5703125" customWidth="1" style="1" min="11832" max="11832"/>
    <col width="0.7109375" customWidth="1" style="1" min="11833" max="11837"/>
    <col width="2.140625" customWidth="1" style="1" min="11838" max="11838"/>
    <col width="0.7109375" customWidth="1" style="1" min="11839" max="11839"/>
    <col width="1.5703125" customWidth="1" style="1" min="11840" max="11840"/>
    <col width="0.7109375" customWidth="1" style="1" min="11841" max="11841"/>
    <col width="7" bestFit="1" customWidth="1" style="1" min="11842" max="11842"/>
    <col width="0.7109375" customWidth="1" style="1" min="11843" max="11843"/>
    <col width="4" customWidth="1" style="1" min="11844" max="11844"/>
    <col width="0.7109375" customWidth="1" style="1" min="11845" max="11845"/>
    <col width="1.5703125" customWidth="1" style="1" min="11846" max="11846"/>
    <col width="0.7109375" customWidth="1" style="1" min="11847" max="11847"/>
    <col width="7" bestFit="1" customWidth="1" style="1" min="11848" max="11848"/>
    <col width="0.7109375" customWidth="1" style="1" min="11849" max="11851"/>
    <col width="2.42578125" customWidth="1" style="1" min="11852" max="11852"/>
    <col width="0.7109375" customWidth="1" style="1" min="11853" max="11858"/>
    <col width="16.5703125" customWidth="1" style="1" min="11859" max="11859"/>
    <col width="0.7109375" customWidth="1" style="1" min="11860" max="11862"/>
    <col width="9.85546875" bestFit="1" customWidth="1" style="1" min="11863" max="11863"/>
    <col width="9.28515625" customWidth="1" style="1" min="11864" max="11866"/>
    <col width="0.7109375" customWidth="1" style="1" min="11867" max="12079"/>
    <col width="3.42578125" customWidth="1" style="1" min="12080" max="12080"/>
    <col width="2.42578125" customWidth="1" style="1" min="12081" max="12081"/>
    <col width="7" customWidth="1" style="1" min="12082" max="12082"/>
    <col width="0.7109375" customWidth="1" style="1" min="12083" max="12083"/>
    <col width="1.5703125" customWidth="1" style="1" min="12084" max="12084"/>
    <col width="0.7109375" customWidth="1" style="1" min="12085" max="12085"/>
    <col width="11.28515625" customWidth="1" style="1" min="12086" max="12086"/>
    <col width="0.7109375" customWidth="1" style="1" min="12087" max="12087"/>
    <col width="1.5703125" customWidth="1" style="1" min="12088" max="12088"/>
    <col width="0.7109375" customWidth="1" style="1" min="12089" max="12093"/>
    <col width="2.140625" customWidth="1" style="1" min="12094" max="12094"/>
    <col width="0.7109375" customWidth="1" style="1" min="12095" max="12095"/>
    <col width="1.5703125" customWidth="1" style="1" min="12096" max="12096"/>
    <col width="0.7109375" customWidth="1" style="1" min="12097" max="12097"/>
    <col width="7" bestFit="1" customWidth="1" style="1" min="12098" max="12098"/>
    <col width="0.7109375" customWidth="1" style="1" min="12099" max="12099"/>
    <col width="4" customWidth="1" style="1" min="12100" max="12100"/>
    <col width="0.7109375" customWidth="1" style="1" min="12101" max="12101"/>
    <col width="1.5703125" customWidth="1" style="1" min="12102" max="12102"/>
    <col width="0.7109375" customWidth="1" style="1" min="12103" max="12103"/>
    <col width="7" bestFit="1" customWidth="1" style="1" min="12104" max="12104"/>
    <col width="0.7109375" customWidth="1" style="1" min="12105" max="12107"/>
    <col width="2.42578125" customWidth="1" style="1" min="12108" max="12108"/>
    <col width="0.7109375" customWidth="1" style="1" min="12109" max="12114"/>
    <col width="16.5703125" customWidth="1" style="1" min="12115" max="12115"/>
    <col width="0.7109375" customWidth="1" style="1" min="12116" max="12118"/>
    <col width="9.85546875" bestFit="1" customWidth="1" style="1" min="12119" max="12119"/>
    <col width="9.28515625" customWidth="1" style="1" min="12120" max="12122"/>
    <col width="0.7109375" customWidth="1" style="1" min="12123" max="12335"/>
    <col width="3.42578125" customWidth="1" style="1" min="12336" max="12336"/>
    <col width="2.42578125" customWidth="1" style="1" min="12337" max="12337"/>
    <col width="7" customWidth="1" style="1" min="12338" max="12338"/>
    <col width="0.7109375" customWidth="1" style="1" min="12339" max="12339"/>
    <col width="1.5703125" customWidth="1" style="1" min="12340" max="12340"/>
    <col width="0.7109375" customWidth="1" style="1" min="12341" max="12341"/>
    <col width="11.28515625" customWidth="1" style="1" min="12342" max="12342"/>
    <col width="0.7109375" customWidth="1" style="1" min="12343" max="12343"/>
    <col width="1.5703125" customWidth="1" style="1" min="12344" max="12344"/>
    <col width="0.7109375" customWidth="1" style="1" min="12345" max="12349"/>
    <col width="2.140625" customWidth="1" style="1" min="12350" max="12350"/>
    <col width="0.7109375" customWidth="1" style="1" min="12351" max="12351"/>
    <col width="1.5703125" customWidth="1" style="1" min="12352" max="12352"/>
    <col width="0.7109375" customWidth="1" style="1" min="12353" max="12353"/>
    <col width="7" bestFit="1" customWidth="1" style="1" min="12354" max="12354"/>
    <col width="0.7109375" customWidth="1" style="1" min="12355" max="12355"/>
    <col width="4" customWidth="1" style="1" min="12356" max="12356"/>
    <col width="0.7109375" customWidth="1" style="1" min="12357" max="12357"/>
    <col width="1.5703125" customWidth="1" style="1" min="12358" max="12358"/>
    <col width="0.7109375" customWidth="1" style="1" min="12359" max="12359"/>
    <col width="7" bestFit="1" customWidth="1" style="1" min="12360" max="12360"/>
    <col width="0.7109375" customWidth="1" style="1" min="12361" max="12363"/>
    <col width="2.42578125" customWidth="1" style="1" min="12364" max="12364"/>
    <col width="0.7109375" customWidth="1" style="1" min="12365" max="12370"/>
    <col width="16.5703125" customWidth="1" style="1" min="12371" max="12371"/>
    <col width="0.7109375" customWidth="1" style="1" min="12372" max="12374"/>
    <col width="9.85546875" bestFit="1" customWidth="1" style="1" min="12375" max="12375"/>
    <col width="9.28515625" customWidth="1" style="1" min="12376" max="12378"/>
    <col width="0.7109375" customWidth="1" style="1" min="12379" max="12591"/>
    <col width="3.42578125" customWidth="1" style="1" min="12592" max="12592"/>
    <col width="2.42578125" customWidth="1" style="1" min="12593" max="12593"/>
    <col width="7" customWidth="1" style="1" min="12594" max="12594"/>
    <col width="0.7109375" customWidth="1" style="1" min="12595" max="12595"/>
    <col width="1.5703125" customWidth="1" style="1" min="12596" max="12596"/>
    <col width="0.7109375" customWidth="1" style="1" min="12597" max="12597"/>
    <col width="11.28515625" customWidth="1" style="1" min="12598" max="12598"/>
    <col width="0.7109375" customWidth="1" style="1" min="12599" max="12599"/>
    <col width="1.5703125" customWidth="1" style="1" min="12600" max="12600"/>
    <col width="0.7109375" customWidth="1" style="1" min="12601" max="12605"/>
    <col width="2.140625" customWidth="1" style="1" min="12606" max="12606"/>
    <col width="0.7109375" customWidth="1" style="1" min="12607" max="12607"/>
    <col width="1.5703125" customWidth="1" style="1" min="12608" max="12608"/>
    <col width="0.7109375" customWidth="1" style="1" min="12609" max="12609"/>
    <col width="7" bestFit="1" customWidth="1" style="1" min="12610" max="12610"/>
    <col width="0.7109375" customWidth="1" style="1" min="12611" max="12611"/>
    <col width="4" customWidth="1" style="1" min="12612" max="12612"/>
    <col width="0.7109375" customWidth="1" style="1" min="12613" max="12613"/>
    <col width="1.5703125" customWidth="1" style="1" min="12614" max="12614"/>
    <col width="0.7109375" customWidth="1" style="1" min="12615" max="12615"/>
    <col width="7" bestFit="1" customWidth="1" style="1" min="12616" max="12616"/>
    <col width="0.7109375" customWidth="1" style="1" min="12617" max="12619"/>
    <col width="2.42578125" customWidth="1" style="1" min="12620" max="12620"/>
    <col width="0.7109375" customWidth="1" style="1" min="12621" max="12626"/>
    <col width="16.5703125" customWidth="1" style="1" min="12627" max="12627"/>
    <col width="0.7109375" customWidth="1" style="1" min="12628" max="12630"/>
    <col width="9.85546875" bestFit="1" customWidth="1" style="1" min="12631" max="12631"/>
    <col width="9.28515625" customWidth="1" style="1" min="12632" max="12634"/>
    <col width="0.7109375" customWidth="1" style="1" min="12635" max="12847"/>
    <col width="3.42578125" customWidth="1" style="1" min="12848" max="12848"/>
    <col width="2.42578125" customWidth="1" style="1" min="12849" max="12849"/>
    <col width="7" customWidth="1" style="1" min="12850" max="12850"/>
    <col width="0.7109375" customWidth="1" style="1" min="12851" max="12851"/>
    <col width="1.5703125" customWidth="1" style="1" min="12852" max="12852"/>
    <col width="0.7109375" customWidth="1" style="1" min="12853" max="12853"/>
    <col width="11.28515625" customWidth="1" style="1" min="12854" max="12854"/>
    <col width="0.7109375" customWidth="1" style="1" min="12855" max="12855"/>
    <col width="1.5703125" customWidth="1" style="1" min="12856" max="12856"/>
    <col width="0.7109375" customWidth="1" style="1" min="12857" max="12861"/>
    <col width="2.140625" customWidth="1" style="1" min="12862" max="12862"/>
    <col width="0.7109375" customWidth="1" style="1" min="12863" max="12863"/>
    <col width="1.5703125" customWidth="1" style="1" min="12864" max="12864"/>
    <col width="0.7109375" customWidth="1" style="1" min="12865" max="12865"/>
    <col width="7" bestFit="1" customWidth="1" style="1" min="12866" max="12866"/>
    <col width="0.7109375" customWidth="1" style="1" min="12867" max="12867"/>
    <col width="4" customWidth="1" style="1" min="12868" max="12868"/>
    <col width="0.7109375" customWidth="1" style="1" min="12869" max="12869"/>
    <col width="1.5703125" customWidth="1" style="1" min="12870" max="12870"/>
    <col width="0.7109375" customWidth="1" style="1" min="12871" max="12871"/>
    <col width="7" bestFit="1" customWidth="1" style="1" min="12872" max="12872"/>
    <col width="0.7109375" customWidth="1" style="1" min="12873" max="12875"/>
    <col width="2.42578125" customWidth="1" style="1" min="12876" max="12876"/>
    <col width="0.7109375" customWidth="1" style="1" min="12877" max="12882"/>
    <col width="16.5703125" customWidth="1" style="1" min="12883" max="12883"/>
    <col width="0.7109375" customWidth="1" style="1" min="12884" max="12886"/>
    <col width="9.85546875" bestFit="1" customWidth="1" style="1" min="12887" max="12887"/>
    <col width="9.28515625" customWidth="1" style="1" min="12888" max="12890"/>
    <col width="0.7109375" customWidth="1" style="1" min="12891" max="13103"/>
    <col width="3.42578125" customWidth="1" style="1" min="13104" max="13104"/>
    <col width="2.42578125" customWidth="1" style="1" min="13105" max="13105"/>
    <col width="7" customWidth="1" style="1" min="13106" max="13106"/>
    <col width="0.7109375" customWidth="1" style="1" min="13107" max="13107"/>
    <col width="1.5703125" customWidth="1" style="1" min="13108" max="13108"/>
    <col width="0.7109375" customWidth="1" style="1" min="13109" max="13109"/>
    <col width="11.28515625" customWidth="1" style="1" min="13110" max="13110"/>
    <col width="0.7109375" customWidth="1" style="1" min="13111" max="13111"/>
    <col width="1.5703125" customWidth="1" style="1" min="13112" max="13112"/>
    <col width="0.7109375" customWidth="1" style="1" min="13113" max="13117"/>
    <col width="2.140625" customWidth="1" style="1" min="13118" max="13118"/>
    <col width="0.7109375" customWidth="1" style="1" min="13119" max="13119"/>
    <col width="1.5703125" customWidth="1" style="1" min="13120" max="13120"/>
    <col width="0.7109375" customWidth="1" style="1" min="13121" max="13121"/>
    <col width="7" bestFit="1" customWidth="1" style="1" min="13122" max="13122"/>
    <col width="0.7109375" customWidth="1" style="1" min="13123" max="13123"/>
    <col width="4" customWidth="1" style="1" min="13124" max="13124"/>
    <col width="0.7109375" customWidth="1" style="1" min="13125" max="13125"/>
    <col width="1.5703125" customWidth="1" style="1" min="13126" max="13126"/>
    <col width="0.7109375" customWidth="1" style="1" min="13127" max="13127"/>
    <col width="7" bestFit="1" customWidth="1" style="1" min="13128" max="13128"/>
    <col width="0.7109375" customWidth="1" style="1" min="13129" max="13131"/>
    <col width="2.42578125" customWidth="1" style="1" min="13132" max="13132"/>
    <col width="0.7109375" customWidth="1" style="1" min="13133" max="13138"/>
    <col width="16.5703125" customWidth="1" style="1" min="13139" max="13139"/>
    <col width="0.7109375" customWidth="1" style="1" min="13140" max="13142"/>
    <col width="9.85546875" bestFit="1" customWidth="1" style="1" min="13143" max="13143"/>
    <col width="9.28515625" customWidth="1" style="1" min="13144" max="13146"/>
    <col width="0.7109375" customWidth="1" style="1" min="13147" max="13359"/>
    <col width="3.42578125" customWidth="1" style="1" min="13360" max="13360"/>
    <col width="2.42578125" customWidth="1" style="1" min="13361" max="13361"/>
    <col width="7" customWidth="1" style="1" min="13362" max="13362"/>
    <col width="0.7109375" customWidth="1" style="1" min="13363" max="13363"/>
    <col width="1.5703125" customWidth="1" style="1" min="13364" max="13364"/>
    <col width="0.7109375" customWidth="1" style="1" min="13365" max="13365"/>
    <col width="11.28515625" customWidth="1" style="1" min="13366" max="13366"/>
    <col width="0.7109375" customWidth="1" style="1" min="13367" max="13367"/>
    <col width="1.5703125" customWidth="1" style="1" min="13368" max="13368"/>
    <col width="0.7109375" customWidth="1" style="1" min="13369" max="13373"/>
    <col width="2.140625" customWidth="1" style="1" min="13374" max="13374"/>
    <col width="0.7109375" customWidth="1" style="1" min="13375" max="13375"/>
    <col width="1.5703125" customWidth="1" style="1" min="13376" max="13376"/>
    <col width="0.7109375" customWidth="1" style="1" min="13377" max="13377"/>
    <col width="7" bestFit="1" customWidth="1" style="1" min="13378" max="13378"/>
    <col width="0.7109375" customWidth="1" style="1" min="13379" max="13379"/>
    <col width="4" customWidth="1" style="1" min="13380" max="13380"/>
    <col width="0.7109375" customWidth="1" style="1" min="13381" max="13381"/>
    <col width="1.5703125" customWidth="1" style="1" min="13382" max="13382"/>
    <col width="0.7109375" customWidth="1" style="1" min="13383" max="13383"/>
    <col width="7" bestFit="1" customWidth="1" style="1" min="13384" max="13384"/>
    <col width="0.7109375" customWidth="1" style="1" min="13385" max="13387"/>
    <col width="2.42578125" customWidth="1" style="1" min="13388" max="13388"/>
    <col width="0.7109375" customWidth="1" style="1" min="13389" max="13394"/>
    <col width="16.5703125" customWidth="1" style="1" min="13395" max="13395"/>
    <col width="0.7109375" customWidth="1" style="1" min="13396" max="13398"/>
    <col width="9.85546875" bestFit="1" customWidth="1" style="1" min="13399" max="13399"/>
    <col width="9.28515625" customWidth="1" style="1" min="13400" max="13402"/>
    <col width="0.7109375" customWidth="1" style="1" min="13403" max="13615"/>
    <col width="3.42578125" customWidth="1" style="1" min="13616" max="13616"/>
    <col width="2.42578125" customWidth="1" style="1" min="13617" max="13617"/>
    <col width="7" customWidth="1" style="1" min="13618" max="13618"/>
    <col width="0.7109375" customWidth="1" style="1" min="13619" max="13619"/>
    <col width="1.5703125" customWidth="1" style="1" min="13620" max="13620"/>
    <col width="0.7109375" customWidth="1" style="1" min="13621" max="13621"/>
    <col width="11.28515625" customWidth="1" style="1" min="13622" max="13622"/>
    <col width="0.7109375" customWidth="1" style="1" min="13623" max="13623"/>
    <col width="1.5703125" customWidth="1" style="1" min="13624" max="13624"/>
    <col width="0.7109375" customWidth="1" style="1" min="13625" max="13629"/>
    <col width="2.140625" customWidth="1" style="1" min="13630" max="13630"/>
    <col width="0.7109375" customWidth="1" style="1" min="13631" max="13631"/>
    <col width="1.5703125" customWidth="1" style="1" min="13632" max="13632"/>
    <col width="0.7109375" customWidth="1" style="1" min="13633" max="13633"/>
    <col width="7" bestFit="1" customWidth="1" style="1" min="13634" max="13634"/>
    <col width="0.7109375" customWidth="1" style="1" min="13635" max="13635"/>
    <col width="4" customWidth="1" style="1" min="13636" max="13636"/>
    <col width="0.7109375" customWidth="1" style="1" min="13637" max="13637"/>
    <col width="1.5703125" customWidth="1" style="1" min="13638" max="13638"/>
    <col width="0.7109375" customWidth="1" style="1" min="13639" max="13639"/>
    <col width="7" bestFit="1" customWidth="1" style="1" min="13640" max="13640"/>
    <col width="0.7109375" customWidth="1" style="1" min="13641" max="13643"/>
    <col width="2.42578125" customWidth="1" style="1" min="13644" max="13644"/>
    <col width="0.7109375" customWidth="1" style="1" min="13645" max="13650"/>
    <col width="16.5703125" customWidth="1" style="1" min="13651" max="13651"/>
    <col width="0.7109375" customWidth="1" style="1" min="13652" max="13654"/>
    <col width="9.85546875" bestFit="1" customWidth="1" style="1" min="13655" max="13655"/>
    <col width="9.28515625" customWidth="1" style="1" min="13656" max="13658"/>
    <col width="0.7109375" customWidth="1" style="1" min="13659" max="13871"/>
    <col width="3.42578125" customWidth="1" style="1" min="13872" max="13872"/>
    <col width="2.42578125" customWidth="1" style="1" min="13873" max="13873"/>
    <col width="7" customWidth="1" style="1" min="13874" max="13874"/>
    <col width="0.7109375" customWidth="1" style="1" min="13875" max="13875"/>
    <col width="1.5703125" customWidth="1" style="1" min="13876" max="13876"/>
    <col width="0.7109375" customWidth="1" style="1" min="13877" max="13877"/>
    <col width="11.28515625" customWidth="1" style="1" min="13878" max="13878"/>
    <col width="0.7109375" customWidth="1" style="1" min="13879" max="13879"/>
    <col width="1.5703125" customWidth="1" style="1" min="13880" max="13880"/>
    <col width="0.7109375" customWidth="1" style="1" min="13881" max="13885"/>
    <col width="2.140625" customWidth="1" style="1" min="13886" max="13886"/>
    <col width="0.7109375" customWidth="1" style="1" min="13887" max="13887"/>
    <col width="1.5703125" customWidth="1" style="1" min="13888" max="13888"/>
    <col width="0.7109375" customWidth="1" style="1" min="13889" max="13889"/>
    <col width="7" bestFit="1" customWidth="1" style="1" min="13890" max="13890"/>
    <col width="0.7109375" customWidth="1" style="1" min="13891" max="13891"/>
    <col width="4" customWidth="1" style="1" min="13892" max="13892"/>
    <col width="0.7109375" customWidth="1" style="1" min="13893" max="13893"/>
    <col width="1.5703125" customWidth="1" style="1" min="13894" max="13894"/>
    <col width="0.7109375" customWidth="1" style="1" min="13895" max="13895"/>
    <col width="7" bestFit="1" customWidth="1" style="1" min="13896" max="13896"/>
    <col width="0.7109375" customWidth="1" style="1" min="13897" max="13899"/>
    <col width="2.42578125" customWidth="1" style="1" min="13900" max="13900"/>
    <col width="0.7109375" customWidth="1" style="1" min="13901" max="13906"/>
    <col width="16.5703125" customWidth="1" style="1" min="13907" max="13907"/>
    <col width="0.7109375" customWidth="1" style="1" min="13908" max="13910"/>
    <col width="9.85546875" bestFit="1" customWidth="1" style="1" min="13911" max="13911"/>
    <col width="9.28515625" customWidth="1" style="1" min="13912" max="13914"/>
    <col width="0.7109375" customWidth="1" style="1" min="13915" max="14127"/>
    <col width="3.42578125" customWidth="1" style="1" min="14128" max="14128"/>
    <col width="2.42578125" customWidth="1" style="1" min="14129" max="14129"/>
    <col width="7" customWidth="1" style="1" min="14130" max="14130"/>
    <col width="0.7109375" customWidth="1" style="1" min="14131" max="14131"/>
    <col width="1.5703125" customWidth="1" style="1" min="14132" max="14132"/>
    <col width="0.7109375" customWidth="1" style="1" min="14133" max="14133"/>
    <col width="11.28515625" customWidth="1" style="1" min="14134" max="14134"/>
    <col width="0.7109375" customWidth="1" style="1" min="14135" max="14135"/>
    <col width="1.5703125" customWidth="1" style="1" min="14136" max="14136"/>
    <col width="0.7109375" customWidth="1" style="1" min="14137" max="14141"/>
    <col width="2.140625" customWidth="1" style="1" min="14142" max="14142"/>
    <col width="0.7109375" customWidth="1" style="1" min="14143" max="14143"/>
    <col width="1.5703125" customWidth="1" style="1" min="14144" max="14144"/>
    <col width="0.7109375" customWidth="1" style="1" min="14145" max="14145"/>
    <col width="7" bestFit="1" customWidth="1" style="1" min="14146" max="14146"/>
    <col width="0.7109375" customWidth="1" style="1" min="14147" max="14147"/>
    <col width="4" customWidth="1" style="1" min="14148" max="14148"/>
    <col width="0.7109375" customWidth="1" style="1" min="14149" max="14149"/>
    <col width="1.5703125" customWidth="1" style="1" min="14150" max="14150"/>
    <col width="0.7109375" customWidth="1" style="1" min="14151" max="14151"/>
    <col width="7" bestFit="1" customWidth="1" style="1" min="14152" max="14152"/>
    <col width="0.7109375" customWidth="1" style="1" min="14153" max="14155"/>
    <col width="2.42578125" customWidth="1" style="1" min="14156" max="14156"/>
    <col width="0.7109375" customWidth="1" style="1" min="14157" max="14162"/>
    <col width="16.5703125" customWidth="1" style="1" min="14163" max="14163"/>
    <col width="0.7109375" customWidth="1" style="1" min="14164" max="14166"/>
    <col width="9.85546875" bestFit="1" customWidth="1" style="1" min="14167" max="14167"/>
    <col width="9.28515625" customWidth="1" style="1" min="14168" max="14170"/>
    <col width="0.7109375" customWidth="1" style="1" min="14171" max="14383"/>
    <col width="3.42578125" customWidth="1" style="1" min="14384" max="14384"/>
    <col width="2.42578125" customWidth="1" style="1" min="14385" max="14385"/>
    <col width="7" customWidth="1" style="1" min="14386" max="14386"/>
    <col width="0.7109375" customWidth="1" style="1" min="14387" max="14387"/>
    <col width="1.5703125" customWidth="1" style="1" min="14388" max="14388"/>
    <col width="0.7109375" customWidth="1" style="1" min="14389" max="14389"/>
    <col width="11.28515625" customWidth="1" style="1" min="14390" max="14390"/>
    <col width="0.7109375" customWidth="1" style="1" min="14391" max="14391"/>
    <col width="1.5703125" customWidth="1" style="1" min="14392" max="14392"/>
    <col width="0.7109375" customWidth="1" style="1" min="14393" max="14397"/>
    <col width="2.140625" customWidth="1" style="1" min="14398" max="14398"/>
    <col width="0.7109375" customWidth="1" style="1" min="14399" max="14399"/>
    <col width="1.5703125" customWidth="1" style="1" min="14400" max="14400"/>
    <col width="0.7109375" customWidth="1" style="1" min="14401" max="14401"/>
    <col width="7" bestFit="1" customWidth="1" style="1" min="14402" max="14402"/>
    <col width="0.7109375" customWidth="1" style="1" min="14403" max="14403"/>
    <col width="4" customWidth="1" style="1" min="14404" max="14404"/>
    <col width="0.7109375" customWidth="1" style="1" min="14405" max="14405"/>
    <col width="1.5703125" customWidth="1" style="1" min="14406" max="14406"/>
    <col width="0.7109375" customWidth="1" style="1" min="14407" max="14407"/>
    <col width="7" bestFit="1" customWidth="1" style="1" min="14408" max="14408"/>
    <col width="0.7109375" customWidth="1" style="1" min="14409" max="14411"/>
    <col width="2.42578125" customWidth="1" style="1" min="14412" max="14412"/>
    <col width="0.7109375" customWidth="1" style="1" min="14413" max="14418"/>
    <col width="16.5703125" customWidth="1" style="1" min="14419" max="14419"/>
    <col width="0.7109375" customWidth="1" style="1" min="14420" max="14422"/>
    <col width="9.85546875" bestFit="1" customWidth="1" style="1" min="14423" max="14423"/>
    <col width="9.28515625" customWidth="1" style="1" min="14424" max="14426"/>
    <col width="0.7109375" customWidth="1" style="1" min="14427" max="14639"/>
    <col width="3.42578125" customWidth="1" style="1" min="14640" max="14640"/>
    <col width="2.42578125" customWidth="1" style="1" min="14641" max="14641"/>
    <col width="7" customWidth="1" style="1" min="14642" max="14642"/>
    <col width="0.7109375" customWidth="1" style="1" min="14643" max="14643"/>
    <col width="1.5703125" customWidth="1" style="1" min="14644" max="14644"/>
    <col width="0.7109375" customWidth="1" style="1" min="14645" max="14645"/>
    <col width="11.28515625" customWidth="1" style="1" min="14646" max="14646"/>
    <col width="0.7109375" customWidth="1" style="1" min="14647" max="14647"/>
    <col width="1.5703125" customWidth="1" style="1" min="14648" max="14648"/>
    <col width="0.7109375" customWidth="1" style="1" min="14649" max="14653"/>
    <col width="2.140625" customWidth="1" style="1" min="14654" max="14654"/>
    <col width="0.7109375" customWidth="1" style="1" min="14655" max="14655"/>
    <col width="1.5703125" customWidth="1" style="1" min="14656" max="14656"/>
    <col width="0.7109375" customWidth="1" style="1" min="14657" max="14657"/>
    <col width="7" bestFit="1" customWidth="1" style="1" min="14658" max="14658"/>
    <col width="0.7109375" customWidth="1" style="1" min="14659" max="14659"/>
    <col width="4" customWidth="1" style="1" min="14660" max="14660"/>
    <col width="0.7109375" customWidth="1" style="1" min="14661" max="14661"/>
    <col width="1.5703125" customWidth="1" style="1" min="14662" max="14662"/>
    <col width="0.7109375" customWidth="1" style="1" min="14663" max="14663"/>
    <col width="7" bestFit="1" customWidth="1" style="1" min="14664" max="14664"/>
    <col width="0.7109375" customWidth="1" style="1" min="14665" max="14667"/>
    <col width="2.42578125" customWidth="1" style="1" min="14668" max="14668"/>
    <col width="0.7109375" customWidth="1" style="1" min="14669" max="14674"/>
    <col width="16.5703125" customWidth="1" style="1" min="14675" max="14675"/>
    <col width="0.7109375" customWidth="1" style="1" min="14676" max="14678"/>
    <col width="9.85546875" bestFit="1" customWidth="1" style="1" min="14679" max="14679"/>
    <col width="9.28515625" customWidth="1" style="1" min="14680" max="14682"/>
    <col width="0.7109375" customWidth="1" style="1" min="14683" max="14895"/>
    <col width="3.42578125" customWidth="1" style="1" min="14896" max="14896"/>
    <col width="2.42578125" customWidth="1" style="1" min="14897" max="14897"/>
    <col width="7" customWidth="1" style="1" min="14898" max="14898"/>
    <col width="0.7109375" customWidth="1" style="1" min="14899" max="14899"/>
    <col width="1.5703125" customWidth="1" style="1" min="14900" max="14900"/>
    <col width="0.7109375" customWidth="1" style="1" min="14901" max="14901"/>
    <col width="11.28515625" customWidth="1" style="1" min="14902" max="14902"/>
    <col width="0.7109375" customWidth="1" style="1" min="14903" max="14903"/>
    <col width="1.5703125" customWidth="1" style="1" min="14904" max="14904"/>
    <col width="0.7109375" customWidth="1" style="1" min="14905" max="14909"/>
    <col width="2.140625" customWidth="1" style="1" min="14910" max="14910"/>
    <col width="0.7109375" customWidth="1" style="1" min="14911" max="14911"/>
    <col width="1.5703125" customWidth="1" style="1" min="14912" max="14912"/>
    <col width="0.7109375" customWidth="1" style="1" min="14913" max="14913"/>
    <col width="7" bestFit="1" customWidth="1" style="1" min="14914" max="14914"/>
    <col width="0.7109375" customWidth="1" style="1" min="14915" max="14915"/>
    <col width="4" customWidth="1" style="1" min="14916" max="14916"/>
    <col width="0.7109375" customWidth="1" style="1" min="14917" max="14917"/>
    <col width="1.5703125" customWidth="1" style="1" min="14918" max="14918"/>
    <col width="0.7109375" customWidth="1" style="1" min="14919" max="14919"/>
    <col width="7" bestFit="1" customWidth="1" style="1" min="14920" max="14920"/>
    <col width="0.7109375" customWidth="1" style="1" min="14921" max="14923"/>
    <col width="2.42578125" customWidth="1" style="1" min="14924" max="14924"/>
    <col width="0.7109375" customWidth="1" style="1" min="14925" max="14930"/>
    <col width="16.5703125" customWidth="1" style="1" min="14931" max="14931"/>
    <col width="0.7109375" customWidth="1" style="1" min="14932" max="14934"/>
    <col width="9.85546875" bestFit="1" customWidth="1" style="1" min="14935" max="14935"/>
    <col width="9.28515625" customWidth="1" style="1" min="14936" max="14938"/>
    <col width="0.7109375" customWidth="1" style="1" min="14939" max="15151"/>
    <col width="3.42578125" customWidth="1" style="1" min="15152" max="15152"/>
    <col width="2.42578125" customWidth="1" style="1" min="15153" max="15153"/>
    <col width="7" customWidth="1" style="1" min="15154" max="15154"/>
    <col width="0.7109375" customWidth="1" style="1" min="15155" max="15155"/>
    <col width="1.5703125" customWidth="1" style="1" min="15156" max="15156"/>
    <col width="0.7109375" customWidth="1" style="1" min="15157" max="15157"/>
    <col width="11.28515625" customWidth="1" style="1" min="15158" max="15158"/>
    <col width="0.7109375" customWidth="1" style="1" min="15159" max="15159"/>
    <col width="1.5703125" customWidth="1" style="1" min="15160" max="15160"/>
    <col width="0.7109375" customWidth="1" style="1" min="15161" max="15165"/>
    <col width="2.140625" customWidth="1" style="1" min="15166" max="15166"/>
    <col width="0.7109375" customWidth="1" style="1" min="15167" max="15167"/>
    <col width="1.5703125" customWidth="1" style="1" min="15168" max="15168"/>
    <col width="0.7109375" customWidth="1" style="1" min="15169" max="15169"/>
    <col width="7" bestFit="1" customWidth="1" style="1" min="15170" max="15170"/>
    <col width="0.7109375" customWidth="1" style="1" min="15171" max="15171"/>
    <col width="4" customWidth="1" style="1" min="15172" max="15172"/>
    <col width="0.7109375" customWidth="1" style="1" min="15173" max="15173"/>
    <col width="1.5703125" customWidth="1" style="1" min="15174" max="15174"/>
    <col width="0.7109375" customWidth="1" style="1" min="15175" max="15175"/>
    <col width="7" bestFit="1" customWidth="1" style="1" min="15176" max="15176"/>
    <col width="0.7109375" customWidth="1" style="1" min="15177" max="15179"/>
    <col width="2.42578125" customWidth="1" style="1" min="15180" max="15180"/>
    <col width="0.7109375" customWidth="1" style="1" min="15181" max="15186"/>
    <col width="16.5703125" customWidth="1" style="1" min="15187" max="15187"/>
    <col width="0.7109375" customWidth="1" style="1" min="15188" max="15190"/>
    <col width="9.85546875" bestFit="1" customWidth="1" style="1" min="15191" max="15191"/>
    <col width="9.28515625" customWidth="1" style="1" min="15192" max="15194"/>
    <col width="0.7109375" customWidth="1" style="1" min="15195" max="15407"/>
    <col width="3.42578125" customWidth="1" style="1" min="15408" max="15408"/>
    <col width="2.42578125" customWidth="1" style="1" min="15409" max="15409"/>
    <col width="7" customWidth="1" style="1" min="15410" max="15410"/>
    <col width="0.7109375" customWidth="1" style="1" min="15411" max="15411"/>
    <col width="1.5703125" customWidth="1" style="1" min="15412" max="15412"/>
    <col width="0.7109375" customWidth="1" style="1" min="15413" max="15413"/>
    <col width="11.28515625" customWidth="1" style="1" min="15414" max="15414"/>
    <col width="0.7109375" customWidth="1" style="1" min="15415" max="15415"/>
    <col width="1.5703125" customWidth="1" style="1" min="15416" max="15416"/>
    <col width="0.7109375" customWidth="1" style="1" min="15417" max="15421"/>
    <col width="2.140625" customWidth="1" style="1" min="15422" max="15422"/>
    <col width="0.7109375" customWidth="1" style="1" min="15423" max="15423"/>
    <col width="1.5703125" customWidth="1" style="1" min="15424" max="15424"/>
    <col width="0.7109375" customWidth="1" style="1" min="15425" max="15425"/>
    <col width="7" bestFit="1" customWidth="1" style="1" min="15426" max="15426"/>
    <col width="0.7109375" customWidth="1" style="1" min="15427" max="15427"/>
    <col width="4" customWidth="1" style="1" min="15428" max="15428"/>
    <col width="0.7109375" customWidth="1" style="1" min="15429" max="15429"/>
    <col width="1.5703125" customWidth="1" style="1" min="15430" max="15430"/>
    <col width="0.7109375" customWidth="1" style="1" min="15431" max="15431"/>
    <col width="7" bestFit="1" customWidth="1" style="1" min="15432" max="15432"/>
    <col width="0.7109375" customWidth="1" style="1" min="15433" max="15435"/>
    <col width="2.42578125" customWidth="1" style="1" min="15436" max="15436"/>
    <col width="0.7109375" customWidth="1" style="1" min="15437" max="15442"/>
    <col width="16.5703125" customWidth="1" style="1" min="15443" max="15443"/>
    <col width="0.7109375" customWidth="1" style="1" min="15444" max="15446"/>
    <col width="9.85546875" bestFit="1" customWidth="1" style="1" min="15447" max="15447"/>
    <col width="9.28515625" customWidth="1" style="1" min="15448" max="15450"/>
    <col width="0.7109375" customWidth="1" style="1" min="15451" max="15663"/>
    <col width="3.42578125" customWidth="1" style="1" min="15664" max="15664"/>
    <col width="2.42578125" customWidth="1" style="1" min="15665" max="15665"/>
    <col width="7" customWidth="1" style="1" min="15666" max="15666"/>
    <col width="0.7109375" customWidth="1" style="1" min="15667" max="15667"/>
    <col width="1.5703125" customWidth="1" style="1" min="15668" max="15668"/>
    <col width="0.7109375" customWidth="1" style="1" min="15669" max="15669"/>
    <col width="11.28515625" customWidth="1" style="1" min="15670" max="15670"/>
    <col width="0.7109375" customWidth="1" style="1" min="15671" max="15671"/>
    <col width="1.5703125" customWidth="1" style="1" min="15672" max="15672"/>
    <col width="0.7109375" customWidth="1" style="1" min="15673" max="15677"/>
    <col width="2.140625" customWidth="1" style="1" min="15678" max="15678"/>
    <col width="0.7109375" customWidth="1" style="1" min="15679" max="15679"/>
    <col width="1.5703125" customWidth="1" style="1" min="15680" max="15680"/>
    <col width="0.7109375" customWidth="1" style="1" min="15681" max="15681"/>
    <col width="7" bestFit="1" customWidth="1" style="1" min="15682" max="15682"/>
    <col width="0.7109375" customWidth="1" style="1" min="15683" max="15683"/>
    <col width="4" customWidth="1" style="1" min="15684" max="15684"/>
    <col width="0.7109375" customWidth="1" style="1" min="15685" max="15685"/>
    <col width="1.5703125" customWidth="1" style="1" min="15686" max="15686"/>
    <col width="0.7109375" customWidth="1" style="1" min="15687" max="15687"/>
    <col width="7" bestFit="1" customWidth="1" style="1" min="15688" max="15688"/>
    <col width="0.7109375" customWidth="1" style="1" min="15689" max="15691"/>
    <col width="2.42578125" customWidth="1" style="1" min="15692" max="15692"/>
    <col width="0.7109375" customWidth="1" style="1" min="15693" max="15698"/>
    <col width="16.5703125" customWidth="1" style="1" min="15699" max="15699"/>
    <col width="0.7109375" customWidth="1" style="1" min="15700" max="15702"/>
    <col width="9.85546875" bestFit="1" customWidth="1" style="1" min="15703" max="15703"/>
    <col width="9.28515625" customWidth="1" style="1" min="15704" max="15706"/>
    <col width="0.7109375" customWidth="1" style="1" min="15707" max="15919"/>
    <col width="3.42578125" customWidth="1" style="1" min="15920" max="15920"/>
    <col width="2.42578125" customWidth="1" style="1" min="15921" max="15921"/>
    <col width="7" customWidth="1" style="1" min="15922" max="15922"/>
    <col width="0.7109375" customWidth="1" style="1" min="15923" max="15923"/>
    <col width="1.5703125" customWidth="1" style="1" min="15924" max="15924"/>
    <col width="0.7109375" customWidth="1" style="1" min="15925" max="15925"/>
    <col width="11.28515625" customWidth="1" style="1" min="15926" max="15926"/>
    <col width="0.7109375" customWidth="1" style="1" min="15927" max="15927"/>
    <col width="1.5703125" customWidth="1" style="1" min="15928" max="15928"/>
    <col width="0.7109375" customWidth="1" style="1" min="15929" max="15933"/>
    <col width="2.140625" customWidth="1" style="1" min="15934" max="15934"/>
    <col width="0.7109375" customWidth="1" style="1" min="15935" max="15935"/>
    <col width="1.5703125" customWidth="1" style="1" min="15936" max="15936"/>
    <col width="0.7109375" customWidth="1" style="1" min="15937" max="15937"/>
    <col width="7" bestFit="1" customWidth="1" style="1" min="15938" max="15938"/>
    <col width="0.7109375" customWidth="1" style="1" min="15939" max="15939"/>
    <col width="4" customWidth="1" style="1" min="15940" max="15940"/>
    <col width="0.7109375" customWidth="1" style="1" min="15941" max="15941"/>
    <col width="1.5703125" customWidth="1" style="1" min="15942" max="15942"/>
    <col width="0.7109375" customWidth="1" style="1" min="15943" max="15943"/>
    <col width="7" bestFit="1" customWidth="1" style="1" min="15944" max="15944"/>
    <col width="0.7109375" customWidth="1" style="1" min="15945" max="15947"/>
    <col width="2.42578125" customWidth="1" style="1" min="15948" max="15948"/>
    <col width="0.7109375" customWidth="1" style="1" min="15949" max="15954"/>
    <col width="16.5703125" customWidth="1" style="1" min="15955" max="15955"/>
    <col width="0.7109375" customWidth="1" style="1" min="15956" max="15958"/>
    <col width="9.85546875" bestFit="1" customWidth="1" style="1" min="15959" max="15959"/>
    <col width="9.28515625" customWidth="1" style="1" min="15960" max="15962"/>
    <col width="0.7109375" customWidth="1" style="1" min="15963" max="16175"/>
    <col width="3.42578125" customWidth="1" style="1" min="16176" max="16176"/>
    <col width="2.42578125" customWidth="1" style="1" min="16177" max="16177"/>
    <col width="7" customWidth="1" style="1" min="16178" max="16178"/>
    <col width="0.7109375" customWidth="1" style="1" min="16179" max="16179"/>
    <col width="1.5703125" customWidth="1" style="1" min="16180" max="16180"/>
    <col width="0.7109375" customWidth="1" style="1" min="16181" max="16181"/>
    <col width="11.28515625" customWidth="1" style="1" min="16182" max="16182"/>
    <col width="0.7109375" customWidth="1" style="1" min="16183" max="16183"/>
    <col width="1.5703125" customWidth="1" style="1" min="16184" max="16184"/>
    <col width="0.7109375" customWidth="1" style="1" min="16185" max="16189"/>
    <col width="2.140625" customWidth="1" style="1" min="16190" max="16190"/>
    <col width="0.7109375" customWidth="1" style="1" min="16191" max="16191"/>
    <col width="1.5703125" customWidth="1" style="1" min="16192" max="16192"/>
    <col width="0.7109375" customWidth="1" style="1" min="16193" max="16193"/>
    <col width="7" bestFit="1" customWidth="1" style="1" min="16194" max="16194"/>
    <col width="0.7109375" customWidth="1" style="1" min="16195" max="16195"/>
    <col width="4" customWidth="1" style="1" min="16196" max="16196"/>
    <col width="0.7109375" customWidth="1" style="1" min="16197" max="16197"/>
    <col width="1.5703125" customWidth="1" style="1" min="16198" max="16198"/>
    <col width="0.7109375" customWidth="1" style="1" min="16199" max="16199"/>
    <col width="7" bestFit="1" customWidth="1" style="1" min="16200" max="16200"/>
    <col width="0.7109375" customWidth="1" style="1" min="16201" max="16203"/>
    <col width="2.42578125" customWidth="1" style="1" min="16204" max="16204"/>
    <col width="0.7109375" customWidth="1" style="1" min="16205" max="16210"/>
    <col width="16.5703125" customWidth="1" style="1" min="16211" max="16211"/>
    <col width="0.7109375" customWidth="1" style="1" min="16212" max="16214"/>
    <col width="9.85546875" bestFit="1" customWidth="1" style="1" min="16215" max="16215"/>
    <col width="9.28515625" customWidth="1" style="1" min="16216" max="16218"/>
    <col width="0.7109375" customWidth="1" style="1" min="16219" max="16384"/>
  </cols>
  <sheetData>
    <row r="1" ht="14.25" customHeight="1" thickBot="1"/>
    <row r="2" ht="18" customHeight="1" thickBot="1">
      <c r="C2" s="519">
        <f>DADOS!$B$2</f>
        <v/>
      </c>
      <c r="D2" s="437" t="n"/>
      <c r="E2" s="437" t="n"/>
      <c r="F2" s="437" t="n"/>
      <c r="G2" s="437" t="n"/>
      <c r="H2" s="437" t="n"/>
      <c r="I2" s="437" t="n"/>
      <c r="J2" s="437" t="n"/>
      <c r="K2" s="437" t="n"/>
      <c r="L2" s="437" t="n"/>
      <c r="M2" s="437" t="n"/>
      <c r="N2" s="437" t="n"/>
      <c r="O2" s="437" t="n"/>
      <c r="P2" s="437" t="n"/>
      <c r="Q2" s="437" t="n"/>
      <c r="R2" s="437" t="n"/>
      <c r="S2" s="437" t="n"/>
      <c r="T2" s="437" t="n"/>
      <c r="U2" s="437" t="n"/>
      <c r="V2" s="437" t="n"/>
      <c r="W2" s="437" t="n"/>
      <c r="X2" s="437" t="n"/>
      <c r="Y2" s="437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437" t="n"/>
      <c r="AL2" s="437" t="n"/>
      <c r="AM2" s="437" t="n"/>
      <c r="AN2" s="437" t="n"/>
      <c r="AO2" s="437" t="n"/>
      <c r="AP2" s="437" t="n"/>
      <c r="AQ2" s="437" t="n"/>
      <c r="AR2" s="437" t="n"/>
      <c r="AS2" s="437" t="n"/>
      <c r="AT2" s="437" t="n"/>
      <c r="AU2" s="437" t="n"/>
      <c r="AV2" s="437" t="n"/>
      <c r="AW2" s="437" t="n"/>
      <c r="AX2" s="437" t="n"/>
      <c r="AY2" s="437" t="n"/>
      <c r="AZ2" s="437" t="n"/>
      <c r="BA2" s="437" t="n"/>
      <c r="BB2" s="437" t="n"/>
      <c r="BC2" s="437" t="n"/>
      <c r="BD2" s="437" t="n"/>
      <c r="BE2" s="437" t="n"/>
      <c r="BF2" s="437" t="n"/>
      <c r="BG2" s="437" t="n"/>
      <c r="BH2" s="437" t="n"/>
      <c r="BI2" s="437" t="n"/>
      <c r="BJ2" s="437" t="n"/>
      <c r="BK2" s="437" t="n"/>
      <c r="BL2" s="437" t="n"/>
      <c r="BM2" s="437" t="n"/>
      <c r="BN2" s="437" t="n"/>
      <c r="BO2" s="437" t="n"/>
      <c r="BP2" s="437" t="n"/>
      <c r="BQ2" s="437" t="n"/>
      <c r="BR2" s="437" t="n"/>
      <c r="BS2" s="437" t="n"/>
      <c r="BT2" s="437" t="n"/>
      <c r="BU2" s="437" t="n"/>
      <c r="BV2" s="437" t="n"/>
      <c r="BW2" s="437" t="n"/>
      <c r="BX2" s="437" t="n"/>
      <c r="BY2" s="437" t="n"/>
      <c r="BZ2" s="437" t="n"/>
      <c r="CA2" s="437" t="n"/>
      <c r="CB2" s="438" t="n"/>
    </row>
    <row r="3" ht="9.75" customHeight="1" thickBot="1"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</row>
    <row r="4" ht="17.25" customHeight="1" thickBot="1">
      <c r="C4" s="51" t="inlineStr">
        <is>
          <t xml:space="preserve">Data da pactuação: </t>
        </is>
      </c>
      <c r="D4" s="520">
        <f>DADOS!$B$3</f>
        <v/>
      </c>
      <c r="E4" s="437" t="n"/>
      <c r="F4" s="437" t="n"/>
      <c r="G4" s="437" t="n"/>
      <c r="H4" s="437" t="n"/>
      <c r="I4" s="437" t="n"/>
      <c r="J4" s="437" t="n"/>
      <c r="K4" s="437" t="n"/>
      <c r="L4" s="440" t="n"/>
    </row>
    <row r="5" ht="17.25" customHeight="1" thickBot="1">
      <c r="C5" s="51" t="inlineStr">
        <is>
          <t>Data do cálculo:</t>
        </is>
      </c>
      <c r="D5" s="520">
        <f>TODAY()</f>
        <v/>
      </c>
      <c r="E5" s="437" t="n"/>
      <c r="F5" s="437" t="n"/>
      <c r="G5" s="437" t="n"/>
      <c r="H5" s="437" t="n"/>
      <c r="I5" s="437" t="n"/>
      <c r="J5" s="437" t="n"/>
      <c r="K5" s="437" t="n"/>
      <c r="L5" s="440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</row>
    <row r="6" ht="7.5" customHeight="1" thickBot="1">
      <c r="C6" s="521" t="inlineStr">
        <is>
          <t>Data do 1º vencimento:</t>
        </is>
      </c>
      <c r="D6" s="522">
        <f>DADOS!$B$4</f>
        <v/>
      </c>
    </row>
    <row r="7" ht="15" customHeight="1" thickBot="1">
      <c r="C7" s="263" t="inlineStr">
        <is>
          <t>DADOS DO CONTRATO</t>
        </is>
      </c>
      <c r="D7" s="441" t="n"/>
      <c r="E7" s="441" t="n"/>
      <c r="F7" s="441" t="n"/>
      <c r="G7" s="441" t="n"/>
      <c r="H7" s="441" t="n"/>
      <c r="I7" s="441" t="n"/>
      <c r="J7" s="441" t="n"/>
      <c r="K7" s="441" t="n"/>
      <c r="L7" s="441" t="n"/>
      <c r="M7" s="441" t="n"/>
      <c r="N7" s="441" t="n"/>
      <c r="O7" s="441" t="n"/>
      <c r="P7" s="441" t="n"/>
      <c r="Q7" s="441" t="n"/>
      <c r="R7" s="441" t="n"/>
      <c r="S7" s="441" t="n"/>
      <c r="T7" s="441" t="n"/>
      <c r="U7" s="441" t="n"/>
      <c r="V7" s="441" t="n"/>
      <c r="W7" s="441" t="n"/>
      <c r="X7" s="441" t="n"/>
      <c r="Y7" s="442" t="n"/>
      <c r="AD7" s="266" t="inlineStr">
        <is>
          <t>VALORES RECALCULADOS</t>
        </is>
      </c>
      <c r="AE7" s="437" t="n"/>
      <c r="AF7" s="437" t="n"/>
      <c r="AG7" s="437" t="n"/>
      <c r="AH7" s="437" t="n"/>
      <c r="AI7" s="437" t="n"/>
      <c r="AJ7" s="437" t="n"/>
      <c r="AK7" s="437" t="n"/>
      <c r="AL7" s="437" t="n"/>
      <c r="AM7" s="437" t="n"/>
      <c r="AN7" s="437" t="n"/>
      <c r="AO7" s="437" t="n"/>
      <c r="AP7" s="437" t="n"/>
      <c r="AQ7" s="437" t="n"/>
      <c r="AR7" s="437" t="n"/>
      <c r="AS7" s="437" t="n"/>
      <c r="AT7" s="437" t="n"/>
      <c r="AU7" s="437" t="n"/>
      <c r="AV7" s="437" t="n"/>
      <c r="AW7" s="437" t="n"/>
      <c r="AX7" s="437" t="n"/>
      <c r="AY7" s="437" t="n"/>
      <c r="AZ7" s="440" t="n"/>
      <c r="BE7" s="523" t="inlineStr">
        <is>
          <t>SALDO RECALCULADO DESCONTANDO AS PARCELAS PAGAS</t>
        </is>
      </c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41" t="n"/>
      <c r="BQ7" s="441" t="n"/>
      <c r="BR7" s="441" t="n"/>
      <c r="BS7" s="441" t="n"/>
      <c r="BT7" s="441" t="n"/>
      <c r="BU7" s="441" t="n"/>
      <c r="BV7" s="441" t="n"/>
      <c r="BW7" s="441" t="n"/>
      <c r="BX7" s="441" t="n"/>
      <c r="BY7" s="441" t="n"/>
      <c r="BZ7" s="441" t="n"/>
      <c r="CA7" s="441" t="n"/>
      <c r="CB7" s="444" t="n"/>
    </row>
    <row r="8" ht="15" customFormat="1" customHeight="1" s="33">
      <c r="C8" s="278" t="inlineStr">
        <is>
          <t>Valor principal financiado =</t>
        </is>
      </c>
      <c r="D8" s="445" t="n"/>
      <c r="E8" s="445" t="n"/>
      <c r="F8" s="445" t="n"/>
      <c r="G8" s="445" t="n"/>
      <c r="H8" s="446" t="n"/>
      <c r="I8" s="524">
        <f>DADOS!$B$6</f>
        <v/>
      </c>
      <c r="J8" s="445" t="n"/>
      <c r="K8" s="445" t="n"/>
      <c r="L8" s="445" t="n"/>
      <c r="M8" s="445" t="n"/>
      <c r="N8" s="445" t="n"/>
      <c r="O8" s="445" t="n"/>
      <c r="P8" s="445" t="n"/>
      <c r="Q8" s="445" t="n"/>
      <c r="R8" s="445" t="n"/>
      <c r="S8" s="445" t="n"/>
      <c r="T8" s="445" t="n"/>
      <c r="U8" s="445" t="n"/>
      <c r="V8" s="445" t="n"/>
      <c r="W8" s="445" t="n"/>
      <c r="X8" s="445" t="n"/>
      <c r="Y8" s="446" t="n"/>
      <c r="AD8" s="282" t="inlineStr">
        <is>
          <t>Valor principal financiado =</t>
        </is>
      </c>
      <c r="AE8" s="448" t="n"/>
      <c r="AF8" s="448" t="n"/>
      <c r="AG8" s="448" t="n"/>
      <c r="AH8" s="448" t="n"/>
      <c r="AI8" s="448" t="n"/>
      <c r="AJ8" s="448" t="n"/>
      <c r="AK8" s="448" t="n"/>
      <c r="AL8" s="448" t="n"/>
      <c r="AM8" s="448" t="n"/>
      <c r="AN8" s="448" t="n"/>
      <c r="AO8" s="449" t="n"/>
      <c r="AP8" s="525">
        <f>I8</f>
        <v/>
      </c>
      <c r="AQ8" s="448" t="n"/>
      <c r="AR8" s="448" t="n"/>
      <c r="AS8" s="448" t="n"/>
      <c r="AT8" s="448" t="n"/>
      <c r="AU8" s="448" t="n"/>
      <c r="AV8" s="448" t="n"/>
      <c r="AW8" s="448" t="n"/>
      <c r="AX8" s="448" t="n"/>
      <c r="AY8" s="448" t="n"/>
      <c r="AZ8" s="449" t="n"/>
      <c r="BE8" s="278" t="inlineStr">
        <is>
          <t xml:space="preserve">Saldo devedor total do contrato = </t>
        </is>
      </c>
      <c r="BF8" s="445" t="n"/>
      <c r="BG8" s="445" t="n"/>
      <c r="BH8" s="445" t="n"/>
      <c r="BI8" s="445" t="n"/>
      <c r="BJ8" s="445" t="n"/>
      <c r="BK8" s="446" t="n"/>
      <c r="BL8" s="526">
        <f>AP18</f>
        <v/>
      </c>
      <c r="BM8" s="445" t="n"/>
      <c r="BN8" s="445" t="n"/>
      <c r="BO8" s="445" t="n"/>
      <c r="BP8" s="445" t="n"/>
      <c r="BQ8" s="445" t="n"/>
      <c r="BR8" s="445" t="n"/>
      <c r="BS8" s="445" t="n"/>
      <c r="BT8" s="445" t="n"/>
      <c r="BU8" s="445" t="n"/>
      <c r="BV8" s="445" t="n"/>
      <c r="BW8" s="445" t="n"/>
      <c r="BX8" s="445" t="n"/>
      <c r="BY8" s="445" t="n"/>
      <c r="BZ8" s="445" t="n"/>
      <c r="CA8" s="445" t="n"/>
      <c r="CB8" s="446" t="n"/>
      <c r="CE8" s="452" t="n"/>
      <c r="CI8" s="35" t="n"/>
      <c r="CK8" s="452" t="n"/>
      <c r="CL8" s="35" t="n"/>
    </row>
    <row r="9" ht="15" customFormat="1" customHeight="1" s="33">
      <c r="C9" s="272" t="inlineStr">
        <is>
          <t xml:space="preserve">Seguros = </t>
        </is>
      </c>
      <c r="D9" s="453" t="n"/>
      <c r="E9" s="453" t="n"/>
      <c r="F9" s="453" t="n"/>
      <c r="G9" s="453" t="n"/>
      <c r="H9" s="454" t="n"/>
      <c r="I9" s="527" t="n">
        <v>0</v>
      </c>
      <c r="J9" s="453" t="n"/>
      <c r="K9" s="453" t="n"/>
      <c r="L9" s="453" t="n"/>
      <c r="M9" s="453" t="n"/>
      <c r="N9" s="453" t="n"/>
      <c r="O9" s="453" t="n"/>
      <c r="P9" s="453" t="n"/>
      <c r="Q9" s="453" t="n"/>
      <c r="R9" s="453" t="n"/>
      <c r="S9" s="453" t="n"/>
      <c r="T9" s="453" t="n"/>
      <c r="U9" s="453" t="n"/>
      <c r="V9" s="453" t="n"/>
      <c r="W9" s="453" t="n"/>
      <c r="X9" s="453" t="n"/>
      <c r="Y9" s="454" t="n"/>
      <c r="AD9" s="272" t="inlineStr">
        <is>
          <t xml:space="preserve">Seguros = </t>
        </is>
      </c>
      <c r="AE9" s="453" t="n"/>
      <c r="AF9" s="453" t="n"/>
      <c r="AG9" s="453" t="n"/>
      <c r="AH9" s="453" t="n"/>
      <c r="AI9" s="453" t="n"/>
      <c r="AJ9" s="453" t="n"/>
      <c r="AK9" s="453" t="n"/>
      <c r="AL9" s="453" t="n"/>
      <c r="AM9" s="453" t="n"/>
      <c r="AN9" s="453" t="n"/>
      <c r="AO9" s="454" t="n"/>
      <c r="AP9" s="527" t="n">
        <v>0</v>
      </c>
      <c r="AQ9" s="453" t="n"/>
      <c r="AR9" s="453" t="n"/>
      <c r="AS9" s="453" t="n"/>
      <c r="AT9" s="453" t="n"/>
      <c r="AU9" s="453" t="n"/>
      <c r="AV9" s="453" t="n"/>
      <c r="AW9" s="453" t="n"/>
      <c r="AX9" s="453" t="n"/>
      <c r="AY9" s="453" t="n"/>
      <c r="AZ9" s="454" t="n"/>
      <c r="BE9" s="272" t="inlineStr">
        <is>
          <t>Quantidade de parcelas pagas=</t>
        </is>
      </c>
      <c r="BF9" s="453" t="n"/>
      <c r="BG9" s="453" t="n"/>
      <c r="BH9" s="453" t="n"/>
      <c r="BI9" s="453" t="n"/>
      <c r="BJ9" s="453" t="n"/>
      <c r="BK9" s="454" t="n"/>
      <c r="BL9" s="276">
        <f>DADOS!$B$13</f>
        <v/>
      </c>
      <c r="BM9" s="453" t="n"/>
      <c r="BN9" s="453" t="n"/>
      <c r="BO9" s="453" t="n"/>
      <c r="BP9" s="453" t="n"/>
      <c r="BQ9" s="453" t="n"/>
      <c r="BR9" s="453" t="n"/>
      <c r="BS9" s="453" t="n"/>
      <c r="BT9" s="453" t="n"/>
      <c r="BU9" s="453" t="n"/>
      <c r="BV9" s="453" t="n"/>
      <c r="BW9" s="453" t="n"/>
      <c r="BX9" s="453" t="n"/>
      <c r="BY9" s="453" t="n"/>
      <c r="BZ9" s="453" t="n"/>
      <c r="CA9" s="453" t="n"/>
      <c r="CB9" s="454" t="n"/>
      <c r="CE9" s="452" t="n"/>
      <c r="CI9" s="35" t="n"/>
      <c r="CK9" s="452" t="n"/>
      <c r="CL9" s="35" t="n"/>
    </row>
    <row r="10" ht="15" customFormat="1" customHeight="1" s="33">
      <c r="C10" s="272" t="inlineStr">
        <is>
          <t xml:space="preserve">TAC = </t>
        </is>
      </c>
      <c r="D10" s="453" t="n"/>
      <c r="E10" s="453" t="n"/>
      <c r="F10" s="453" t="n"/>
      <c r="G10" s="453" t="n"/>
      <c r="H10" s="454" t="n"/>
      <c r="I10" s="527">
        <f>DADOS!$B$7</f>
        <v/>
      </c>
      <c r="J10" s="453" t="n"/>
      <c r="K10" s="453" t="n"/>
      <c r="L10" s="453" t="n"/>
      <c r="M10" s="453" t="n"/>
      <c r="N10" s="453" t="n"/>
      <c r="O10" s="453" t="n"/>
      <c r="P10" s="453" t="n"/>
      <c r="Q10" s="453" t="n"/>
      <c r="R10" s="453" t="n"/>
      <c r="S10" s="453" t="n"/>
      <c r="T10" s="453" t="n"/>
      <c r="U10" s="453" t="n"/>
      <c r="V10" s="453" t="n"/>
      <c r="W10" s="453" t="n"/>
      <c r="X10" s="453" t="n"/>
      <c r="Y10" s="454" t="n"/>
      <c r="AD10" s="272" t="inlineStr">
        <is>
          <t xml:space="preserve">TAC = </t>
        </is>
      </c>
      <c r="AE10" s="453" t="n"/>
      <c r="AF10" s="453" t="n"/>
      <c r="AG10" s="453" t="n"/>
      <c r="AH10" s="453" t="n"/>
      <c r="AI10" s="453" t="n"/>
      <c r="AJ10" s="453" t="n"/>
      <c r="AK10" s="453" t="n"/>
      <c r="AL10" s="453" t="n"/>
      <c r="AM10" s="453" t="n"/>
      <c r="AN10" s="453" t="n"/>
      <c r="AO10" s="454" t="n"/>
      <c r="AP10" s="527" t="n">
        <v>0</v>
      </c>
      <c r="AQ10" s="453" t="n"/>
      <c r="AR10" s="453" t="n"/>
      <c r="AS10" s="453" t="n"/>
      <c r="AT10" s="453" t="n"/>
      <c r="AU10" s="453" t="n"/>
      <c r="AV10" s="453" t="n"/>
      <c r="AW10" s="453" t="n"/>
      <c r="AX10" s="453" t="n"/>
      <c r="AY10" s="453" t="n"/>
      <c r="AZ10" s="454" t="n"/>
      <c r="BE10" s="272" t="inlineStr">
        <is>
          <t xml:space="preserve">Valor da parcela paga = </t>
        </is>
      </c>
      <c r="BF10" s="453" t="n"/>
      <c r="BG10" s="453" t="n"/>
      <c r="BH10" s="453" t="n"/>
      <c r="BI10" s="453" t="n"/>
      <c r="BJ10" s="453" t="n"/>
      <c r="BK10" s="454" t="n"/>
      <c r="BL10" s="528">
        <f>I17</f>
        <v/>
      </c>
      <c r="BM10" s="453" t="n"/>
      <c r="BN10" s="453" t="n"/>
      <c r="BO10" s="453" t="n"/>
      <c r="BP10" s="453" t="n"/>
      <c r="BQ10" s="453" t="n"/>
      <c r="BR10" s="453" t="n"/>
      <c r="BS10" s="453" t="n"/>
      <c r="BT10" s="453" t="n"/>
      <c r="BU10" s="453" t="n"/>
      <c r="BV10" s="453" t="n"/>
      <c r="BW10" s="453" t="n"/>
      <c r="BX10" s="453" t="n"/>
      <c r="BY10" s="453" t="n"/>
      <c r="BZ10" s="453" t="n"/>
      <c r="CA10" s="453" t="n"/>
      <c r="CB10" s="454" t="n"/>
      <c r="CE10" s="452" t="n"/>
      <c r="CI10" s="35" t="n"/>
      <c r="CK10" s="452" t="n"/>
      <c r="CL10" s="35" t="n"/>
    </row>
    <row r="11" ht="15" customFormat="1" customHeight="1" s="33">
      <c r="C11" s="272" t="inlineStr">
        <is>
          <t xml:space="preserve">Registro = </t>
        </is>
      </c>
      <c r="D11" s="453" t="n"/>
      <c r="E11" s="453" t="n"/>
      <c r="F11" s="453" t="n"/>
      <c r="G11" s="453" t="n"/>
      <c r="H11" s="454" t="n"/>
      <c r="I11" s="527" t="n">
        <v>0</v>
      </c>
      <c r="J11" s="453" t="n"/>
      <c r="K11" s="453" t="n"/>
      <c r="L11" s="453" t="n"/>
      <c r="M11" s="453" t="n"/>
      <c r="N11" s="453" t="n"/>
      <c r="O11" s="453" t="n"/>
      <c r="P11" s="453" t="n"/>
      <c r="Q11" s="453" t="n"/>
      <c r="R11" s="453" t="n"/>
      <c r="S11" s="453" t="n"/>
      <c r="T11" s="453" t="n"/>
      <c r="U11" s="453" t="n"/>
      <c r="V11" s="453" t="n"/>
      <c r="W11" s="453" t="n"/>
      <c r="X11" s="453" t="n"/>
      <c r="Y11" s="454" t="n"/>
      <c r="AD11" s="272" t="inlineStr">
        <is>
          <t xml:space="preserve">Registro = </t>
        </is>
      </c>
      <c r="AE11" s="453" t="n"/>
      <c r="AF11" s="453" t="n"/>
      <c r="AG11" s="453" t="n"/>
      <c r="AH11" s="453" t="n"/>
      <c r="AI11" s="453" t="n"/>
      <c r="AJ11" s="453" t="n"/>
      <c r="AK11" s="453" t="n"/>
      <c r="AL11" s="453" t="n"/>
      <c r="AM11" s="453" t="n"/>
      <c r="AN11" s="453" t="n"/>
      <c r="AO11" s="454" t="n"/>
      <c r="AP11" s="527" t="n">
        <v>0</v>
      </c>
      <c r="AQ11" s="453" t="n"/>
      <c r="AR11" s="453" t="n"/>
      <c r="AS11" s="453" t="n"/>
      <c r="AT11" s="453" t="n"/>
      <c r="AU11" s="453" t="n"/>
      <c r="AV11" s="453" t="n"/>
      <c r="AW11" s="453" t="n"/>
      <c r="AX11" s="453" t="n"/>
      <c r="AY11" s="453" t="n"/>
      <c r="AZ11" s="454" t="n"/>
      <c r="BE11" s="272" t="inlineStr">
        <is>
          <t xml:space="preserve">Valor total pago pelo cliente = </t>
        </is>
      </c>
      <c r="BF11" s="453" t="n"/>
      <c r="BG11" s="453" t="n"/>
      <c r="BH11" s="453" t="n"/>
      <c r="BI11" s="453" t="n"/>
      <c r="BJ11" s="453" t="n"/>
      <c r="BK11" s="454" t="n"/>
      <c r="BL11" s="527">
        <f>BL9*BL10</f>
        <v/>
      </c>
      <c r="BM11" s="453" t="n"/>
      <c r="BN11" s="453" t="n"/>
      <c r="BO11" s="453" t="n"/>
      <c r="BP11" s="453" t="n"/>
      <c r="BQ11" s="453" t="n"/>
      <c r="BR11" s="453" t="n"/>
      <c r="BS11" s="453" t="n"/>
      <c r="BT11" s="453" t="n"/>
      <c r="BU11" s="453" t="n"/>
      <c r="BV11" s="453" t="n"/>
      <c r="BW11" s="453" t="n"/>
      <c r="BX11" s="453" t="n"/>
      <c r="BY11" s="453" t="n"/>
      <c r="BZ11" s="453" t="n"/>
      <c r="CA11" s="453" t="n"/>
      <c r="CB11" s="454" t="n"/>
      <c r="CE11" s="457" t="n"/>
      <c r="CI11" s="452" t="n"/>
      <c r="CJ11" s="458" t="n"/>
      <c r="CK11" s="457" t="n"/>
      <c r="CL11" s="35" t="n"/>
    </row>
    <row r="12" ht="15" customFormat="1" customHeight="1" s="33">
      <c r="C12" s="272" t="inlineStr">
        <is>
          <t xml:space="preserve">Avaliação = </t>
        </is>
      </c>
      <c r="D12" s="453" t="n"/>
      <c r="E12" s="453" t="n"/>
      <c r="F12" s="453" t="n"/>
      <c r="G12" s="453" t="n"/>
      <c r="H12" s="454" t="n"/>
      <c r="I12" s="527" t="n">
        <v>0</v>
      </c>
      <c r="J12" s="453" t="n"/>
      <c r="K12" s="453" t="n"/>
      <c r="L12" s="453" t="n"/>
      <c r="M12" s="453" t="n"/>
      <c r="N12" s="453" t="n"/>
      <c r="O12" s="453" t="n"/>
      <c r="P12" s="453" t="n"/>
      <c r="Q12" s="453" t="n"/>
      <c r="R12" s="453" t="n"/>
      <c r="S12" s="453" t="n"/>
      <c r="T12" s="453" t="n"/>
      <c r="U12" s="453" t="n"/>
      <c r="V12" s="453" t="n"/>
      <c r="W12" s="453" t="n"/>
      <c r="X12" s="453" t="n"/>
      <c r="Y12" s="454" t="n"/>
      <c r="AD12" s="272" t="inlineStr">
        <is>
          <t xml:space="preserve">Avaliação = </t>
        </is>
      </c>
      <c r="AE12" s="453" t="n"/>
      <c r="AF12" s="453" t="n"/>
      <c r="AG12" s="453" t="n"/>
      <c r="AH12" s="453" t="n"/>
      <c r="AI12" s="453" t="n"/>
      <c r="AJ12" s="453" t="n"/>
      <c r="AK12" s="453" t="n"/>
      <c r="AL12" s="453" t="n"/>
      <c r="AM12" s="453" t="n"/>
      <c r="AN12" s="453" t="n"/>
      <c r="AO12" s="454" t="n"/>
      <c r="AP12" s="527" t="n">
        <v>0</v>
      </c>
      <c r="AQ12" s="453" t="n"/>
      <c r="AR12" s="453" t="n"/>
      <c r="AS12" s="453" t="n"/>
      <c r="AT12" s="453" t="n"/>
      <c r="AU12" s="453" t="n"/>
      <c r="AV12" s="453" t="n"/>
      <c r="AW12" s="453" t="n"/>
      <c r="AX12" s="453" t="n"/>
      <c r="AY12" s="453" t="n"/>
      <c r="AZ12" s="454" t="n"/>
      <c r="BE12" s="272" t="inlineStr">
        <is>
          <t xml:space="preserve">Saldo devedor atualizado = </t>
        </is>
      </c>
      <c r="BF12" s="453" t="n"/>
      <c r="BG12" s="453" t="n"/>
      <c r="BH12" s="453" t="n"/>
      <c r="BI12" s="453" t="n"/>
      <c r="BJ12" s="453" t="n"/>
      <c r="BK12" s="454" t="n"/>
      <c r="BL12" s="527">
        <f>BL8-BL11</f>
        <v/>
      </c>
      <c r="BM12" s="453" t="n"/>
      <c r="BN12" s="453" t="n"/>
      <c r="BO12" s="453" t="n"/>
      <c r="BP12" s="453" t="n"/>
      <c r="BQ12" s="453" t="n"/>
      <c r="BR12" s="453" t="n"/>
      <c r="BS12" s="453" t="n"/>
      <c r="BT12" s="453" t="n"/>
      <c r="BU12" s="453" t="n"/>
      <c r="BV12" s="453" t="n"/>
      <c r="BW12" s="453" t="n"/>
      <c r="BX12" s="453" t="n"/>
      <c r="BY12" s="453" t="n"/>
      <c r="BZ12" s="453" t="n"/>
      <c r="CA12" s="453" t="n"/>
      <c r="CB12" s="454" t="n"/>
      <c r="CC12" s="529" t="n"/>
      <c r="CE12" s="457" t="n"/>
      <c r="CI12" s="452" t="n"/>
      <c r="CJ12" s="458" t="n"/>
      <c r="CK12" s="457" t="n"/>
      <c r="CL12" s="35" t="n"/>
    </row>
    <row r="13" ht="15" customFormat="1" customHeight="1" s="33">
      <c r="C13" s="272" t="inlineStr">
        <is>
          <t xml:space="preserve">Outros = </t>
        </is>
      </c>
      <c r="D13" s="453" t="n"/>
      <c r="E13" s="453" t="n"/>
      <c r="F13" s="453" t="n"/>
      <c r="G13" s="453" t="n"/>
      <c r="H13" s="454" t="n"/>
      <c r="I13" s="527" t="n">
        <v>0</v>
      </c>
      <c r="J13" s="453" t="n"/>
      <c r="K13" s="453" t="n"/>
      <c r="L13" s="453" t="n"/>
      <c r="M13" s="453" t="n"/>
      <c r="N13" s="453" t="n"/>
      <c r="O13" s="453" t="n"/>
      <c r="P13" s="453" t="n"/>
      <c r="Q13" s="453" t="n"/>
      <c r="R13" s="453" t="n"/>
      <c r="S13" s="453" t="n"/>
      <c r="T13" s="453" t="n"/>
      <c r="U13" s="453" t="n"/>
      <c r="V13" s="453" t="n"/>
      <c r="W13" s="453" t="n"/>
      <c r="X13" s="453" t="n"/>
      <c r="Y13" s="454" t="n"/>
      <c r="AD13" s="272" t="inlineStr">
        <is>
          <t xml:space="preserve">Outros = </t>
        </is>
      </c>
      <c r="AE13" s="453" t="n"/>
      <c r="AF13" s="453" t="n"/>
      <c r="AG13" s="453" t="n"/>
      <c r="AH13" s="453" t="n"/>
      <c r="AI13" s="453" t="n"/>
      <c r="AJ13" s="453" t="n"/>
      <c r="AK13" s="453" t="n"/>
      <c r="AL13" s="453" t="n"/>
      <c r="AM13" s="453" t="n"/>
      <c r="AN13" s="453" t="n"/>
      <c r="AO13" s="454" t="n"/>
      <c r="AP13" s="527" t="n">
        <v>0</v>
      </c>
      <c r="AQ13" s="453" t="n"/>
      <c r="AR13" s="453" t="n"/>
      <c r="AS13" s="453" t="n"/>
      <c r="AT13" s="453" t="n"/>
      <c r="AU13" s="453" t="n"/>
      <c r="AV13" s="453" t="n"/>
      <c r="AW13" s="453" t="n"/>
      <c r="AX13" s="453" t="n"/>
      <c r="AY13" s="453" t="n"/>
      <c r="AZ13" s="454" t="n"/>
      <c r="BE13" s="272" t="inlineStr">
        <is>
          <t xml:space="preserve">Quantidade de parcelas a vencer = </t>
        </is>
      </c>
      <c r="BF13" s="453" t="n"/>
      <c r="BG13" s="453" t="n"/>
      <c r="BH13" s="453" t="n"/>
      <c r="BI13" s="453" t="n"/>
      <c r="BJ13" s="453" t="n"/>
      <c r="BK13" s="454" t="n"/>
      <c r="BL13" s="290">
        <f>I16-BL9</f>
        <v/>
      </c>
      <c r="BM13" s="453" t="n"/>
      <c r="BN13" s="453" t="n"/>
      <c r="BO13" s="453" t="n"/>
      <c r="BP13" s="453" t="n"/>
      <c r="BQ13" s="453" t="n"/>
      <c r="BR13" s="453" t="n"/>
      <c r="BS13" s="453" t="n"/>
      <c r="BT13" s="453" t="n"/>
      <c r="BU13" s="453" t="n"/>
      <c r="BV13" s="453" t="n"/>
      <c r="BW13" s="453" t="n"/>
      <c r="BX13" s="453" t="n"/>
      <c r="BY13" s="453" t="n"/>
      <c r="BZ13" s="453" t="n"/>
      <c r="CA13" s="453" t="n"/>
      <c r="CB13" s="454" t="n"/>
      <c r="CE13" s="457" t="n"/>
      <c r="CI13" s="452" t="n"/>
      <c r="CJ13" s="458" t="n"/>
      <c r="CK13" s="457" t="n"/>
      <c r="CL13" s="35" t="n"/>
    </row>
    <row r="14" ht="15" customFormat="1" customHeight="1" s="33">
      <c r="C14" s="272" t="inlineStr">
        <is>
          <t xml:space="preserve">IOF =  </t>
        </is>
      </c>
      <c r="D14" s="453" t="n"/>
      <c r="E14" s="453" t="n"/>
      <c r="F14" s="453" t="n"/>
      <c r="G14" s="453" t="n"/>
      <c r="H14" s="454" t="n"/>
      <c r="I14" s="530">
        <f>DADOS!$B$8</f>
        <v/>
      </c>
      <c r="J14" s="453" t="n"/>
      <c r="K14" s="453" t="n"/>
      <c r="L14" s="453" t="n"/>
      <c r="M14" s="453" t="n"/>
      <c r="N14" s="453" t="n"/>
      <c r="O14" s="453" t="n"/>
      <c r="P14" s="453" t="n"/>
      <c r="Q14" s="453" t="n"/>
      <c r="R14" s="453" t="n"/>
      <c r="S14" s="453" t="n"/>
      <c r="T14" s="453" t="n"/>
      <c r="U14" s="453" t="n"/>
      <c r="V14" s="453" t="n"/>
      <c r="W14" s="453" t="n"/>
      <c r="X14" s="453" t="n"/>
      <c r="Y14" s="461" t="n"/>
      <c r="AD14" s="272" t="inlineStr">
        <is>
          <t xml:space="preserve">IOF = </t>
        </is>
      </c>
      <c r="AE14" s="453" t="n"/>
      <c r="AF14" s="453" t="n"/>
      <c r="AG14" s="453" t="n"/>
      <c r="AH14" s="453" t="n"/>
      <c r="AI14" s="453" t="n"/>
      <c r="AJ14" s="453" t="n"/>
      <c r="AK14" s="453" t="n"/>
      <c r="AL14" s="453" t="n"/>
      <c r="AM14" s="453" t="n"/>
      <c r="AN14" s="453" t="n"/>
      <c r="AO14" s="454" t="n"/>
      <c r="AP14" s="530">
        <f>I14</f>
        <v/>
      </c>
      <c r="AQ14" s="453" t="n"/>
      <c r="AR14" s="453" t="n"/>
      <c r="AS14" s="453" t="n"/>
      <c r="AT14" s="453" t="n"/>
      <c r="AU14" s="453" t="n"/>
      <c r="AV14" s="453" t="n"/>
      <c r="AW14" s="453" t="n"/>
      <c r="AX14" s="453" t="n"/>
      <c r="AY14" s="453" t="n"/>
      <c r="AZ14" s="461" t="n"/>
      <c r="BE14" s="324" t="inlineStr">
        <is>
          <t xml:space="preserve">Valor da parcela atual = </t>
        </is>
      </c>
      <c r="BF14" s="462" t="n"/>
      <c r="BG14" s="462" t="n"/>
      <c r="BH14" s="462" t="n"/>
      <c r="BI14" s="462" t="n"/>
      <c r="BJ14" s="462" t="n"/>
      <c r="BK14" s="463" t="n"/>
      <c r="BL14" s="531">
        <f>BL12/BL13</f>
        <v/>
      </c>
      <c r="BM14" s="462" t="n"/>
      <c r="BN14" s="462" t="n"/>
      <c r="BO14" s="462" t="n"/>
      <c r="BP14" s="462" t="n"/>
      <c r="BQ14" s="462" t="n"/>
      <c r="BR14" s="462" t="n"/>
      <c r="BS14" s="462" t="n"/>
      <c r="BT14" s="462" t="n"/>
      <c r="BU14" s="462" t="n"/>
      <c r="BV14" s="462" t="n"/>
      <c r="BW14" s="462" t="n"/>
      <c r="BX14" s="462" t="n"/>
      <c r="BY14" s="462" t="n"/>
      <c r="BZ14" s="462" t="n"/>
      <c r="CA14" s="462" t="n"/>
      <c r="CB14" s="465" t="n"/>
      <c r="CE14" s="457" t="n"/>
      <c r="CI14" s="452" t="n"/>
      <c r="CJ14" s="458" t="n"/>
      <c r="CK14" s="457" t="n"/>
      <c r="CL14" s="35" t="n"/>
    </row>
    <row r="15" ht="15" customFormat="1" customHeight="1" s="33" thickBot="1">
      <c r="C15" s="272" t="inlineStr">
        <is>
          <t xml:space="preserve">Valor financiado total no contrato = </t>
        </is>
      </c>
      <c r="D15" s="453" t="n"/>
      <c r="E15" s="453" t="n"/>
      <c r="F15" s="453" t="n"/>
      <c r="G15" s="453" t="n"/>
      <c r="H15" s="454" t="n"/>
      <c r="I15" s="527">
        <f>SUM(I8:Y14)</f>
        <v/>
      </c>
      <c r="J15" s="453" t="n"/>
      <c r="K15" s="453" t="n"/>
      <c r="L15" s="453" t="n"/>
      <c r="M15" s="453" t="n"/>
      <c r="N15" s="453" t="n"/>
      <c r="O15" s="453" t="n"/>
      <c r="P15" s="453" t="n"/>
      <c r="Q15" s="453" t="n"/>
      <c r="R15" s="453" t="n"/>
      <c r="S15" s="453" t="n"/>
      <c r="T15" s="453" t="n"/>
      <c r="U15" s="453" t="n"/>
      <c r="V15" s="453" t="n"/>
      <c r="W15" s="453" t="n"/>
      <c r="X15" s="453" t="n"/>
      <c r="Y15" s="454" t="n"/>
      <c r="AD15" s="272" t="inlineStr">
        <is>
          <t xml:space="preserve">Valor financiado total no contrato = </t>
        </is>
      </c>
      <c r="AE15" s="453" t="n"/>
      <c r="AF15" s="453" t="n"/>
      <c r="AG15" s="453" t="n"/>
      <c r="AH15" s="453" t="n"/>
      <c r="AI15" s="453" t="n"/>
      <c r="AJ15" s="453" t="n"/>
      <c r="AK15" s="453" t="n"/>
      <c r="AL15" s="453" t="n"/>
      <c r="AM15" s="453" t="n"/>
      <c r="AN15" s="453" t="n"/>
      <c r="AO15" s="454" t="n"/>
      <c r="AP15" s="527">
        <f>SUM(AP8:AZ14)</f>
        <v/>
      </c>
      <c r="AQ15" s="453" t="n"/>
      <c r="AR15" s="453" t="n"/>
      <c r="AS15" s="453" t="n"/>
      <c r="AT15" s="453" t="n"/>
      <c r="AU15" s="453" t="n"/>
      <c r="AV15" s="453" t="n"/>
      <c r="AW15" s="453" t="n"/>
      <c r="AX15" s="453" t="n"/>
      <c r="AY15" s="453" t="n"/>
      <c r="AZ15" s="454" t="n"/>
      <c r="BE15" s="466" t="n"/>
      <c r="BF15" s="467" t="n"/>
      <c r="BG15" s="467" t="n"/>
      <c r="BH15" s="467" t="n"/>
      <c r="BI15" s="467" t="n"/>
      <c r="BJ15" s="467" t="n"/>
      <c r="BK15" s="468" t="n"/>
      <c r="BL15" s="469" t="n"/>
      <c r="BM15" s="467" t="n"/>
      <c r="BN15" s="467" t="n"/>
      <c r="BO15" s="467" t="n"/>
      <c r="BP15" s="467" t="n"/>
      <c r="BQ15" s="467" t="n"/>
      <c r="BR15" s="467" t="n"/>
      <c r="BS15" s="467" t="n"/>
      <c r="BT15" s="467" t="n"/>
      <c r="BU15" s="467" t="n"/>
      <c r="BV15" s="467" t="n"/>
      <c r="BW15" s="467" t="n"/>
      <c r="BX15" s="467" t="n"/>
      <c r="BY15" s="467" t="n"/>
      <c r="BZ15" s="467" t="n"/>
      <c r="CA15" s="467" t="n"/>
      <c r="CB15" s="470" t="n"/>
      <c r="CE15" s="457" t="n"/>
      <c r="CI15" s="452" t="n"/>
      <c r="CJ15" s="458" t="n"/>
      <c r="CK15" s="457" t="n"/>
      <c r="CL15" s="35" t="n"/>
    </row>
    <row r="16" ht="15" customFormat="1" customHeight="1" s="33" thickBot="1">
      <c r="C16" s="272" t="inlineStr">
        <is>
          <t xml:space="preserve">Quantidade de parcelas = </t>
        </is>
      </c>
      <c r="D16" s="453" t="n"/>
      <c r="E16" s="453" t="n"/>
      <c r="F16" s="453" t="n"/>
      <c r="G16" s="453" t="n"/>
      <c r="H16" s="454" t="n"/>
      <c r="I16" s="290">
        <f>DADOS!$B$9</f>
        <v/>
      </c>
      <c r="J16" s="453" t="n"/>
      <c r="K16" s="453" t="n"/>
      <c r="L16" s="453" t="n"/>
      <c r="M16" s="453" t="n"/>
      <c r="N16" s="453" t="n"/>
      <c r="O16" s="453" t="n"/>
      <c r="P16" s="453" t="n"/>
      <c r="Q16" s="453" t="n"/>
      <c r="R16" s="453" t="n"/>
      <c r="S16" s="453" t="n"/>
      <c r="T16" s="453" t="n"/>
      <c r="U16" s="453" t="n"/>
      <c r="V16" s="453" t="n"/>
      <c r="W16" s="453" t="n"/>
      <c r="X16" s="453" t="n"/>
      <c r="Y16" s="454" t="n"/>
      <c r="AD16" s="272" t="inlineStr">
        <is>
          <t xml:space="preserve">Taxa média = </t>
        </is>
      </c>
      <c r="AE16" s="453" t="n"/>
      <c r="AF16" s="453" t="n"/>
      <c r="AG16" s="453" t="n"/>
      <c r="AH16" s="453" t="n"/>
      <c r="AI16" s="453" t="n"/>
      <c r="AJ16" s="453" t="n"/>
      <c r="AK16" s="453" t="n"/>
      <c r="AL16" s="453" t="n"/>
      <c r="AM16" s="453" t="n"/>
      <c r="AN16" s="453" t="n"/>
      <c r="AO16" s="454" t="n"/>
      <c r="AP16" s="312">
        <f>DADOS!$B$12</f>
        <v/>
      </c>
      <c r="AQ16" s="453" t="n"/>
      <c r="AR16" s="453" t="n"/>
      <c r="AS16" s="453" t="n"/>
      <c r="AT16" s="453" t="n"/>
      <c r="AU16" s="453" t="n"/>
      <c r="AV16" s="453" t="n"/>
      <c r="AW16" s="453" t="n"/>
      <c r="AX16" s="453" t="n"/>
      <c r="AY16" s="453" t="n"/>
      <c r="AZ16" s="454" t="n"/>
      <c r="CE16" s="457" t="n"/>
      <c r="CI16" s="452" t="n"/>
      <c r="CJ16" s="458" t="n"/>
      <c r="CK16" s="457" t="n"/>
      <c r="CL16" s="35" t="n"/>
    </row>
    <row r="17" ht="15" customFormat="1" customHeight="1" s="33">
      <c r="C17" s="272" t="inlineStr">
        <is>
          <t xml:space="preserve">Valor da parcela cobrada = </t>
        </is>
      </c>
      <c r="D17" s="453" t="n"/>
      <c r="E17" s="453" t="n"/>
      <c r="F17" s="453" t="n"/>
      <c r="G17" s="453" t="n"/>
      <c r="H17" s="454" t="n"/>
      <c r="I17" s="527">
        <f>DADOS!$B$10</f>
        <v/>
      </c>
      <c r="J17" s="453" t="n"/>
      <c r="K17" s="453" t="n"/>
      <c r="L17" s="453" t="n"/>
      <c r="M17" s="453" t="n"/>
      <c r="N17" s="453" t="n"/>
      <c r="O17" s="453" t="n"/>
      <c r="P17" s="453" t="n"/>
      <c r="Q17" s="453" t="n"/>
      <c r="R17" s="453" t="n"/>
      <c r="S17" s="453" t="n"/>
      <c r="T17" s="453" t="n"/>
      <c r="U17" s="453" t="n"/>
      <c r="V17" s="453" t="n"/>
      <c r="W17" s="453" t="n"/>
      <c r="X17" s="453" t="n"/>
      <c r="Y17" s="454" t="n"/>
      <c r="AD17" s="272" t="inlineStr">
        <is>
          <t>Valor da parcela recalculada =</t>
        </is>
      </c>
      <c r="AE17" s="453" t="n"/>
      <c r="AF17" s="453" t="n"/>
      <c r="AG17" s="453" t="n"/>
      <c r="AH17" s="453" t="n"/>
      <c r="AI17" s="453" t="n"/>
      <c r="AJ17" s="453" t="n"/>
      <c r="AK17" s="453" t="n"/>
      <c r="AL17" s="453" t="n"/>
      <c r="AM17" s="453" t="n"/>
      <c r="AN17" s="453" t="n"/>
      <c r="AO17" s="454" t="n"/>
      <c r="AP17" s="532">
        <f>AH122</f>
        <v/>
      </c>
      <c r="AQ17" s="453" t="n"/>
      <c r="AR17" s="453" t="n"/>
      <c r="AS17" s="453" t="n"/>
      <c r="AT17" s="453" t="n"/>
      <c r="AU17" s="453" t="n"/>
      <c r="AV17" s="453" t="n"/>
      <c r="AW17" s="453" t="n"/>
      <c r="AX17" s="453" t="n"/>
      <c r="AY17" s="453" t="n"/>
      <c r="AZ17" s="454" t="n"/>
      <c r="BE17" s="278" t="inlineStr">
        <is>
          <t xml:space="preserve">Saldo do contrato = </t>
        </is>
      </c>
      <c r="BF17" s="445" t="n"/>
      <c r="BG17" s="445" t="n"/>
      <c r="BH17" s="445" t="n"/>
      <c r="BI17" s="445" t="n"/>
      <c r="BJ17" s="445" t="n"/>
      <c r="BK17" s="446" t="n"/>
      <c r="BL17" s="524">
        <f>BL13*I17</f>
        <v/>
      </c>
      <c r="BM17" s="445" t="n"/>
      <c r="BN17" s="445" t="n"/>
      <c r="BO17" s="445" t="n"/>
      <c r="BP17" s="445" t="n"/>
      <c r="BQ17" s="445" t="n"/>
      <c r="BR17" s="445" t="n"/>
      <c r="BS17" s="445" t="n"/>
      <c r="BT17" s="445" t="n"/>
      <c r="BU17" s="445" t="n"/>
      <c r="BV17" s="445" t="n"/>
      <c r="BW17" s="445" t="n"/>
      <c r="BX17" s="445" t="n"/>
      <c r="BY17" s="445" t="n"/>
      <c r="BZ17" s="445" t="n"/>
      <c r="CA17" s="445" t="n"/>
      <c r="CB17" s="446" t="n"/>
      <c r="CE17" s="457" t="n"/>
      <c r="CI17" s="452" t="n"/>
      <c r="CJ17" s="458" t="n"/>
      <c r="CK17" s="457" t="n"/>
      <c r="CL17" s="35" t="n"/>
    </row>
    <row r="18" ht="15" customFormat="1" customHeight="1" s="33" thickBot="1">
      <c r="C18" s="272" t="inlineStr">
        <is>
          <t xml:space="preserve">Taxa pactuada = </t>
        </is>
      </c>
      <c r="D18" s="453" t="n"/>
      <c r="E18" s="453" t="n"/>
      <c r="F18" s="453" t="n"/>
      <c r="G18" s="453" t="n"/>
      <c r="H18" s="454" t="n"/>
      <c r="I18" s="312">
        <f>DADOS!$B$11</f>
        <v/>
      </c>
      <c r="J18" s="453" t="n"/>
      <c r="K18" s="453" t="n"/>
      <c r="L18" s="453" t="n"/>
      <c r="M18" s="453" t="n"/>
      <c r="N18" s="453" t="n"/>
      <c r="O18" s="453" t="n"/>
      <c r="P18" s="453" t="n"/>
      <c r="Q18" s="453" t="n"/>
      <c r="R18" s="453" t="n"/>
      <c r="S18" s="453" t="n"/>
      <c r="T18" s="453" t="n"/>
      <c r="U18" s="453" t="n"/>
      <c r="V18" s="453" t="n"/>
      <c r="W18" s="453" t="n"/>
      <c r="X18" s="453" t="n"/>
      <c r="Y18" s="454" t="n"/>
      <c r="AD18" s="272" t="inlineStr">
        <is>
          <t xml:space="preserve">Valor final recalculado do contrato = </t>
        </is>
      </c>
      <c r="AE18" s="453" t="n"/>
      <c r="AF18" s="453" t="n"/>
      <c r="AG18" s="453" t="n"/>
      <c r="AH18" s="453" t="n"/>
      <c r="AI18" s="453" t="n"/>
      <c r="AJ18" s="453" t="n"/>
      <c r="AK18" s="453" t="n"/>
      <c r="AL18" s="453" t="n"/>
      <c r="AM18" s="453" t="n"/>
      <c r="AN18" s="453" t="n"/>
      <c r="AO18" s="454" t="n"/>
      <c r="AP18" s="528">
        <f>I16*AP17</f>
        <v/>
      </c>
      <c r="AQ18" s="453" t="n"/>
      <c r="AR18" s="453" t="n"/>
      <c r="AS18" s="453" t="n"/>
      <c r="AT18" s="453" t="n"/>
      <c r="AU18" s="453" t="n"/>
      <c r="AV18" s="453" t="n"/>
      <c r="AW18" s="453" t="n"/>
      <c r="AX18" s="453" t="n"/>
      <c r="AY18" s="453" t="n"/>
      <c r="AZ18" s="454" t="n"/>
      <c r="BE18" s="314" t="inlineStr">
        <is>
          <t xml:space="preserve">(-) Saldo incontroverso = </t>
        </is>
      </c>
      <c r="BF18" s="462" t="n"/>
      <c r="BG18" s="462" t="n"/>
      <c r="BH18" s="462" t="n"/>
      <c r="BI18" s="462" t="n"/>
      <c r="BJ18" s="462" t="n"/>
      <c r="BK18" s="463" t="n"/>
      <c r="BL18" s="533">
        <f>BL13*BL14</f>
        <v/>
      </c>
      <c r="BM18" s="462" t="n"/>
      <c r="BN18" s="462" t="n"/>
      <c r="BO18" s="462" t="n"/>
      <c r="BP18" s="462" t="n"/>
      <c r="BQ18" s="462" t="n"/>
      <c r="BR18" s="462" t="n"/>
      <c r="BS18" s="462" t="n"/>
      <c r="BT18" s="462" t="n"/>
      <c r="BU18" s="462" t="n"/>
      <c r="BV18" s="462" t="n"/>
      <c r="BW18" s="462" t="n"/>
      <c r="BX18" s="462" t="n"/>
      <c r="BY18" s="462" t="n"/>
      <c r="BZ18" s="462" t="n"/>
      <c r="CA18" s="462" t="n"/>
      <c r="CB18" s="463" t="n"/>
      <c r="CE18" s="457" t="n"/>
      <c r="CI18" s="452" t="n"/>
      <c r="CJ18" s="458" t="n"/>
      <c r="CK18" s="457" t="n"/>
      <c r="CL18" s="35" t="n"/>
    </row>
    <row r="19" ht="15" customFormat="1" customHeight="1" s="33" thickBot="1">
      <c r="C19" s="331" t="inlineStr">
        <is>
          <t xml:space="preserve">Valor final do contrato = </t>
        </is>
      </c>
      <c r="D19" s="473" t="n"/>
      <c r="E19" s="473" t="n"/>
      <c r="F19" s="473" t="n"/>
      <c r="G19" s="473" t="n"/>
      <c r="H19" s="474" t="n"/>
      <c r="I19" s="534">
        <f>I16*I17</f>
        <v/>
      </c>
      <c r="J19" s="473" t="n"/>
      <c r="K19" s="473" t="n"/>
      <c r="L19" s="473" t="n"/>
      <c r="M19" s="473" t="n"/>
      <c r="N19" s="473" t="n"/>
      <c r="O19" s="473" t="n"/>
      <c r="P19" s="473" t="n"/>
      <c r="Q19" s="473" t="n"/>
      <c r="R19" s="473" t="n"/>
      <c r="S19" s="473" t="n"/>
      <c r="T19" s="473" t="n"/>
      <c r="U19" s="473" t="n"/>
      <c r="V19" s="473" t="n"/>
      <c r="W19" s="473" t="n"/>
      <c r="X19" s="473" t="n"/>
      <c r="Y19" s="474" t="n"/>
      <c r="AD19" s="335" t="inlineStr">
        <is>
          <t xml:space="preserve">Diferença  cobrada a mais por parcela = </t>
        </is>
      </c>
      <c r="AE19" s="453" t="n"/>
      <c r="AF19" s="453" t="n"/>
      <c r="AG19" s="453" t="n"/>
      <c r="AH19" s="453" t="n"/>
      <c r="AI19" s="453" t="n"/>
      <c r="AJ19" s="453" t="n"/>
      <c r="AK19" s="453" t="n"/>
      <c r="AL19" s="453" t="n"/>
      <c r="AM19" s="453" t="n"/>
      <c r="AN19" s="453" t="n"/>
      <c r="AO19" s="454" t="n"/>
      <c r="AP19" s="535">
        <f>I17-AP17</f>
        <v/>
      </c>
      <c r="AQ19" s="453" t="n"/>
      <c r="AR19" s="453" t="n"/>
      <c r="AS19" s="453" t="n"/>
      <c r="AT19" s="453" t="n"/>
      <c r="AU19" s="453" t="n"/>
      <c r="AV19" s="453" t="n"/>
      <c r="AW19" s="453" t="n"/>
      <c r="AX19" s="453" t="n"/>
      <c r="AY19" s="453" t="n"/>
      <c r="AZ19" s="454" t="n"/>
      <c r="BE19" s="339" t="inlineStr">
        <is>
          <t xml:space="preserve">Saldo controvertido total = </t>
        </is>
      </c>
      <c r="BF19" s="445" t="n"/>
      <c r="BG19" s="445" t="n"/>
      <c r="BH19" s="445" t="n"/>
      <c r="BI19" s="445" t="n"/>
      <c r="BJ19" s="445" t="n"/>
      <c r="BK19" s="446" t="n"/>
      <c r="BL19" s="536">
        <f>BL17-BL18</f>
        <v/>
      </c>
      <c r="BM19" s="445" t="n"/>
      <c r="BN19" s="445" t="n"/>
      <c r="BO19" s="445" t="n"/>
      <c r="BP19" s="445" t="n"/>
      <c r="BQ19" s="445" t="n"/>
      <c r="BR19" s="445" t="n"/>
      <c r="BS19" s="445" t="n"/>
      <c r="BT19" s="445" t="n"/>
      <c r="BU19" s="445" t="n"/>
      <c r="BV19" s="445" t="n"/>
      <c r="BW19" s="445" t="n"/>
      <c r="BX19" s="445" t="n"/>
      <c r="BY19" s="445" t="n"/>
      <c r="BZ19" s="445" t="n"/>
      <c r="CA19" s="445" t="n"/>
      <c r="CB19" s="446" t="n"/>
      <c r="CE19" s="457" t="n"/>
      <c r="CI19" s="452" t="n"/>
      <c r="CJ19" s="458" t="n"/>
      <c r="CK19" s="457" t="n"/>
      <c r="CL19" s="35" t="n"/>
    </row>
    <row r="20" ht="15" customFormat="1" customHeight="1" s="33" thickBot="1">
      <c r="AD20" s="320" t="inlineStr">
        <is>
          <t xml:space="preserve">Montante cobrado a mais pelo banco = </t>
        </is>
      </c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4" t="n"/>
      <c r="AP20" s="537">
        <f>I19-AP18</f>
        <v/>
      </c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4" t="n"/>
      <c r="BE20" s="324" t="inlineStr">
        <is>
          <t xml:space="preserve">Saldo controvertido por parcela = </t>
        </is>
      </c>
      <c r="BF20" s="473" t="n"/>
      <c r="BG20" s="473" t="n"/>
      <c r="BH20" s="473" t="n"/>
      <c r="BI20" s="473" t="n"/>
      <c r="BJ20" s="473" t="n"/>
      <c r="BK20" s="474" t="n"/>
      <c r="BL20" s="538">
        <f>BL19/BL13</f>
        <v/>
      </c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4" t="n"/>
      <c r="CE20" s="457" t="n"/>
      <c r="CI20" s="452" t="n"/>
      <c r="CJ20" s="458" t="n"/>
      <c r="CK20" s="457" t="n"/>
      <c r="CL20" s="35" t="n"/>
    </row>
    <row r="21" hidden="1" ht="9.75" customHeight="1">
      <c r="CE21" s="480" t="n"/>
      <c r="CI21" s="481" t="n"/>
      <c r="CJ21" s="482" t="n"/>
      <c r="CK21" s="480" t="n"/>
    </row>
    <row r="22" hidden="1" ht="9.75" customHeight="1">
      <c r="CE22" s="480" t="n"/>
      <c r="CI22" s="481" t="n"/>
      <c r="CJ22" s="482" t="n"/>
      <c r="CK22" s="480" t="n"/>
    </row>
    <row r="23" hidden="1" ht="9.75" customHeight="1">
      <c r="CE23" s="480" t="n"/>
      <c r="CI23" s="481" t="n"/>
      <c r="CJ23" s="482" t="n"/>
      <c r="CK23" s="480" t="n"/>
    </row>
    <row r="24" hidden="1" ht="9.75" customHeight="1">
      <c r="BE24" s="1" t="inlineStr">
        <is>
          <t>Saldo controvertido por parcela</t>
        </is>
      </c>
      <c r="CE24" s="480" t="n"/>
      <c r="CI24" s="481" t="n"/>
      <c r="CJ24" s="482" t="n"/>
      <c r="CK24" s="480" t="n"/>
    </row>
    <row r="25" ht="9.75" customHeight="1">
      <c r="CE25" s="480" t="n"/>
      <c r="CI25" s="481" t="n"/>
      <c r="CJ25" s="482" t="n"/>
      <c r="CK25" s="480" t="n"/>
    </row>
    <row r="26">
      <c r="C26" s="539" t="inlineStr">
        <is>
          <t>CONFORME PACTUADO</t>
        </is>
      </c>
      <c r="D26" s="462" t="n"/>
      <c r="E26" s="462" t="n"/>
      <c r="F26" s="462" t="n"/>
      <c r="G26" s="462" t="n"/>
      <c r="H26" s="462" t="n"/>
      <c r="I26" s="462" t="n"/>
      <c r="J26" s="462" t="n"/>
      <c r="K26" s="462" t="n"/>
      <c r="L26" s="462" t="n"/>
      <c r="M26" s="462" t="n"/>
      <c r="N26" s="462" t="n"/>
      <c r="O26" s="462" t="n"/>
      <c r="P26" s="462" t="n"/>
      <c r="Q26" s="462" t="n"/>
      <c r="R26" s="462" t="n"/>
      <c r="S26" s="462" t="n"/>
      <c r="T26" s="462" t="n"/>
      <c r="U26" s="462" t="n"/>
      <c r="V26" s="462" t="n"/>
      <c r="W26" s="462" t="n"/>
      <c r="X26" s="462" t="n"/>
      <c r="Y26" s="463" t="n"/>
      <c r="AD26" s="539" t="inlineStr">
        <is>
          <t>PARCELA COM TAXA MÉDIA E EXPURGO DE ABUSIVIDADES</t>
        </is>
      </c>
      <c r="AE26" s="462" t="n"/>
      <c r="AF26" s="462" t="n"/>
      <c r="AG26" s="462" t="n"/>
      <c r="AH26" s="462" t="n"/>
      <c r="AI26" s="462" t="n"/>
      <c r="AJ26" s="462" t="n"/>
      <c r="AK26" s="462" t="n"/>
      <c r="AL26" s="462" t="n"/>
      <c r="AM26" s="462" t="n"/>
      <c r="AN26" s="462" t="n"/>
      <c r="AO26" s="462" t="n"/>
      <c r="AP26" s="462" t="n"/>
      <c r="AQ26" s="462" t="n"/>
      <c r="AR26" s="462" t="n"/>
      <c r="AS26" s="462" t="n"/>
      <c r="AT26" s="462" t="n"/>
      <c r="AU26" s="462" t="n"/>
      <c r="AV26" s="462" t="n"/>
      <c r="AW26" s="462" t="n"/>
      <c r="AX26" s="462" t="n"/>
      <c r="AY26" s="462" t="n"/>
      <c r="AZ26" s="463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  <c r="BU26" s="56" t="n"/>
      <c r="BV26" s="56" t="n"/>
      <c r="BW26" s="56" t="n"/>
      <c r="BX26" s="56" t="n"/>
      <c r="BY26" s="56" t="n"/>
      <c r="BZ26" s="56" t="n"/>
      <c r="CA26" s="56" t="n"/>
      <c r="CB26" s="56" t="n"/>
      <c r="CC26" s="56" t="n"/>
      <c r="CD26" s="56" t="n"/>
      <c r="CE26" s="484" t="n"/>
      <c r="CI26" s="481" t="n"/>
      <c r="CK26" s="484" t="n"/>
      <c r="CL26" s="481" t="n"/>
    </row>
    <row r="27" hidden="1" ht="13.5" customHeight="1">
      <c r="C27" s="6" t="n"/>
      <c r="Y27" s="7" t="n"/>
      <c r="AD27" s="6" t="n"/>
      <c r="AZ27" s="7" t="n"/>
      <c r="CE27" s="485" t="n"/>
      <c r="CI27" s="486" t="n"/>
      <c r="CJ27" s="482" t="n"/>
      <c r="CK27" s="485" t="n"/>
      <c r="CL27" s="481" t="n"/>
    </row>
    <row r="28" hidden="1" ht="12" customHeight="1">
      <c r="C28" s="9" t="n"/>
      <c r="D28" s="10" t="n"/>
      <c r="Y28" s="7" t="n"/>
      <c r="AD28" s="9" t="n"/>
      <c r="AE28" s="10" t="n"/>
      <c r="AZ28" s="7" t="n"/>
      <c r="BE28" s="10" t="n"/>
      <c r="BF28" s="10" t="n"/>
      <c r="CE28" s="5" t="n"/>
      <c r="CI28" s="11" t="n"/>
      <c r="CK28" s="5" t="n"/>
      <c r="CL28" s="481" t="n"/>
    </row>
    <row r="29" ht="12" customHeight="1" thickBot="1">
      <c r="C29" s="9" t="n"/>
      <c r="D29" s="10" t="n"/>
      <c r="Y29" s="7" t="n"/>
      <c r="AD29" s="9" t="n"/>
      <c r="AE29" s="10" t="n"/>
      <c r="AZ29" s="7" t="n"/>
      <c r="BE29" s="10" t="n"/>
      <c r="BF29" s="10" t="n"/>
      <c r="CE29" s="480" t="n"/>
      <c r="CK29" s="480" t="n"/>
    </row>
    <row r="30" ht="24" customHeight="1">
      <c r="C30" s="39" t="inlineStr">
        <is>
          <t xml:space="preserve">Valor financiado total = </t>
        </is>
      </c>
      <c r="D30" s="40" t="n"/>
      <c r="E30" s="41" t="n"/>
      <c r="F30" s="41" t="n"/>
      <c r="G30" s="41" t="n"/>
      <c r="H30" s="540">
        <f>I15</f>
        <v/>
      </c>
      <c r="I30" s="453" t="n"/>
      <c r="J30" s="453" t="n"/>
      <c r="K30" s="453" t="n"/>
      <c r="L30" s="453" t="n"/>
      <c r="M30" s="453" t="n"/>
      <c r="N30" s="453" t="n"/>
      <c r="O30" s="453" t="n"/>
      <c r="P30" s="453" t="n"/>
      <c r="Q30" s="453" t="n"/>
      <c r="R30" s="453" t="n"/>
      <c r="S30" s="454" t="n"/>
      <c r="T30" s="10" t="n"/>
      <c r="Y30" s="541" t="n"/>
      <c r="AD30" s="345" t="inlineStr">
        <is>
          <t>Valor financiado ajustado = 
(com expurgo de tarifas e/ou seguros)</t>
        </is>
      </c>
      <c r="AE30" s="453" t="n"/>
      <c r="AF30" s="453" t="n"/>
      <c r="AG30" s="453" t="n"/>
      <c r="AH30" s="453" t="n"/>
      <c r="AI30" s="540">
        <f>AP15</f>
        <v/>
      </c>
      <c r="AJ30" s="453" t="n"/>
      <c r="AK30" s="453" t="n"/>
      <c r="AL30" s="453" t="n"/>
      <c r="AM30" s="453" t="n"/>
      <c r="AN30" s="453" t="n"/>
      <c r="AO30" s="453" t="n"/>
      <c r="AP30" s="453" t="n"/>
      <c r="AQ30" s="453" t="n"/>
      <c r="AR30" s="453" t="n"/>
      <c r="AS30" s="453" t="n"/>
      <c r="AT30" s="454" t="n"/>
      <c r="AU30" s="10" t="n"/>
      <c r="AZ30" s="541" t="n"/>
      <c r="BE30" s="542" t="inlineStr">
        <is>
          <t>PERCENTUAL DA TAXA COBRADADA SUPERIOR A MÉDIA</t>
        </is>
      </c>
      <c r="BF30" s="441" t="n"/>
      <c r="BG30" s="441" t="n"/>
      <c r="BH30" s="444" t="n"/>
      <c r="BJ30" s="62" t="n"/>
      <c r="BK30" s="542" t="inlineStr">
        <is>
          <t>TOTAL NOMINAL DE COBRANÇAS INDEVIDAS</t>
        </is>
      </c>
      <c r="BL30" s="441" t="n"/>
      <c r="BM30" s="441" t="n"/>
      <c r="BN30" s="441" t="n"/>
      <c r="BO30" s="441" t="n"/>
      <c r="BP30" s="441" t="n"/>
      <c r="BQ30" s="441" t="n"/>
      <c r="BR30" s="441" t="n"/>
      <c r="BS30" s="441" t="n"/>
      <c r="BT30" s="441" t="n"/>
      <c r="BU30" s="441" t="n"/>
      <c r="BV30" s="441" t="n"/>
      <c r="BW30" s="441" t="n"/>
      <c r="BX30" s="441" t="n"/>
      <c r="BY30" s="441" t="n"/>
      <c r="BZ30" s="441" t="n"/>
      <c r="CA30" s="441" t="n"/>
      <c r="CB30" s="444" t="n"/>
      <c r="CD30" s="490" t="n"/>
      <c r="CE30" s="480" t="n"/>
      <c r="CF30" s="5" t="n"/>
      <c r="CG30" s="5" t="n"/>
      <c r="CK30" s="480" t="n"/>
    </row>
    <row r="31" ht="12" customHeight="1">
      <c r="C31" s="39" t="inlineStr">
        <is>
          <t xml:space="preserve">Taxa de juros ao mês = </t>
        </is>
      </c>
      <c r="D31" s="40" t="n"/>
      <c r="E31" s="41" t="n"/>
      <c r="F31" s="41" t="n"/>
      <c r="G31" s="41" t="n"/>
      <c r="H31" s="350">
        <f>I18</f>
        <v/>
      </c>
      <c r="I31" s="453" t="n"/>
      <c r="J31" s="453" t="n"/>
      <c r="K31" s="453" t="n"/>
      <c r="L31" s="453" t="n"/>
      <c r="M31" s="453" t="n"/>
      <c r="N31" s="453" t="n"/>
      <c r="O31" s="453" t="n"/>
      <c r="P31" s="453" t="n"/>
      <c r="Q31" s="453" t="n"/>
      <c r="R31" s="40" t="n"/>
      <c r="S31" s="42" t="n"/>
      <c r="Y31" s="541" t="n"/>
      <c r="AC31" s="14" t="n"/>
      <c r="AD31" s="39" t="inlineStr">
        <is>
          <t>Taxa média de juros ao mês =</t>
        </is>
      </c>
      <c r="AE31" s="40" t="n"/>
      <c r="AF31" s="41" t="n"/>
      <c r="AG31" s="41" t="n"/>
      <c r="AH31" s="41" t="n"/>
      <c r="AI31" s="350">
        <f>AP16</f>
        <v/>
      </c>
      <c r="AJ31" s="453" t="n"/>
      <c r="AK31" s="453" t="n"/>
      <c r="AL31" s="453" t="n"/>
      <c r="AM31" s="453" t="n"/>
      <c r="AN31" s="453" t="n"/>
      <c r="AO31" s="453" t="n"/>
      <c r="AP31" s="453" t="n"/>
      <c r="AQ31" s="453" t="n"/>
      <c r="AR31" s="453" t="n"/>
      <c r="AS31" s="40" t="n"/>
      <c r="AT31" s="42" t="n"/>
      <c r="AZ31" s="541" t="n"/>
      <c r="BE31" s="543">
        <f>H31/AI31-100%</f>
        <v/>
      </c>
      <c r="BH31" s="492" t="n"/>
      <c r="BJ31" s="63" t="n"/>
      <c r="BK31" s="544">
        <f>SUM(I9:Y13)</f>
        <v/>
      </c>
      <c r="CB31" s="492" t="n"/>
      <c r="CD31" s="490" t="n"/>
      <c r="CE31" s="480" t="n"/>
      <c r="CI31" s="480" t="n"/>
      <c r="CK31" s="480" t="n"/>
    </row>
    <row r="32" ht="12" customHeight="1" thickBot="1">
      <c r="C32" s="39" t="inlineStr">
        <is>
          <t xml:space="preserve">Quantidade de parcelas = </t>
        </is>
      </c>
      <c r="D32" s="40" t="n"/>
      <c r="E32" s="41" t="n"/>
      <c r="F32" s="41" t="n"/>
      <c r="G32" s="41" t="n"/>
      <c r="H32" s="41" t="n"/>
      <c r="I32" s="363">
        <f>I16</f>
        <v/>
      </c>
      <c r="J32" s="453" t="n"/>
      <c r="K32" s="453" t="n"/>
      <c r="L32" s="453" t="n"/>
      <c r="M32" s="453" t="n"/>
      <c r="N32" s="453" t="n"/>
      <c r="O32" s="453" t="n"/>
      <c r="P32" s="41" t="n"/>
      <c r="Q32" s="41" t="n"/>
      <c r="R32" s="41" t="n"/>
      <c r="S32" s="43" t="n"/>
      <c r="Y32" s="7" t="n"/>
      <c r="AD32" s="39" t="inlineStr">
        <is>
          <t>Quantidade de parcelas =</t>
        </is>
      </c>
      <c r="AE32" s="40" t="n"/>
      <c r="AF32" s="41" t="n"/>
      <c r="AG32" s="41" t="n"/>
      <c r="AH32" s="41" t="n"/>
      <c r="AI32" s="41" t="n"/>
      <c r="AJ32" s="363">
        <f>I16</f>
        <v/>
      </c>
      <c r="AK32" s="453" t="n"/>
      <c r="AL32" s="453" t="n"/>
      <c r="AM32" s="453" t="n"/>
      <c r="AN32" s="453" t="n"/>
      <c r="AO32" s="453" t="n"/>
      <c r="AP32" s="453" t="n"/>
      <c r="AQ32" s="41" t="n"/>
      <c r="AR32" s="41" t="n"/>
      <c r="AS32" s="41" t="n"/>
      <c r="AT32" s="43" t="n"/>
      <c r="AZ32" s="7" t="n"/>
      <c r="BE32" s="466" t="n"/>
      <c r="BF32" s="467" t="n"/>
      <c r="BG32" s="467" t="n"/>
      <c r="BH32" s="470" t="n"/>
      <c r="BJ32" s="64" t="n"/>
      <c r="BK32" s="466" t="n"/>
      <c r="BL32" s="467" t="n"/>
      <c r="BM32" s="467" t="n"/>
      <c r="BN32" s="467" t="n"/>
      <c r="BO32" s="467" t="n"/>
      <c r="BP32" s="467" t="n"/>
      <c r="BQ32" s="467" t="n"/>
      <c r="BR32" s="467" t="n"/>
      <c r="BS32" s="467" t="n"/>
      <c r="BT32" s="467" t="n"/>
      <c r="BU32" s="467" t="n"/>
      <c r="BV32" s="467" t="n"/>
      <c r="BW32" s="467" t="n"/>
      <c r="BX32" s="467" t="n"/>
      <c r="BY32" s="467" t="n"/>
      <c r="BZ32" s="467" t="n"/>
      <c r="CA32" s="467" t="n"/>
      <c r="CB32" s="470" t="n"/>
      <c r="CE32" s="45" t="n"/>
      <c r="CI32" s="480" t="n"/>
      <c r="CK32" s="45" t="n"/>
    </row>
    <row r="33" ht="9" customHeight="1">
      <c r="B33" s="388" t="n"/>
      <c r="C33" s="6" t="n"/>
      <c r="Y33" s="7" t="n"/>
      <c r="AD33" s="6" t="n"/>
      <c r="AZ33" s="7" t="n"/>
      <c r="CE33" s="46" t="n"/>
      <c r="CK33" s="46" t="n"/>
    </row>
    <row r="34" ht="3" customHeight="1">
      <c r="B34" s="388" t="n"/>
      <c r="C34" s="365" t="inlineStr">
        <is>
          <t>Valor da parcela</t>
        </is>
      </c>
      <c r="D34" s="10" t="n"/>
      <c r="E34" s="366" t="inlineStr">
        <is>
          <t>=</t>
        </is>
      </c>
      <c r="F34" s="10" t="n"/>
      <c r="G34" s="366" t="inlineStr">
        <is>
          <t>PV</t>
        </is>
      </c>
      <c r="H34" s="10" t="n"/>
      <c r="I34" s="366" t="inlineStr">
        <is>
          <t>x</t>
        </is>
      </c>
      <c r="J34" s="10" t="n"/>
      <c r="K34" s="10" t="n"/>
      <c r="L34" s="10" t="n"/>
      <c r="M34" s="10" t="n"/>
      <c r="N34" s="366" t="n"/>
      <c r="O34" s="366" t="n">
        <v>1</v>
      </c>
      <c r="P34" s="366" t="n"/>
      <c r="Q34" s="366" t="inlineStr">
        <is>
          <t>+</t>
        </is>
      </c>
      <c r="R34" s="366" t="n"/>
      <c r="S34" s="366" t="inlineStr">
        <is>
          <t>i</t>
        </is>
      </c>
      <c r="T34" s="366" t="n"/>
      <c r="U34" s="367" t="inlineStr">
        <is>
          <t>n</t>
        </is>
      </c>
      <c r="V34" s="10" t="n"/>
      <c r="W34" s="366" t="inlineStr">
        <is>
          <t>x</t>
        </is>
      </c>
      <c r="X34" s="29" t="n"/>
      <c r="Y34" s="364" t="inlineStr">
        <is>
          <t>i</t>
        </is>
      </c>
      <c r="AD34" s="365" t="inlineStr">
        <is>
          <t>Valor da parcela</t>
        </is>
      </c>
      <c r="AE34" s="10" t="n"/>
      <c r="AF34" s="366" t="inlineStr">
        <is>
          <t>=</t>
        </is>
      </c>
      <c r="AG34" s="10" t="n"/>
      <c r="AH34" s="366" t="inlineStr">
        <is>
          <t>PV</t>
        </is>
      </c>
      <c r="AI34" s="10" t="n"/>
      <c r="AJ34" s="366" t="inlineStr">
        <is>
          <t>x</t>
        </is>
      </c>
      <c r="AK34" s="10" t="n"/>
      <c r="AL34" s="10" t="n"/>
      <c r="AM34" s="10" t="n"/>
      <c r="AN34" s="10" t="n"/>
      <c r="AO34" s="366" t="n"/>
      <c r="AP34" s="366" t="n">
        <v>1</v>
      </c>
      <c r="AQ34" s="366" t="n"/>
      <c r="AR34" s="366" t="inlineStr">
        <is>
          <t>+</t>
        </is>
      </c>
      <c r="AS34" s="366" t="n"/>
      <c r="AT34" s="366" t="inlineStr">
        <is>
          <t>i</t>
        </is>
      </c>
      <c r="AU34" s="366" t="n"/>
      <c r="AV34" s="367" t="inlineStr">
        <is>
          <t>n</t>
        </is>
      </c>
      <c r="AW34" s="10" t="n"/>
      <c r="AX34" s="366" t="inlineStr">
        <is>
          <t>x</t>
        </is>
      </c>
      <c r="AY34" s="29" t="n"/>
      <c r="AZ34" s="364" t="inlineStr">
        <is>
          <t>i</t>
        </is>
      </c>
      <c r="BE34" s="57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366" t="n"/>
      <c r="BT34" s="10" t="n"/>
      <c r="BU34" s="366" t="n"/>
      <c r="BV34" s="10" t="n"/>
      <c r="BW34" s="366" t="n"/>
      <c r="BX34" s="10" t="n"/>
      <c r="BY34" s="366" t="n"/>
      <c r="BZ34" s="10" t="n"/>
      <c r="CA34" s="10" t="n"/>
      <c r="CB34" s="10" t="n"/>
      <c r="CC34" s="29" t="n"/>
      <c r="CD34" s="10" t="n"/>
    </row>
    <row r="35" ht="3" customHeight="1">
      <c r="B35" s="388" t="n"/>
      <c r="C35" s="494" t="n"/>
      <c r="D35" s="10" t="n"/>
      <c r="F35" s="10" t="n"/>
      <c r="H35" s="10" t="n"/>
      <c r="J35" s="10" t="n"/>
      <c r="K35" s="10" t="n"/>
      <c r="L35" s="10" t="n"/>
      <c r="M35" s="10" t="n"/>
      <c r="N35" s="366" t="n"/>
      <c r="P35" s="366" t="n"/>
      <c r="R35" s="366" t="n"/>
      <c r="T35" s="366" t="n"/>
      <c r="V35" s="10" t="n"/>
      <c r="X35" s="29" t="n"/>
      <c r="Y35" s="495" t="n"/>
      <c r="AD35" s="494" t="n"/>
      <c r="AE35" s="10" t="n"/>
      <c r="AG35" s="10" t="n"/>
      <c r="AI35" s="10" t="n"/>
      <c r="AK35" s="10" t="n"/>
      <c r="AL35" s="10" t="n"/>
      <c r="AM35" s="10" t="n"/>
      <c r="AN35" s="10" t="n"/>
      <c r="AO35" s="366" t="n"/>
      <c r="AQ35" s="366" t="n"/>
      <c r="AS35" s="366" t="n"/>
      <c r="AU35" s="366" t="n"/>
      <c r="AW35" s="10" t="n"/>
      <c r="AY35" s="29" t="n"/>
      <c r="AZ35" s="495" t="n"/>
      <c r="BE35" s="57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366" t="n"/>
      <c r="BT35" s="10" t="n"/>
      <c r="BU35" s="366" t="n"/>
      <c r="BV35" s="10" t="n"/>
      <c r="BW35" s="366" t="n"/>
      <c r="BX35" s="10" t="n"/>
      <c r="BY35" s="366" t="n"/>
      <c r="BZ35" s="10" t="n"/>
      <c r="CA35" s="10" t="n"/>
      <c r="CB35" s="10" t="n"/>
      <c r="CC35" s="29" t="n"/>
      <c r="CD35" s="10" t="n"/>
    </row>
    <row r="36" ht="3" customHeight="1">
      <c r="B36" s="388" t="n"/>
      <c r="C36" s="494" t="n"/>
      <c r="D36" s="10" t="n"/>
      <c r="F36" s="10" t="n"/>
      <c r="H36" s="10" t="n"/>
      <c r="J36" s="10" t="n"/>
      <c r="K36" s="10" t="n"/>
      <c r="L36" s="10" t="n"/>
      <c r="M36" s="10" t="n"/>
      <c r="N36" s="366" t="n"/>
      <c r="P36" s="366" t="n"/>
      <c r="R36" s="366" t="n"/>
      <c r="T36" s="366" t="n"/>
      <c r="V36" s="10" t="n"/>
      <c r="X36" s="29" t="n"/>
      <c r="Y36" s="495" t="n"/>
      <c r="AD36" s="494" t="n"/>
      <c r="AE36" s="10" t="n"/>
      <c r="AG36" s="10" t="n"/>
      <c r="AI36" s="10" t="n"/>
      <c r="AK36" s="10" t="n"/>
      <c r="AL36" s="10" t="n"/>
      <c r="AM36" s="10" t="n"/>
      <c r="AN36" s="10" t="n"/>
      <c r="AO36" s="366" t="n"/>
      <c r="AQ36" s="366" t="n"/>
      <c r="AS36" s="366" t="n"/>
      <c r="AU36" s="366" t="n"/>
      <c r="AW36" s="10" t="n"/>
      <c r="AY36" s="29" t="n"/>
      <c r="AZ36" s="495" t="n"/>
      <c r="BE36" s="57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366" t="n"/>
      <c r="BT36" s="10" t="n"/>
      <c r="BU36" s="366" t="n"/>
      <c r="BV36" s="10" t="n"/>
      <c r="BW36" s="366" t="n"/>
      <c r="BX36" s="10" t="n"/>
      <c r="BY36" s="366" t="n"/>
      <c r="BZ36" s="10" t="n"/>
      <c r="CA36" s="10" t="n"/>
      <c r="CB36" s="10" t="n"/>
      <c r="CC36" s="29" t="n"/>
      <c r="CD36" s="10" t="n"/>
    </row>
    <row r="37" ht="3" customHeight="1">
      <c r="B37" s="388" t="n"/>
      <c r="C37" s="494" t="n"/>
      <c r="D37" s="10" t="n"/>
      <c r="F37" s="10" t="n"/>
      <c r="H37" s="10" t="n"/>
      <c r="J37" s="10" t="n"/>
      <c r="K37" s="10" t="n"/>
      <c r="L37" s="10" t="n"/>
      <c r="M37" s="10" t="n"/>
      <c r="N37" s="10" t="n"/>
      <c r="P37" s="10" t="n"/>
      <c r="R37" s="10" t="n"/>
      <c r="T37" s="366" t="n"/>
      <c r="U37" s="366" t="n"/>
      <c r="V37" s="10" t="n"/>
      <c r="X37" s="10" t="n"/>
      <c r="Y37" s="495" t="n"/>
      <c r="AD37" s="494" t="n"/>
      <c r="AE37" s="10" t="n"/>
      <c r="AG37" s="10" t="n"/>
      <c r="AI37" s="10" t="n"/>
      <c r="AK37" s="10" t="n"/>
      <c r="AL37" s="10" t="n"/>
      <c r="AM37" s="10" t="n"/>
      <c r="AN37" s="10" t="n"/>
      <c r="AO37" s="10" t="n"/>
      <c r="AQ37" s="10" t="n"/>
      <c r="AS37" s="10" t="n"/>
      <c r="AU37" s="366" t="n"/>
      <c r="AV37" s="366" t="n"/>
      <c r="AW37" s="10" t="n"/>
      <c r="AY37" s="10" t="n"/>
      <c r="AZ37" s="495" t="n"/>
      <c r="BE37" s="57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366" t="n"/>
      <c r="BZ37" s="366" t="n"/>
      <c r="CA37" s="10" t="n"/>
      <c r="CB37" s="10" t="n"/>
      <c r="CC37" s="10" t="n"/>
      <c r="CD37" s="10" t="n"/>
    </row>
    <row r="38" ht="3" customHeight="1" thickBot="1">
      <c r="B38" s="388" t="n"/>
      <c r="C38" s="494" t="n"/>
      <c r="D38" s="10" t="n"/>
      <c r="F38" s="10" t="n"/>
      <c r="H38" s="10" t="n"/>
      <c r="J38" s="10" t="n"/>
      <c r="K38" s="10" t="n"/>
      <c r="L38" s="10" t="n"/>
      <c r="M38" s="10" t="n"/>
      <c r="N38" s="10" t="n"/>
      <c r="P38" s="10" t="n"/>
      <c r="R38" s="10" t="n"/>
      <c r="T38" s="366" t="n"/>
      <c r="U38" s="366" t="n"/>
      <c r="V38" s="10" t="n"/>
      <c r="X38" s="10" t="n"/>
      <c r="Y38" s="495" t="n"/>
      <c r="AD38" s="494" t="n"/>
      <c r="AE38" s="10" t="n"/>
      <c r="AG38" s="10" t="n"/>
      <c r="AI38" s="10" t="n"/>
      <c r="AK38" s="10" t="n"/>
      <c r="AL38" s="10" t="n"/>
      <c r="AM38" s="10" t="n"/>
      <c r="AN38" s="10" t="n"/>
      <c r="AO38" s="10" t="n"/>
      <c r="AQ38" s="10" t="n"/>
      <c r="AS38" s="10" t="n"/>
      <c r="AU38" s="366" t="n"/>
      <c r="AV38" s="366" t="n"/>
      <c r="AW38" s="10" t="n"/>
      <c r="AY38" s="10" t="n"/>
      <c r="AZ38" s="495" t="n"/>
      <c r="BE38" s="57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366" t="n"/>
      <c r="BZ38" s="366" t="n"/>
      <c r="CA38" s="10" t="n"/>
      <c r="CB38" s="10" t="n"/>
      <c r="CC38" s="10" t="n"/>
      <c r="CD38" s="10" t="n"/>
    </row>
    <row r="39" ht="3" customHeight="1">
      <c r="B39" s="388" t="n"/>
      <c r="C39" s="494" t="n"/>
      <c r="D39" s="10" t="n"/>
      <c r="F39" s="10" t="n"/>
      <c r="H39" s="10" t="n"/>
      <c r="J39" s="10" t="n"/>
      <c r="K39" s="10" t="n"/>
      <c r="L39" s="10" t="n"/>
      <c r="M39" s="10" t="n"/>
      <c r="N39" s="366" t="n"/>
      <c r="P39" s="366" t="n"/>
      <c r="R39" s="366" t="n"/>
      <c r="T39" s="366" t="n"/>
      <c r="U39" s="366" t="n"/>
      <c r="V39" s="10" t="n"/>
      <c r="X39" s="10" t="n"/>
      <c r="Y39" s="495" t="n"/>
      <c r="AD39" s="494" t="n"/>
      <c r="AE39" s="10" t="n"/>
      <c r="AG39" s="10" t="n"/>
      <c r="AI39" s="10" t="n"/>
      <c r="AK39" s="10" t="n"/>
      <c r="AL39" s="10" t="n"/>
      <c r="AM39" s="10" t="n"/>
      <c r="AN39" s="10" t="n"/>
      <c r="AO39" s="366" t="n"/>
      <c r="AQ39" s="366" t="n"/>
      <c r="AS39" s="366" t="n"/>
      <c r="AU39" s="366" t="n"/>
      <c r="AV39" s="366" t="n"/>
      <c r="AW39" s="10" t="n"/>
      <c r="AY39" s="10" t="n"/>
      <c r="AZ39" s="495" t="n"/>
      <c r="BE39" s="562" t="inlineStr">
        <is>
          <t>TAXA EFETIVAMENTE COBRADA</t>
        </is>
      </c>
      <c r="BF39" s="441" t="n"/>
      <c r="BG39" s="441" t="n"/>
      <c r="BH39" s="441" t="n"/>
      <c r="BI39" s="441" t="n"/>
      <c r="BJ39" s="441" t="n"/>
      <c r="BK39" s="441" t="n"/>
      <c r="BL39" s="441" t="n"/>
      <c r="BM39" s="441" t="n"/>
      <c r="BN39" s="441" t="n"/>
      <c r="BO39" s="441" t="n"/>
      <c r="BP39" s="441" t="n"/>
      <c r="BQ39" s="441" t="n"/>
      <c r="BR39" s="441" t="n"/>
      <c r="BS39" s="441" t="n"/>
      <c r="BT39" s="441" t="n"/>
      <c r="BU39" s="441" t="n"/>
      <c r="BV39" s="441" t="n"/>
      <c r="BW39" s="441" t="n"/>
      <c r="BX39" s="441" t="n"/>
      <c r="BY39" s="441" t="n"/>
      <c r="BZ39" s="441" t="n"/>
      <c r="CA39" s="441" t="n"/>
      <c r="CB39" s="444" t="n"/>
      <c r="CC39" s="10" t="n"/>
      <c r="CD39" s="10" t="n"/>
    </row>
    <row r="40" ht="3" customHeight="1">
      <c r="B40" s="388" t="n"/>
      <c r="C40" s="494" t="n"/>
      <c r="D40" s="366" t="n"/>
      <c r="F40" s="10" t="n"/>
      <c r="H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8" t="n"/>
      <c r="AD40" s="494" t="n"/>
      <c r="AE40" s="366" t="n"/>
      <c r="AG40" s="10" t="n"/>
      <c r="AI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8" t="n"/>
      <c r="BE40" s="497" t="n"/>
      <c r="CB40" s="492" t="n"/>
      <c r="CC40" s="10" t="n"/>
      <c r="CD40" s="10" t="n"/>
    </row>
    <row r="41" ht="3" customHeight="1">
      <c r="B41" s="388" t="n"/>
      <c r="C41" s="494" t="n"/>
      <c r="D41" s="366" t="n"/>
      <c r="F41" s="10" t="n"/>
      <c r="H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8" t="n"/>
      <c r="AD41" s="494" t="n"/>
      <c r="AE41" s="366" t="n"/>
      <c r="AG41" s="10" t="n"/>
      <c r="AI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8" t="n"/>
      <c r="BE41" s="497" t="n"/>
      <c r="CB41" s="492" t="n"/>
      <c r="CC41" s="10" t="n"/>
      <c r="CD41" s="10" t="n"/>
    </row>
    <row r="42" ht="3" customHeight="1">
      <c r="B42" s="388" t="n"/>
      <c r="C42" s="494" t="n"/>
      <c r="D42" s="10" t="n"/>
      <c r="F42" s="10" t="n"/>
      <c r="H42" s="10" t="n"/>
      <c r="J42" s="10" t="n"/>
      <c r="K42" s="10" t="n"/>
      <c r="L42" s="10" t="n"/>
      <c r="M42" s="10" t="n"/>
      <c r="N42" s="366" t="n"/>
      <c r="O42" s="366" t="n">
        <v>1</v>
      </c>
      <c r="P42" s="366" t="n"/>
      <c r="Q42" s="366" t="inlineStr">
        <is>
          <t>+</t>
        </is>
      </c>
      <c r="R42" s="366" t="n"/>
      <c r="S42" s="366" t="inlineStr">
        <is>
          <t>i</t>
        </is>
      </c>
      <c r="T42" s="366" t="n"/>
      <c r="U42" s="367" t="inlineStr">
        <is>
          <t>n</t>
        </is>
      </c>
      <c r="V42" s="10" t="n"/>
      <c r="W42" s="366" t="inlineStr">
        <is>
          <t>-</t>
        </is>
      </c>
      <c r="X42" s="29" t="n"/>
      <c r="Y42" s="364" t="n">
        <v>1</v>
      </c>
      <c r="AD42" s="494" t="n"/>
      <c r="AE42" s="10" t="n"/>
      <c r="AG42" s="10" t="n"/>
      <c r="AI42" s="10" t="n"/>
      <c r="AK42" s="10" t="n"/>
      <c r="AL42" s="10" t="n"/>
      <c r="AM42" s="10" t="n"/>
      <c r="AN42" s="10" t="n"/>
      <c r="AO42" s="366" t="n"/>
      <c r="AP42" s="366" t="n">
        <v>1</v>
      </c>
      <c r="AQ42" s="366" t="n"/>
      <c r="AR42" s="366" t="inlineStr">
        <is>
          <t>+</t>
        </is>
      </c>
      <c r="AS42" s="366" t="n"/>
      <c r="AT42" s="366" t="inlineStr">
        <is>
          <t>i</t>
        </is>
      </c>
      <c r="AU42" s="366" t="n"/>
      <c r="AV42" s="367" t="inlineStr">
        <is>
          <t>n</t>
        </is>
      </c>
      <c r="AW42" s="10" t="n"/>
      <c r="AX42" s="366" t="inlineStr">
        <is>
          <t>-</t>
        </is>
      </c>
      <c r="AY42" s="29" t="n"/>
      <c r="AZ42" s="364" t="n">
        <v>1</v>
      </c>
      <c r="BE42" s="497" t="n"/>
      <c r="CB42" s="492" t="n"/>
      <c r="CC42" s="29" t="n"/>
      <c r="CD42" s="10" t="n"/>
    </row>
    <row r="43" ht="3" customHeight="1">
      <c r="B43" s="388" t="n"/>
      <c r="C43" s="494" t="n"/>
      <c r="D43" s="10" t="n"/>
      <c r="F43" s="10" t="n"/>
      <c r="H43" s="10" t="n"/>
      <c r="J43" s="10" t="n"/>
      <c r="K43" s="10" t="n"/>
      <c r="L43" s="10" t="n"/>
      <c r="M43" s="10" t="n"/>
      <c r="N43" s="366" t="n"/>
      <c r="P43" s="366" t="n"/>
      <c r="R43" s="366" t="n"/>
      <c r="T43" s="366" t="n"/>
      <c r="V43" s="10" t="n"/>
      <c r="X43" s="29" t="n"/>
      <c r="Y43" s="495" t="n"/>
      <c r="AD43" s="494" t="n"/>
      <c r="AE43" s="10" t="n"/>
      <c r="AG43" s="10" t="n"/>
      <c r="AI43" s="10" t="n"/>
      <c r="AK43" s="10" t="n"/>
      <c r="AL43" s="10" t="n"/>
      <c r="AM43" s="10" t="n"/>
      <c r="AN43" s="10" t="n"/>
      <c r="AO43" s="366" t="n"/>
      <c r="AQ43" s="366" t="n"/>
      <c r="AS43" s="366" t="n"/>
      <c r="AU43" s="366" t="n"/>
      <c r="AW43" s="10" t="n"/>
      <c r="AY43" s="29" t="n"/>
      <c r="AZ43" s="495" t="n"/>
      <c r="BE43" s="497" t="n"/>
      <c r="CB43" s="492" t="n"/>
      <c r="CC43" s="29" t="n"/>
      <c r="CD43" s="10" t="n"/>
    </row>
    <row r="44" ht="3" customHeight="1">
      <c r="B44" s="388" t="n"/>
      <c r="C44" s="494" t="n"/>
      <c r="D44" s="10" t="n"/>
      <c r="F44" s="10" t="n"/>
      <c r="H44" s="10" t="n"/>
      <c r="J44" s="10" t="n"/>
      <c r="K44" s="10" t="n"/>
      <c r="L44" s="10" t="n"/>
      <c r="M44" s="10" t="n"/>
      <c r="N44" s="366" t="n"/>
      <c r="P44" s="366" t="n"/>
      <c r="R44" s="366" t="n"/>
      <c r="T44" s="366" t="n"/>
      <c r="V44" s="10" t="n"/>
      <c r="X44" s="29" t="n"/>
      <c r="Y44" s="495" t="n"/>
      <c r="AD44" s="494" t="n"/>
      <c r="AE44" s="10" t="n"/>
      <c r="AG44" s="10" t="n"/>
      <c r="AI44" s="10" t="n"/>
      <c r="AK44" s="10" t="n"/>
      <c r="AL44" s="10" t="n"/>
      <c r="AM44" s="10" t="n"/>
      <c r="AN44" s="10" t="n"/>
      <c r="AO44" s="366" t="n"/>
      <c r="AQ44" s="366" t="n"/>
      <c r="AS44" s="366" t="n"/>
      <c r="AU44" s="366" t="n"/>
      <c r="AW44" s="10" t="n"/>
      <c r="AY44" s="29" t="n"/>
      <c r="AZ44" s="495" t="n"/>
      <c r="BE44" s="497" t="n"/>
      <c r="CB44" s="492" t="n"/>
      <c r="CC44" s="29" t="n"/>
      <c r="CD44" s="10" t="n"/>
    </row>
    <row r="45" ht="3" customHeight="1">
      <c r="B45" s="388" t="n"/>
      <c r="C45" s="494" t="n"/>
      <c r="D45" s="10" t="n"/>
      <c r="F45" s="10" t="n"/>
      <c r="H45" s="10" t="n"/>
      <c r="J45" s="10" t="n"/>
      <c r="K45" s="10" t="n"/>
      <c r="L45" s="10" t="n"/>
      <c r="M45" s="10" t="n"/>
      <c r="N45" s="10" t="n"/>
      <c r="P45" s="10" t="n"/>
      <c r="R45" s="10" t="n"/>
      <c r="T45" s="366" t="n"/>
      <c r="U45" s="366" t="n"/>
      <c r="V45" s="10" t="n"/>
      <c r="X45" s="10" t="n"/>
      <c r="Y45" s="495" t="n"/>
      <c r="AD45" s="494" t="n"/>
      <c r="AE45" s="10" t="n"/>
      <c r="AG45" s="10" t="n"/>
      <c r="AI45" s="10" t="n"/>
      <c r="AK45" s="10" t="n"/>
      <c r="AL45" s="10" t="n"/>
      <c r="AM45" s="10" t="n"/>
      <c r="AN45" s="10" t="n"/>
      <c r="AO45" s="10" t="n"/>
      <c r="AQ45" s="10" t="n"/>
      <c r="AS45" s="10" t="n"/>
      <c r="AU45" s="366" t="n"/>
      <c r="AV45" s="366" t="n"/>
      <c r="AW45" s="10" t="n"/>
      <c r="AY45" s="10" t="n"/>
      <c r="AZ45" s="495" t="n"/>
      <c r="BE45" s="497" t="n"/>
      <c r="CB45" s="492" t="n"/>
      <c r="CC45" s="10" t="n"/>
      <c r="CD45" s="10" t="n"/>
    </row>
    <row r="46" ht="3" customHeight="1">
      <c r="B46" s="388" t="n"/>
      <c r="C46" s="494" t="n"/>
      <c r="D46" s="10" t="n"/>
      <c r="F46" s="10" t="n"/>
      <c r="H46" s="10" t="n"/>
      <c r="J46" s="10" t="n"/>
      <c r="K46" s="10" t="n"/>
      <c r="L46" s="10" t="n"/>
      <c r="M46" s="10" t="n"/>
      <c r="N46" s="10" t="n"/>
      <c r="P46" s="10" t="n"/>
      <c r="R46" s="10" t="n"/>
      <c r="T46" s="366" t="n"/>
      <c r="U46" s="366" t="n"/>
      <c r="V46" s="10" t="n"/>
      <c r="X46" s="10" t="n"/>
      <c r="Y46" s="495" t="n"/>
      <c r="AD46" s="494" t="n"/>
      <c r="AE46" s="10" t="n"/>
      <c r="AG46" s="10" t="n"/>
      <c r="AI46" s="10" t="n"/>
      <c r="AK46" s="10" t="n"/>
      <c r="AL46" s="10" t="n"/>
      <c r="AM46" s="10" t="n"/>
      <c r="AN46" s="10" t="n"/>
      <c r="AO46" s="10" t="n"/>
      <c r="AQ46" s="10" t="n"/>
      <c r="AS46" s="10" t="n"/>
      <c r="AU46" s="366" t="n"/>
      <c r="AV46" s="366" t="n"/>
      <c r="AW46" s="10" t="n"/>
      <c r="AY46" s="10" t="n"/>
      <c r="AZ46" s="495" t="n"/>
      <c r="BE46" s="563">
        <f>RATE(I16,I17,-I15)</f>
        <v/>
      </c>
      <c r="CB46" s="492" t="n"/>
      <c r="CC46" s="10" t="n"/>
      <c r="CD46" s="10" t="n"/>
    </row>
    <row r="47" ht="3" customHeight="1">
      <c r="B47" s="388" t="n"/>
      <c r="C47" s="494" t="n"/>
      <c r="D47" s="10" t="n"/>
      <c r="F47" s="10" t="n"/>
      <c r="H47" s="10" t="n"/>
      <c r="J47" s="10" t="n"/>
      <c r="K47" s="10" t="n"/>
      <c r="L47" s="10" t="n"/>
      <c r="M47" s="10" t="n"/>
      <c r="N47" s="366" t="n"/>
      <c r="P47" s="366" t="n"/>
      <c r="R47" s="366" t="n"/>
      <c r="T47" s="366" t="n"/>
      <c r="U47" s="366" t="n"/>
      <c r="V47" s="10" t="n"/>
      <c r="X47" s="10" t="n"/>
      <c r="Y47" s="495" t="n"/>
      <c r="AD47" s="494" t="n"/>
      <c r="AE47" s="10" t="n"/>
      <c r="AG47" s="10" t="n"/>
      <c r="AI47" s="10" t="n"/>
      <c r="AK47" s="10" t="n"/>
      <c r="AL47" s="10" t="n"/>
      <c r="AM47" s="10" t="n"/>
      <c r="AN47" s="10" t="n"/>
      <c r="AO47" s="366" t="n"/>
      <c r="AQ47" s="366" t="n"/>
      <c r="AS47" s="366" t="n"/>
      <c r="AU47" s="366" t="n"/>
      <c r="AV47" s="366" t="n"/>
      <c r="AW47" s="10" t="n"/>
      <c r="AY47" s="10" t="n"/>
      <c r="AZ47" s="495" t="n"/>
      <c r="BE47" s="497" t="n"/>
      <c r="CB47" s="492" t="n"/>
      <c r="CC47" s="10" t="n"/>
      <c r="CD47" s="10" t="n"/>
    </row>
    <row r="48" ht="3" customHeight="1">
      <c r="C48" s="494" t="n"/>
      <c r="D48" s="10" t="n"/>
      <c r="F48" s="10" t="n"/>
      <c r="H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8" t="n"/>
      <c r="AD48" s="494" t="n"/>
      <c r="AE48" s="10" t="n"/>
      <c r="AG48" s="10" t="n"/>
      <c r="AI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8" t="n"/>
      <c r="BE48" s="497" t="n"/>
      <c r="CB48" s="492" t="n"/>
      <c r="CC48" s="10" t="n"/>
      <c r="CD48" s="10" t="n"/>
    </row>
    <row r="49" ht="9" customHeight="1" thickBot="1">
      <c r="C49" s="9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8" t="n"/>
      <c r="AD49" s="9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8" t="n"/>
      <c r="BE49" s="466" t="n"/>
      <c r="BF49" s="467" t="n"/>
      <c r="BG49" s="467" t="n"/>
      <c r="BH49" s="467" t="n"/>
      <c r="BI49" s="467" t="n"/>
      <c r="BJ49" s="467" t="n"/>
      <c r="BK49" s="467" t="n"/>
      <c r="BL49" s="467" t="n"/>
      <c r="BM49" s="467" t="n"/>
      <c r="BN49" s="467" t="n"/>
      <c r="BO49" s="467" t="n"/>
      <c r="BP49" s="467" t="n"/>
      <c r="BQ49" s="467" t="n"/>
      <c r="BR49" s="467" t="n"/>
      <c r="BS49" s="467" t="n"/>
      <c r="BT49" s="467" t="n"/>
      <c r="BU49" s="467" t="n"/>
      <c r="BV49" s="467" t="n"/>
      <c r="BW49" s="467" t="n"/>
      <c r="BX49" s="467" t="n"/>
      <c r="BY49" s="467" t="n"/>
      <c r="BZ49" s="467" t="n"/>
      <c r="CA49" s="467" t="n"/>
      <c r="CB49" s="470" t="n"/>
      <c r="CC49" s="10" t="n"/>
      <c r="CD49" s="10" t="n"/>
    </row>
    <row r="50" ht="3" customHeight="1">
      <c r="B50" s="388" t="n"/>
      <c r="C50" s="365" t="inlineStr">
        <is>
          <t>Valor da parcela</t>
        </is>
      </c>
      <c r="D50" s="10" t="n"/>
      <c r="E50" s="366" t="inlineStr">
        <is>
          <t>=</t>
        </is>
      </c>
      <c r="F50" s="10" t="n"/>
      <c r="G50" s="391">
        <f>H30</f>
        <v/>
      </c>
      <c r="H50" s="10" t="n"/>
      <c r="I50" s="366" t="inlineStr">
        <is>
          <t>x</t>
        </is>
      </c>
      <c r="J50" s="10" t="n"/>
      <c r="K50" s="10" t="n"/>
      <c r="L50" s="10" t="n"/>
      <c r="M50" s="10" t="n"/>
      <c r="N50" s="366" t="n"/>
      <c r="O50" s="366" t="n">
        <v>1</v>
      </c>
      <c r="P50" s="366" t="n"/>
      <c r="Q50" s="366" t="inlineStr">
        <is>
          <t>+</t>
        </is>
      </c>
      <c r="R50" s="366" t="n"/>
      <c r="S50" s="381">
        <f>H31</f>
        <v/>
      </c>
      <c r="T50" s="366" t="n"/>
      <c r="U50" s="382">
        <f>I32</f>
        <v/>
      </c>
      <c r="V50" s="10" t="n"/>
      <c r="W50" s="366" t="inlineStr">
        <is>
          <t>x</t>
        </is>
      </c>
      <c r="X50" s="29" t="n"/>
      <c r="Y50" s="383">
        <f>S50</f>
        <v/>
      </c>
      <c r="AD50" s="365" t="inlineStr">
        <is>
          <t>Valor da parcela</t>
        </is>
      </c>
      <c r="AE50" s="10" t="n"/>
      <c r="AF50" s="366" t="inlineStr">
        <is>
          <t>=</t>
        </is>
      </c>
      <c r="AG50" s="10" t="n"/>
      <c r="AH50" s="391">
        <f>AI30</f>
        <v/>
      </c>
      <c r="AI50" s="10" t="n"/>
      <c r="AJ50" s="366" t="inlineStr">
        <is>
          <t>x</t>
        </is>
      </c>
      <c r="AK50" s="10" t="n"/>
      <c r="AL50" s="10" t="n"/>
      <c r="AM50" s="10" t="n"/>
      <c r="AN50" s="10" t="n"/>
      <c r="AO50" s="366" t="n"/>
      <c r="AP50" s="366" t="n">
        <v>1</v>
      </c>
      <c r="AQ50" s="366" t="n"/>
      <c r="AR50" s="366" t="inlineStr">
        <is>
          <t>+</t>
        </is>
      </c>
      <c r="AS50" s="366" t="n"/>
      <c r="AT50" s="381">
        <f>AI31</f>
        <v/>
      </c>
      <c r="AU50" s="366" t="n"/>
      <c r="AV50" s="382">
        <f>AJ32</f>
        <v/>
      </c>
      <c r="AW50" s="10" t="n"/>
      <c r="AX50" s="366" t="inlineStr">
        <is>
          <t>x</t>
        </is>
      </c>
      <c r="AY50" s="29" t="n"/>
      <c r="AZ50" s="383">
        <f>AT50</f>
        <v/>
      </c>
      <c r="BE50" s="57" t="n"/>
      <c r="BF50" s="10" t="n"/>
      <c r="BG50" s="10" t="n"/>
      <c r="BH50" s="10" t="n"/>
      <c r="BI50" s="10" t="n"/>
      <c r="BJ50" s="10" t="n"/>
      <c r="BK50" s="10" t="n"/>
      <c r="BL50" s="58" t="n"/>
      <c r="BM50" s="10" t="n"/>
      <c r="BN50" s="10" t="n"/>
      <c r="BO50" s="10" t="n"/>
      <c r="BP50" s="10" t="n"/>
      <c r="BQ50" s="10" t="n"/>
      <c r="BR50" s="10" t="n"/>
      <c r="BS50" s="366" t="n"/>
      <c r="BT50" s="10" t="n"/>
      <c r="BU50" s="366" t="n"/>
      <c r="BV50" s="10" t="n"/>
      <c r="BW50" s="366" t="n"/>
      <c r="BX50" s="500" t="n"/>
      <c r="BY50" s="366" t="n"/>
      <c r="BZ50" s="60" t="n"/>
      <c r="CA50" s="10" t="n"/>
      <c r="CB50" s="10" t="n"/>
      <c r="CC50" s="29" t="n"/>
      <c r="CD50" s="500" t="n"/>
    </row>
    <row r="51" ht="3" customHeight="1">
      <c r="B51" s="388" t="n"/>
      <c r="C51" s="494" t="n"/>
      <c r="D51" s="10" t="n"/>
      <c r="F51" s="10" t="n"/>
      <c r="H51" s="10" t="n"/>
      <c r="J51" s="10" t="n"/>
      <c r="K51" s="10" t="n"/>
      <c r="L51" s="10" t="n"/>
      <c r="M51" s="10" t="n"/>
      <c r="N51" s="366" t="n"/>
      <c r="P51" s="366" t="n"/>
      <c r="R51" s="366" t="n"/>
      <c r="T51" s="366" t="n"/>
      <c r="V51" s="10" t="n"/>
      <c r="X51" s="29" t="n"/>
      <c r="Y51" s="495" t="n"/>
      <c r="AD51" s="494" t="n"/>
      <c r="AE51" s="10" t="n"/>
      <c r="AG51" s="10" t="n"/>
      <c r="AI51" s="10" t="n"/>
      <c r="AK51" s="10" t="n"/>
      <c r="AL51" s="10" t="n"/>
      <c r="AM51" s="10" t="n"/>
      <c r="AN51" s="10" t="n"/>
      <c r="AO51" s="366" t="n"/>
      <c r="AQ51" s="366" t="n"/>
      <c r="AS51" s="366" t="n"/>
      <c r="AU51" s="366" t="n"/>
      <c r="AW51" s="10" t="n"/>
      <c r="AY51" s="29" t="n"/>
      <c r="AZ51" s="495" t="n"/>
      <c r="BE51" s="57" t="n"/>
      <c r="BF51" s="10" t="n"/>
      <c r="BG51" s="10" t="n"/>
      <c r="BH51" s="10" t="n"/>
      <c r="BI51" s="10" t="n"/>
      <c r="BJ51" s="10" t="n"/>
      <c r="BK51" s="10" t="n"/>
      <c r="BL51" s="58" t="n"/>
      <c r="BM51" s="10" t="n"/>
      <c r="BN51" s="10" t="n"/>
      <c r="BO51" s="10" t="n"/>
      <c r="BP51" s="10" t="n"/>
      <c r="BQ51" s="10" t="n"/>
      <c r="BR51" s="10" t="n"/>
      <c r="BS51" s="366" t="n"/>
      <c r="BT51" s="10" t="n"/>
      <c r="BU51" s="366" t="n"/>
      <c r="BV51" s="10" t="n"/>
      <c r="BW51" s="366" t="n"/>
      <c r="BX51" s="500" t="n"/>
      <c r="BY51" s="366" t="n"/>
      <c r="BZ51" s="60" t="n"/>
      <c r="CA51" s="10" t="n"/>
      <c r="CB51" s="10" t="n"/>
      <c r="CC51" s="29" t="n"/>
      <c r="CD51" s="500" t="n"/>
    </row>
    <row r="52" ht="3" customHeight="1">
      <c r="B52" s="388" t="n"/>
      <c r="C52" s="494" t="n"/>
      <c r="D52" s="10" t="n"/>
      <c r="F52" s="10" t="n"/>
      <c r="H52" s="10" t="n"/>
      <c r="J52" s="10" t="n"/>
      <c r="K52" s="10" t="n"/>
      <c r="L52" s="10" t="n"/>
      <c r="M52" s="10" t="n"/>
      <c r="N52" s="366" t="n"/>
      <c r="P52" s="366" t="n"/>
      <c r="R52" s="366" t="n"/>
      <c r="T52" s="366" t="n"/>
      <c r="V52" s="10" t="n"/>
      <c r="X52" s="29" t="n"/>
      <c r="Y52" s="495" t="n"/>
      <c r="AD52" s="494" t="n"/>
      <c r="AE52" s="10" t="n"/>
      <c r="AG52" s="10" t="n"/>
      <c r="AI52" s="10" t="n"/>
      <c r="AK52" s="10" t="n"/>
      <c r="AL52" s="10" t="n"/>
      <c r="AM52" s="10" t="n"/>
      <c r="AN52" s="10" t="n"/>
      <c r="AO52" s="366" t="n"/>
      <c r="AQ52" s="366" t="n"/>
      <c r="AS52" s="366" t="n"/>
      <c r="AU52" s="366" t="n"/>
      <c r="AW52" s="10" t="n"/>
      <c r="AY52" s="29" t="n"/>
      <c r="AZ52" s="495" t="n"/>
      <c r="BE52" s="57" t="n"/>
      <c r="BF52" s="10" t="n"/>
      <c r="BG52" s="10" t="n"/>
      <c r="BH52" s="10" t="n"/>
      <c r="BI52" s="10" t="n"/>
      <c r="BJ52" s="10" t="n"/>
      <c r="BK52" s="10" t="n"/>
      <c r="BL52" s="58" t="n"/>
      <c r="BM52" s="10" t="n"/>
      <c r="BN52" s="10" t="n"/>
      <c r="BO52" s="10" t="n"/>
      <c r="BP52" s="10" t="n"/>
      <c r="BQ52" s="10" t="n"/>
      <c r="BR52" s="10" t="n"/>
      <c r="BS52" s="366" t="n"/>
      <c r="BT52" s="10" t="n"/>
      <c r="BU52" s="366" t="n"/>
      <c r="BV52" s="10" t="n"/>
      <c r="BW52" s="366" t="n"/>
      <c r="BX52" s="500" t="n"/>
      <c r="BY52" s="366" t="n"/>
      <c r="BZ52" s="60" t="n"/>
      <c r="CA52" s="10" t="n"/>
      <c r="CB52" s="10" t="n"/>
      <c r="CC52" s="29" t="n"/>
      <c r="CD52" s="500" t="n"/>
    </row>
    <row r="53" ht="3" customHeight="1">
      <c r="B53" s="388" t="n"/>
      <c r="C53" s="494" t="n"/>
      <c r="D53" s="10" t="n"/>
      <c r="F53" s="10" t="n"/>
      <c r="H53" s="10" t="n"/>
      <c r="J53" s="10" t="n"/>
      <c r="K53" s="10" t="n"/>
      <c r="L53" s="10" t="n"/>
      <c r="M53" s="10" t="n"/>
      <c r="N53" s="10" t="n"/>
      <c r="P53" s="10" t="n"/>
      <c r="R53" s="10" t="n"/>
      <c r="T53" s="366" t="n"/>
      <c r="U53" s="366" t="n"/>
      <c r="V53" s="10" t="n"/>
      <c r="X53" s="10" t="n"/>
      <c r="Y53" s="495" t="n"/>
      <c r="AD53" s="494" t="n"/>
      <c r="AE53" s="10" t="n"/>
      <c r="AG53" s="10" t="n"/>
      <c r="AI53" s="10" t="n"/>
      <c r="AK53" s="10" t="n"/>
      <c r="AL53" s="10" t="n"/>
      <c r="AM53" s="10" t="n"/>
      <c r="AN53" s="10" t="n"/>
      <c r="AO53" s="10" t="n"/>
      <c r="AQ53" s="10" t="n"/>
      <c r="AS53" s="10" t="n"/>
      <c r="AU53" s="366" t="n"/>
      <c r="AV53" s="366" t="n"/>
      <c r="AW53" s="10" t="n"/>
      <c r="AY53" s="10" t="n"/>
      <c r="AZ53" s="495" t="n"/>
      <c r="BE53" s="57" t="n"/>
      <c r="BF53" s="10" t="n"/>
      <c r="BG53" s="10" t="n"/>
      <c r="BH53" s="10" t="n"/>
      <c r="BI53" s="10" t="n"/>
      <c r="BJ53" s="10" t="n"/>
      <c r="BK53" s="10" t="n"/>
      <c r="BL53" s="58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500" t="n"/>
      <c r="BY53" s="366" t="n"/>
      <c r="BZ53" s="366" t="n"/>
      <c r="CA53" s="10" t="n"/>
      <c r="CB53" s="10" t="n"/>
      <c r="CC53" s="10" t="n"/>
      <c r="CD53" s="500" t="n"/>
    </row>
    <row r="54" ht="3" customHeight="1">
      <c r="B54" s="388" t="n"/>
      <c r="C54" s="494" t="n"/>
      <c r="D54" s="10" t="n"/>
      <c r="F54" s="10" t="n"/>
      <c r="H54" s="10" t="n"/>
      <c r="J54" s="10" t="n"/>
      <c r="K54" s="10" t="n"/>
      <c r="L54" s="10" t="n"/>
      <c r="M54" s="10" t="n"/>
      <c r="N54" s="10" t="n"/>
      <c r="P54" s="10" t="n"/>
      <c r="R54" s="10" t="n"/>
      <c r="T54" s="366" t="n"/>
      <c r="U54" s="366" t="n"/>
      <c r="V54" s="10" t="n"/>
      <c r="X54" s="10" t="n"/>
      <c r="Y54" s="495" t="n"/>
      <c r="AD54" s="494" t="n"/>
      <c r="AE54" s="10" t="n"/>
      <c r="AG54" s="10" t="n"/>
      <c r="AI54" s="10" t="n"/>
      <c r="AK54" s="10" t="n"/>
      <c r="AL54" s="10" t="n"/>
      <c r="AM54" s="10" t="n"/>
      <c r="AN54" s="10" t="n"/>
      <c r="AO54" s="10" t="n"/>
      <c r="AQ54" s="10" t="n"/>
      <c r="AS54" s="10" t="n"/>
      <c r="AU54" s="366" t="n"/>
      <c r="AV54" s="366" t="n"/>
      <c r="AW54" s="10" t="n"/>
      <c r="AY54" s="10" t="n"/>
      <c r="AZ54" s="495" t="n"/>
      <c r="BE54" s="57" t="n"/>
      <c r="BF54" s="10" t="n"/>
      <c r="BG54" s="10" t="n"/>
      <c r="BH54" s="10" t="n"/>
      <c r="BI54" s="10" t="n"/>
      <c r="BJ54" s="10" t="n"/>
      <c r="BK54" s="10" t="n"/>
      <c r="BL54" s="58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500" t="n"/>
      <c r="BY54" s="366" t="n"/>
      <c r="BZ54" s="366" t="n"/>
      <c r="CA54" s="10" t="n"/>
      <c r="CB54" s="10" t="n"/>
      <c r="CC54" s="10" t="n"/>
      <c r="CD54" s="500" t="n"/>
    </row>
    <row r="55" ht="3" customHeight="1">
      <c r="B55" s="388" t="n"/>
      <c r="C55" s="494" t="n"/>
      <c r="D55" s="10" t="n"/>
      <c r="F55" s="10" t="n"/>
      <c r="H55" s="10" t="n"/>
      <c r="J55" s="10" t="n"/>
      <c r="K55" s="10" t="n"/>
      <c r="L55" s="10" t="n"/>
      <c r="M55" s="10" t="n"/>
      <c r="N55" s="366" t="n"/>
      <c r="P55" s="366" t="n"/>
      <c r="R55" s="366" t="n"/>
      <c r="T55" s="366" t="n"/>
      <c r="U55" s="366" t="n"/>
      <c r="V55" s="10" t="n"/>
      <c r="X55" s="10" t="n"/>
      <c r="Y55" s="495" t="n"/>
      <c r="AD55" s="494" t="n"/>
      <c r="AE55" s="10" t="n"/>
      <c r="AG55" s="10" t="n"/>
      <c r="AI55" s="10" t="n"/>
      <c r="AK55" s="10" t="n"/>
      <c r="AL55" s="10" t="n"/>
      <c r="AM55" s="10" t="n"/>
      <c r="AN55" s="10" t="n"/>
      <c r="AO55" s="366" t="n"/>
      <c r="AQ55" s="366" t="n"/>
      <c r="AS55" s="366" t="n"/>
      <c r="AU55" s="366" t="n"/>
      <c r="AV55" s="366" t="n"/>
      <c r="AW55" s="10" t="n"/>
      <c r="AY55" s="10" t="n"/>
      <c r="AZ55" s="495" t="n"/>
      <c r="BE55" s="57" t="n"/>
      <c r="BF55" s="10" t="n"/>
      <c r="BG55" s="10" t="n"/>
      <c r="BH55" s="10" t="n"/>
      <c r="BI55" s="10" t="n"/>
      <c r="BJ55" s="10" t="n"/>
      <c r="BK55" s="10" t="n"/>
      <c r="BL55" s="58" t="n"/>
      <c r="BM55" s="10" t="n"/>
      <c r="BN55" s="10" t="n"/>
      <c r="BO55" s="10" t="n"/>
      <c r="BP55" s="10" t="n"/>
      <c r="BQ55" s="10" t="n"/>
      <c r="BR55" s="10" t="n"/>
      <c r="BS55" s="366" t="n"/>
      <c r="BT55" s="10" t="n"/>
      <c r="BU55" s="366" t="n"/>
      <c r="BV55" s="10" t="n"/>
      <c r="BW55" s="366" t="n"/>
      <c r="BX55" s="500" t="n"/>
      <c r="BY55" s="366" t="n"/>
      <c r="BZ55" s="366" t="n"/>
      <c r="CA55" s="10" t="n"/>
      <c r="CB55" s="10" t="n"/>
      <c r="CC55" s="10" t="n"/>
      <c r="CD55" s="500" t="n"/>
    </row>
    <row r="56" ht="0.75" customHeight="1">
      <c r="B56" s="388" t="n"/>
      <c r="C56" s="494" t="n"/>
      <c r="D56" s="366" t="n"/>
      <c r="F56" s="10" t="n"/>
      <c r="H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8" t="n"/>
      <c r="AD56" s="494" t="n"/>
      <c r="AE56" s="366" t="n"/>
      <c r="AG56" s="10" t="n"/>
      <c r="AI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8" t="n"/>
      <c r="BE56" s="57" t="n"/>
      <c r="BF56" s="366" t="n"/>
      <c r="BG56" s="10" t="n"/>
      <c r="BH56" s="10" t="n"/>
      <c r="BI56" s="10" t="n"/>
      <c r="BJ56" s="10" t="n"/>
      <c r="BK56" s="10" t="n"/>
      <c r="BL56" s="58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</row>
    <row r="57" hidden="1" ht="3" customHeight="1">
      <c r="B57" s="388" t="n"/>
      <c r="C57" s="494" t="n"/>
      <c r="D57" s="366" t="n"/>
      <c r="F57" s="10" t="n"/>
      <c r="H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8" t="n"/>
      <c r="AD57" s="494" t="n"/>
      <c r="AE57" s="366" t="n"/>
      <c r="AG57" s="10" t="n"/>
      <c r="AI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8" t="n"/>
      <c r="BE57" s="57" t="n"/>
      <c r="BF57" s="366" t="n"/>
      <c r="BG57" s="10" t="n"/>
      <c r="BH57" s="10" t="n"/>
      <c r="BI57" s="10" t="n"/>
      <c r="BJ57" s="10" t="n"/>
      <c r="BK57" s="10" t="n"/>
      <c r="BL57" s="58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</row>
    <row r="58" ht="3" customHeight="1">
      <c r="B58" s="388" t="n"/>
      <c r="C58" s="494" t="n"/>
      <c r="D58" s="10" t="n"/>
      <c r="F58" s="10" t="n"/>
      <c r="H58" s="10" t="n"/>
      <c r="J58" s="10" t="n"/>
      <c r="K58" s="10" t="n"/>
      <c r="L58" s="10" t="n"/>
      <c r="M58" s="10" t="n"/>
      <c r="N58" s="366" t="n"/>
      <c r="O58" s="366" t="n">
        <v>1</v>
      </c>
      <c r="P58" s="366" t="n"/>
      <c r="Q58" s="366" t="inlineStr">
        <is>
          <t>+</t>
        </is>
      </c>
      <c r="R58" s="366" t="n"/>
      <c r="S58" s="381">
        <f>S50</f>
        <v/>
      </c>
      <c r="T58" s="366" t="n"/>
      <c r="U58" s="382">
        <f>U50</f>
        <v/>
      </c>
      <c r="V58" s="10" t="n"/>
      <c r="W58" s="366" t="inlineStr">
        <is>
          <t>-</t>
        </is>
      </c>
      <c r="X58" s="29" t="n"/>
      <c r="Y58" s="364" t="n">
        <v>1</v>
      </c>
      <c r="AD58" s="494" t="n"/>
      <c r="AE58" s="10" t="n"/>
      <c r="AG58" s="10" t="n"/>
      <c r="AI58" s="10" t="n"/>
      <c r="AK58" s="10" t="n"/>
      <c r="AL58" s="10" t="n"/>
      <c r="AM58" s="10" t="n"/>
      <c r="AN58" s="10" t="n"/>
      <c r="AO58" s="366" t="n"/>
      <c r="AP58" s="366" t="n">
        <v>1</v>
      </c>
      <c r="AQ58" s="366" t="n"/>
      <c r="AR58" s="366" t="inlineStr">
        <is>
          <t>+</t>
        </is>
      </c>
      <c r="AS58" s="366" t="n"/>
      <c r="AT58" s="381">
        <f>AT50</f>
        <v/>
      </c>
      <c r="AU58" s="366" t="n"/>
      <c r="AV58" s="382">
        <f>AV50</f>
        <v/>
      </c>
      <c r="AW58" s="10" t="n"/>
      <c r="AX58" s="366" t="inlineStr">
        <is>
          <t>-</t>
        </is>
      </c>
      <c r="AY58" s="29" t="n"/>
      <c r="AZ58" s="364" t="n">
        <v>1</v>
      </c>
      <c r="BE58" s="57" t="n"/>
      <c r="BF58" s="10" t="n"/>
      <c r="BG58" s="10" t="n"/>
      <c r="BH58" s="10" t="n"/>
      <c r="BI58" s="10" t="n"/>
      <c r="BJ58" s="10" t="n"/>
      <c r="BK58" s="10" t="n"/>
      <c r="BL58" s="58" t="n"/>
      <c r="BM58" s="10" t="n"/>
      <c r="BN58" s="10" t="n"/>
      <c r="BO58" s="10" t="n"/>
      <c r="BP58" s="10" t="n"/>
      <c r="BQ58" s="10" t="n"/>
      <c r="BR58" s="10" t="n"/>
      <c r="BS58" s="366" t="n"/>
      <c r="BT58" s="10" t="n"/>
      <c r="BU58" s="366" t="n"/>
      <c r="BV58" s="10" t="n"/>
      <c r="BW58" s="366" t="n"/>
      <c r="BX58" s="500" t="n"/>
      <c r="BY58" s="366" t="n"/>
      <c r="BZ58" s="60" t="n"/>
      <c r="CA58" s="10" t="n"/>
      <c r="CB58" s="10" t="n"/>
      <c r="CC58" s="29" t="n"/>
      <c r="CD58" s="10" t="n"/>
    </row>
    <row r="59" ht="3" customHeight="1">
      <c r="B59" s="388" t="n"/>
      <c r="C59" s="494" t="n"/>
      <c r="D59" s="10" t="n"/>
      <c r="F59" s="10" t="n"/>
      <c r="H59" s="10" t="n"/>
      <c r="J59" s="10" t="n"/>
      <c r="K59" s="10" t="n"/>
      <c r="L59" s="10" t="n"/>
      <c r="M59" s="10" t="n"/>
      <c r="N59" s="366" t="n"/>
      <c r="P59" s="366" t="n"/>
      <c r="R59" s="366" t="n"/>
      <c r="T59" s="366" t="n"/>
      <c r="V59" s="10" t="n"/>
      <c r="X59" s="29" t="n"/>
      <c r="Y59" s="495" t="n"/>
      <c r="AD59" s="494" t="n"/>
      <c r="AE59" s="10" t="n"/>
      <c r="AG59" s="10" t="n"/>
      <c r="AI59" s="10" t="n"/>
      <c r="AK59" s="10" t="n"/>
      <c r="AL59" s="10" t="n"/>
      <c r="AM59" s="10" t="n"/>
      <c r="AN59" s="10" t="n"/>
      <c r="AO59" s="366" t="n"/>
      <c r="AQ59" s="366" t="n"/>
      <c r="AS59" s="366" t="n"/>
      <c r="AU59" s="366" t="n"/>
      <c r="AW59" s="10" t="n"/>
      <c r="AY59" s="29" t="n"/>
      <c r="AZ59" s="495" t="n"/>
      <c r="BE59" s="57" t="n"/>
      <c r="BF59" s="10" t="n"/>
      <c r="BG59" s="10" t="n"/>
      <c r="BH59" s="10" t="n"/>
      <c r="BI59" s="10" t="n"/>
      <c r="BJ59" s="10" t="n"/>
      <c r="BK59" s="10" t="n"/>
      <c r="BL59" s="58" t="n"/>
      <c r="BM59" s="10" t="n"/>
      <c r="BN59" s="10" t="n"/>
      <c r="BO59" s="10" t="n"/>
      <c r="BP59" s="10" t="n"/>
      <c r="BQ59" s="10" t="n"/>
      <c r="BR59" s="10" t="n"/>
      <c r="BS59" s="366" t="n"/>
      <c r="BT59" s="10" t="n"/>
      <c r="BU59" s="366" t="n"/>
      <c r="BV59" s="10" t="n"/>
      <c r="BW59" s="366" t="n"/>
      <c r="BX59" s="500" t="n"/>
      <c r="BY59" s="366" t="n"/>
      <c r="BZ59" s="60" t="n"/>
      <c r="CA59" s="10" t="n"/>
      <c r="CB59" s="10" t="n"/>
      <c r="CC59" s="29" t="n"/>
      <c r="CD59" s="10" t="n"/>
    </row>
    <row r="60" ht="3" customHeight="1">
      <c r="B60" s="388" t="n"/>
      <c r="C60" s="494" t="n"/>
      <c r="D60" s="10" t="n"/>
      <c r="F60" s="10" t="n"/>
      <c r="H60" s="10" t="n"/>
      <c r="J60" s="10" t="n"/>
      <c r="K60" s="10" t="n"/>
      <c r="L60" s="10" t="n"/>
      <c r="M60" s="10" t="n"/>
      <c r="N60" s="366" t="n"/>
      <c r="P60" s="366" t="n"/>
      <c r="R60" s="366" t="n"/>
      <c r="T60" s="366" t="n"/>
      <c r="V60" s="10" t="n"/>
      <c r="X60" s="29" t="n"/>
      <c r="Y60" s="495" t="n"/>
      <c r="AD60" s="494" t="n"/>
      <c r="AE60" s="10" t="n"/>
      <c r="AG60" s="10" t="n"/>
      <c r="AI60" s="10" t="n"/>
      <c r="AK60" s="10" t="n"/>
      <c r="AL60" s="10" t="n"/>
      <c r="AM60" s="10" t="n"/>
      <c r="AN60" s="10" t="n"/>
      <c r="AO60" s="366" t="n"/>
      <c r="AQ60" s="366" t="n"/>
      <c r="AS60" s="366" t="n"/>
      <c r="AU60" s="366" t="n"/>
      <c r="AW60" s="10" t="n"/>
      <c r="AY60" s="29" t="n"/>
      <c r="AZ60" s="495" t="n"/>
      <c r="BE60" s="57" t="n"/>
      <c r="BF60" s="10" t="n"/>
      <c r="BG60" s="10" t="n"/>
      <c r="BH60" s="10" t="n"/>
      <c r="BI60" s="10" t="n"/>
      <c r="BJ60" s="10" t="n"/>
      <c r="BK60" s="10" t="n"/>
      <c r="BL60" s="58" t="n"/>
      <c r="BM60" s="10" t="n"/>
      <c r="BN60" s="10" t="n"/>
      <c r="BO60" s="10" t="n"/>
      <c r="BP60" s="10" t="n"/>
      <c r="BQ60" s="10" t="n"/>
      <c r="BR60" s="10" t="n"/>
      <c r="BS60" s="366" t="n"/>
      <c r="BT60" s="10" t="n"/>
      <c r="BU60" s="366" t="n"/>
      <c r="BV60" s="10" t="n"/>
      <c r="BW60" s="366" t="n"/>
      <c r="BX60" s="500" t="n"/>
      <c r="BY60" s="366" t="n"/>
      <c r="BZ60" s="60" t="n"/>
      <c r="CA60" s="10" t="n"/>
      <c r="CB60" s="10" t="n"/>
      <c r="CC60" s="29" t="n"/>
      <c r="CD60" s="10" t="n"/>
    </row>
    <row r="61" ht="3" customHeight="1">
      <c r="B61" s="388" t="n"/>
      <c r="C61" s="494" t="n"/>
      <c r="D61" s="10" t="n"/>
      <c r="F61" s="10" t="n"/>
      <c r="H61" s="10" t="n"/>
      <c r="J61" s="10" t="n"/>
      <c r="K61" s="10" t="n"/>
      <c r="L61" s="10" t="n"/>
      <c r="M61" s="10" t="n"/>
      <c r="N61" s="10" t="n"/>
      <c r="P61" s="10" t="n"/>
      <c r="R61" s="10" t="n"/>
      <c r="T61" s="366" t="n"/>
      <c r="U61" s="366" t="n"/>
      <c r="V61" s="10" t="n"/>
      <c r="X61" s="10" t="n"/>
      <c r="Y61" s="495" t="n"/>
      <c r="AD61" s="494" t="n"/>
      <c r="AE61" s="10" t="n"/>
      <c r="AG61" s="10" t="n"/>
      <c r="AI61" s="10" t="n"/>
      <c r="AK61" s="10" t="n"/>
      <c r="AL61" s="10" t="n"/>
      <c r="AM61" s="10" t="n"/>
      <c r="AN61" s="10" t="n"/>
      <c r="AO61" s="10" t="n"/>
      <c r="AQ61" s="10" t="n"/>
      <c r="AS61" s="10" t="n"/>
      <c r="AU61" s="366" t="n"/>
      <c r="AV61" s="366" t="n"/>
      <c r="AW61" s="10" t="n"/>
      <c r="AY61" s="10" t="n"/>
      <c r="AZ61" s="495" t="n"/>
      <c r="BE61" s="57" t="n"/>
      <c r="BF61" s="10" t="n"/>
      <c r="BG61" s="10" t="n"/>
      <c r="BH61" s="10" t="n"/>
      <c r="BI61" s="10" t="n"/>
      <c r="BJ61" s="10" t="n"/>
      <c r="BK61" s="10" t="n"/>
      <c r="BL61" s="58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500" t="n"/>
      <c r="BY61" s="366" t="n"/>
      <c r="BZ61" s="366" t="n"/>
      <c r="CA61" s="10" t="n"/>
      <c r="CB61" s="10" t="n"/>
      <c r="CC61" s="10" t="n"/>
      <c r="CD61" s="10" t="n"/>
    </row>
    <row r="62" ht="3" customHeight="1">
      <c r="B62" s="388" t="n"/>
      <c r="C62" s="494" t="n"/>
      <c r="D62" s="10" t="n"/>
      <c r="F62" s="10" t="n"/>
      <c r="H62" s="10" t="n"/>
      <c r="J62" s="10" t="n"/>
      <c r="K62" s="10" t="n"/>
      <c r="L62" s="10" t="n"/>
      <c r="M62" s="10" t="n"/>
      <c r="N62" s="10" t="n"/>
      <c r="P62" s="10" t="n"/>
      <c r="R62" s="10" t="n"/>
      <c r="T62" s="366" t="n"/>
      <c r="U62" s="366" t="n"/>
      <c r="V62" s="10" t="n"/>
      <c r="X62" s="10" t="n"/>
      <c r="Y62" s="495" t="n"/>
      <c r="AD62" s="494" t="n"/>
      <c r="AE62" s="10" t="n"/>
      <c r="AG62" s="10" t="n"/>
      <c r="AI62" s="10" t="n"/>
      <c r="AK62" s="10" t="n"/>
      <c r="AL62" s="10" t="n"/>
      <c r="AM62" s="10" t="n"/>
      <c r="AN62" s="10" t="n"/>
      <c r="AO62" s="10" t="n"/>
      <c r="AQ62" s="10" t="n"/>
      <c r="AS62" s="10" t="n"/>
      <c r="AU62" s="366" t="n"/>
      <c r="AV62" s="366" t="n"/>
      <c r="AW62" s="10" t="n"/>
      <c r="AY62" s="10" t="n"/>
      <c r="AZ62" s="495" t="n"/>
      <c r="BE62" s="57" t="n"/>
      <c r="BF62" s="10" t="n"/>
      <c r="BG62" s="10" t="n"/>
      <c r="BH62" s="10" t="n"/>
      <c r="BI62" s="10" t="n"/>
      <c r="BJ62" s="10" t="n"/>
      <c r="BK62" s="10" t="n"/>
      <c r="BL62" s="58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500" t="n"/>
      <c r="BY62" s="366" t="n"/>
      <c r="BZ62" s="366" t="n"/>
      <c r="CA62" s="10" t="n"/>
      <c r="CB62" s="10" t="n"/>
      <c r="CC62" s="10" t="n"/>
      <c r="CD62" s="10" t="n"/>
    </row>
    <row r="63" ht="3" customHeight="1">
      <c r="B63" s="388" t="n"/>
      <c r="C63" s="494" t="n"/>
      <c r="D63" s="10" t="n"/>
      <c r="F63" s="10" t="n"/>
      <c r="H63" s="10" t="n"/>
      <c r="J63" s="10" t="n"/>
      <c r="K63" s="10" t="n"/>
      <c r="L63" s="10" t="n"/>
      <c r="M63" s="10" t="n"/>
      <c r="N63" s="366" t="n"/>
      <c r="P63" s="366" t="n"/>
      <c r="R63" s="366" t="n"/>
      <c r="T63" s="366" t="n"/>
      <c r="U63" s="366" t="n"/>
      <c r="V63" s="10" t="n"/>
      <c r="X63" s="10" t="n"/>
      <c r="Y63" s="495" t="n"/>
      <c r="AD63" s="494" t="n"/>
      <c r="AE63" s="10" t="n"/>
      <c r="AG63" s="10" t="n"/>
      <c r="AI63" s="10" t="n"/>
      <c r="AK63" s="10" t="n"/>
      <c r="AL63" s="10" t="n"/>
      <c r="AM63" s="10" t="n"/>
      <c r="AN63" s="10" t="n"/>
      <c r="AO63" s="366" t="n"/>
      <c r="AQ63" s="366" t="n"/>
      <c r="AS63" s="366" t="n"/>
      <c r="AU63" s="366" t="n"/>
      <c r="AV63" s="366" t="n"/>
      <c r="AW63" s="10" t="n"/>
      <c r="AY63" s="10" t="n"/>
      <c r="AZ63" s="495" t="n"/>
      <c r="BE63" s="57" t="n"/>
      <c r="BF63" s="10" t="n"/>
      <c r="BG63" s="10" t="n"/>
      <c r="BH63" s="10" t="n"/>
      <c r="BI63" s="10" t="n"/>
      <c r="BJ63" s="10" t="n"/>
      <c r="BK63" s="10" t="n"/>
      <c r="BL63" s="58" t="n"/>
      <c r="BM63" s="10" t="n"/>
      <c r="BN63" s="10" t="n"/>
      <c r="BO63" s="10" t="n"/>
      <c r="BP63" s="10" t="n"/>
      <c r="BQ63" s="10" t="n"/>
      <c r="BR63" s="10" t="n"/>
      <c r="BS63" s="366" t="n"/>
      <c r="BT63" s="10" t="n"/>
      <c r="BU63" s="366" t="n"/>
      <c r="BV63" s="10" t="n"/>
      <c r="BW63" s="366" t="n"/>
      <c r="BX63" s="500" t="n"/>
      <c r="BY63" s="366" t="n"/>
      <c r="BZ63" s="366" t="n"/>
      <c r="CA63" s="10" t="n"/>
      <c r="CB63" s="10" t="n"/>
      <c r="CC63" s="10" t="n"/>
      <c r="CD63" s="10" t="n"/>
    </row>
    <row r="64" hidden="1" ht="3" customHeight="1">
      <c r="C64" s="494" t="n"/>
      <c r="D64" s="10" t="n"/>
      <c r="F64" s="10" t="n"/>
      <c r="H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8" t="n"/>
      <c r="AD64" s="494" t="n"/>
      <c r="AE64" s="10" t="n"/>
      <c r="AG64" s="10" t="n"/>
      <c r="AI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8" t="n"/>
      <c r="BE64" s="57" t="n"/>
      <c r="BF64" s="10" t="n"/>
      <c r="BG64" s="10" t="n"/>
      <c r="BH64" s="10" t="n"/>
      <c r="BI64" s="10" t="n"/>
      <c r="BJ64" s="10" t="n"/>
      <c r="BK64" s="10" t="n"/>
      <c r="BL64" s="58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</row>
    <row r="65" hidden="1" ht="9" customHeight="1">
      <c r="C65" s="9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8" t="n"/>
      <c r="AD65" s="9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8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</row>
    <row r="66" hidden="1" ht="3" customHeight="1">
      <c r="B66" s="388" t="n"/>
      <c r="C66" s="365" t="inlineStr">
        <is>
          <t>PMT</t>
        </is>
      </c>
      <c r="D66" s="10" t="n"/>
      <c r="E66" s="366" t="inlineStr">
        <is>
          <t>=</t>
        </is>
      </c>
      <c r="F66" s="10" t="n"/>
      <c r="G66" s="391">
        <f>G50</f>
        <v/>
      </c>
      <c r="H66" s="10" t="n"/>
      <c r="I66" s="366" t="inlineStr">
        <is>
          <t>x</t>
        </is>
      </c>
      <c r="J66" s="10" t="n"/>
      <c r="K66" s="10" t="n"/>
      <c r="L66" s="10" t="n"/>
      <c r="M66" s="10" t="n"/>
      <c r="N66" s="366" t="n"/>
      <c r="O66" s="547">
        <f>O50+S50</f>
        <v/>
      </c>
      <c r="T66" s="366" t="n"/>
      <c r="U66" s="382">
        <f>U50</f>
        <v/>
      </c>
      <c r="V66" s="10" t="n"/>
      <c r="W66" s="366" t="inlineStr">
        <is>
          <t>x</t>
        </is>
      </c>
      <c r="X66" s="29" t="n"/>
      <c r="Y66" s="548">
        <f>Y50</f>
        <v/>
      </c>
      <c r="AD66" s="365" t="inlineStr">
        <is>
          <t>PMT</t>
        </is>
      </c>
      <c r="AE66" s="10" t="n"/>
      <c r="AF66" s="366" t="inlineStr">
        <is>
          <t>=</t>
        </is>
      </c>
      <c r="AG66" s="10" t="n"/>
      <c r="AH66" s="391">
        <f>AH50</f>
        <v/>
      </c>
      <c r="AI66" s="10" t="n"/>
      <c r="AJ66" s="366" t="inlineStr">
        <is>
          <t>x</t>
        </is>
      </c>
      <c r="AK66" s="10" t="n"/>
      <c r="AL66" s="10" t="n"/>
      <c r="AM66" s="10" t="n"/>
      <c r="AN66" s="10" t="n"/>
      <c r="AO66" s="366" t="n"/>
      <c r="AP66" s="547">
        <f>AP50+AT50</f>
        <v/>
      </c>
      <c r="AU66" s="366" t="n"/>
      <c r="AV66" s="382">
        <f>AV50</f>
        <v/>
      </c>
      <c r="AW66" s="10" t="n"/>
      <c r="AX66" s="366" t="inlineStr">
        <is>
          <t>x</t>
        </is>
      </c>
      <c r="AY66" s="29" t="n"/>
      <c r="AZ66" s="548">
        <f>AZ50</f>
        <v/>
      </c>
      <c r="BE66" s="57" t="n"/>
      <c r="BF66" s="10" t="n"/>
      <c r="BG66" s="10" t="n"/>
      <c r="BH66" s="10" t="n"/>
      <c r="BI66" s="10" t="n"/>
      <c r="BJ66" s="10" t="n"/>
      <c r="BK66" s="10" t="n"/>
      <c r="BL66" s="58" t="n"/>
      <c r="BM66" s="10" t="n"/>
      <c r="BN66" s="10" t="n"/>
      <c r="BO66" s="10" t="n"/>
      <c r="BP66" s="10" t="n"/>
      <c r="BQ66" s="10" t="n"/>
      <c r="BR66" s="10" t="n"/>
      <c r="BS66" s="366" t="n"/>
      <c r="BT66" s="549" t="n"/>
      <c r="BU66" s="549" t="n"/>
      <c r="BV66" s="549" t="n"/>
      <c r="BW66" s="549" t="n"/>
      <c r="BX66" s="549" t="n"/>
      <c r="BY66" s="366" t="n"/>
      <c r="BZ66" s="60" t="n"/>
      <c r="CA66" s="10" t="n"/>
      <c r="CB66" s="10" t="n"/>
      <c r="CC66" s="29" t="n"/>
      <c r="CD66" s="500" t="n"/>
    </row>
    <row r="67" hidden="1" ht="3" customHeight="1">
      <c r="B67" s="388" t="n"/>
      <c r="C67" s="494" t="n"/>
      <c r="D67" s="10" t="n"/>
      <c r="F67" s="10" t="n"/>
      <c r="H67" s="10" t="n"/>
      <c r="J67" s="10" t="n"/>
      <c r="K67" s="10" t="n"/>
      <c r="L67" s="10" t="n"/>
      <c r="M67" s="10" t="n"/>
      <c r="N67" s="366" t="n"/>
      <c r="T67" s="366" t="n"/>
      <c r="V67" s="10" t="n"/>
      <c r="X67" s="29" t="n"/>
      <c r="Y67" s="495" t="n"/>
      <c r="AD67" s="494" t="n"/>
      <c r="AE67" s="10" t="n"/>
      <c r="AG67" s="10" t="n"/>
      <c r="AI67" s="10" t="n"/>
      <c r="AK67" s="10" t="n"/>
      <c r="AL67" s="10" t="n"/>
      <c r="AM67" s="10" t="n"/>
      <c r="AN67" s="10" t="n"/>
      <c r="AO67" s="366" t="n"/>
      <c r="AU67" s="366" t="n"/>
      <c r="AW67" s="10" t="n"/>
      <c r="AY67" s="29" t="n"/>
      <c r="AZ67" s="495" t="n"/>
      <c r="BE67" s="57" t="n"/>
      <c r="BF67" s="10" t="n"/>
      <c r="BG67" s="10" t="n"/>
      <c r="BH67" s="10" t="n"/>
      <c r="BI67" s="10" t="n"/>
      <c r="BJ67" s="10" t="n"/>
      <c r="BK67" s="10" t="n"/>
      <c r="BL67" s="58" t="n"/>
      <c r="BM67" s="10" t="n"/>
      <c r="BN67" s="10" t="n"/>
      <c r="BO67" s="10" t="n"/>
      <c r="BP67" s="10" t="n"/>
      <c r="BQ67" s="10" t="n"/>
      <c r="BR67" s="10" t="n"/>
      <c r="BS67" s="366" t="n"/>
      <c r="BT67" s="549" t="n"/>
      <c r="BU67" s="549" t="n"/>
      <c r="BV67" s="549" t="n"/>
      <c r="BW67" s="549" t="n"/>
      <c r="BX67" s="549" t="n"/>
      <c r="BY67" s="366" t="n"/>
      <c r="BZ67" s="60" t="n"/>
      <c r="CA67" s="10" t="n"/>
      <c r="CB67" s="10" t="n"/>
      <c r="CC67" s="29" t="n"/>
      <c r="CD67" s="500" t="n"/>
    </row>
    <row r="68" hidden="1" ht="3" customHeight="1">
      <c r="B68" s="388" t="n"/>
      <c r="C68" s="494" t="n"/>
      <c r="D68" s="10" t="n"/>
      <c r="F68" s="10" t="n"/>
      <c r="H68" s="10" t="n"/>
      <c r="J68" s="10" t="n"/>
      <c r="K68" s="10" t="n"/>
      <c r="L68" s="10" t="n"/>
      <c r="M68" s="10" t="n"/>
      <c r="N68" s="366" t="n"/>
      <c r="T68" s="366" t="n"/>
      <c r="V68" s="10" t="n"/>
      <c r="X68" s="29" t="n"/>
      <c r="Y68" s="495" t="n"/>
      <c r="AD68" s="494" t="n"/>
      <c r="AE68" s="10" t="n"/>
      <c r="AG68" s="10" t="n"/>
      <c r="AI68" s="10" t="n"/>
      <c r="AK68" s="10" t="n"/>
      <c r="AL68" s="10" t="n"/>
      <c r="AM68" s="10" t="n"/>
      <c r="AN68" s="10" t="n"/>
      <c r="AO68" s="366" t="n"/>
      <c r="AU68" s="366" t="n"/>
      <c r="AW68" s="10" t="n"/>
      <c r="AY68" s="29" t="n"/>
      <c r="AZ68" s="495" t="n"/>
      <c r="BE68" s="57" t="n"/>
      <c r="BF68" s="10" t="n"/>
      <c r="BG68" s="10" t="n"/>
      <c r="BH68" s="10" t="n"/>
      <c r="BI68" s="10" t="n"/>
      <c r="BJ68" s="10" t="n"/>
      <c r="BK68" s="10" t="n"/>
      <c r="BL68" s="58" t="n"/>
      <c r="BM68" s="10" t="n"/>
      <c r="BN68" s="10" t="n"/>
      <c r="BO68" s="10" t="n"/>
      <c r="BP68" s="10" t="n"/>
      <c r="BQ68" s="10" t="n"/>
      <c r="BR68" s="10" t="n"/>
      <c r="BS68" s="366" t="n"/>
      <c r="BT68" s="549" t="n"/>
      <c r="BU68" s="549" t="n"/>
      <c r="BV68" s="549" t="n"/>
      <c r="BW68" s="549" t="n"/>
      <c r="BX68" s="549" t="n"/>
      <c r="BY68" s="366" t="n"/>
      <c r="BZ68" s="60" t="n"/>
      <c r="CA68" s="10" t="n"/>
      <c r="CB68" s="10" t="n"/>
      <c r="CC68" s="29" t="n"/>
      <c r="CD68" s="500" t="n"/>
    </row>
    <row r="69" hidden="1" ht="3" customHeight="1">
      <c r="B69" s="388" t="n"/>
      <c r="C69" s="494" t="n"/>
      <c r="D69" s="10" t="n"/>
      <c r="F69" s="10" t="n"/>
      <c r="H69" s="10" t="n"/>
      <c r="J69" s="10" t="n"/>
      <c r="K69" s="10" t="n"/>
      <c r="L69" s="10" t="n"/>
      <c r="M69" s="10" t="n"/>
      <c r="N69" s="10" t="n"/>
      <c r="T69" s="366" t="n"/>
      <c r="U69" s="366" t="n"/>
      <c r="V69" s="10" t="n"/>
      <c r="X69" s="10" t="n"/>
      <c r="Y69" s="495" t="n"/>
      <c r="AD69" s="494" t="n"/>
      <c r="AE69" s="10" t="n"/>
      <c r="AG69" s="10" t="n"/>
      <c r="AI69" s="10" t="n"/>
      <c r="AK69" s="10" t="n"/>
      <c r="AL69" s="10" t="n"/>
      <c r="AM69" s="10" t="n"/>
      <c r="AN69" s="10" t="n"/>
      <c r="AO69" s="10" t="n"/>
      <c r="AU69" s="366" t="n"/>
      <c r="AV69" s="366" t="n"/>
      <c r="AW69" s="10" t="n"/>
      <c r="AY69" s="10" t="n"/>
      <c r="AZ69" s="495" t="n"/>
      <c r="BE69" s="57" t="n"/>
      <c r="BF69" s="10" t="n"/>
      <c r="BG69" s="10" t="n"/>
      <c r="BH69" s="10" t="n"/>
      <c r="BI69" s="10" t="n"/>
      <c r="BJ69" s="10" t="n"/>
      <c r="BK69" s="10" t="n"/>
      <c r="BL69" s="58" t="n"/>
      <c r="BM69" s="10" t="n"/>
      <c r="BN69" s="10" t="n"/>
      <c r="BO69" s="10" t="n"/>
      <c r="BP69" s="10" t="n"/>
      <c r="BQ69" s="10" t="n"/>
      <c r="BR69" s="10" t="n"/>
      <c r="BS69" s="10" t="n"/>
      <c r="BT69" s="549" t="n"/>
      <c r="BU69" s="549" t="n"/>
      <c r="BV69" s="549" t="n"/>
      <c r="BW69" s="549" t="n"/>
      <c r="BX69" s="549" t="n"/>
      <c r="BY69" s="366" t="n"/>
      <c r="BZ69" s="366" t="n"/>
      <c r="CA69" s="10" t="n"/>
      <c r="CB69" s="10" t="n"/>
      <c r="CC69" s="10" t="n"/>
      <c r="CD69" s="500" t="n"/>
    </row>
    <row r="70" hidden="1" ht="3" customHeight="1">
      <c r="B70" s="388" t="n"/>
      <c r="C70" s="494" t="n"/>
      <c r="D70" s="10" t="n"/>
      <c r="F70" s="10" t="n"/>
      <c r="H70" s="10" t="n"/>
      <c r="J70" s="10" t="n"/>
      <c r="K70" s="10" t="n"/>
      <c r="L70" s="10" t="n"/>
      <c r="M70" s="10" t="n"/>
      <c r="N70" s="10" t="n"/>
      <c r="T70" s="366" t="n"/>
      <c r="U70" s="366" t="n"/>
      <c r="V70" s="10" t="n"/>
      <c r="X70" s="10" t="n"/>
      <c r="Y70" s="495" t="n"/>
      <c r="AD70" s="494" t="n"/>
      <c r="AE70" s="10" t="n"/>
      <c r="AG70" s="10" t="n"/>
      <c r="AI70" s="10" t="n"/>
      <c r="AK70" s="10" t="n"/>
      <c r="AL70" s="10" t="n"/>
      <c r="AM70" s="10" t="n"/>
      <c r="AN70" s="10" t="n"/>
      <c r="AO70" s="10" t="n"/>
      <c r="AU70" s="366" t="n"/>
      <c r="AV70" s="366" t="n"/>
      <c r="AW70" s="10" t="n"/>
      <c r="AY70" s="10" t="n"/>
      <c r="AZ70" s="495" t="n"/>
      <c r="BE70" s="57" t="n"/>
      <c r="BF70" s="10" t="n"/>
      <c r="BG70" s="10" t="n"/>
      <c r="BH70" s="10" t="n"/>
      <c r="BI70" s="10" t="n"/>
      <c r="BJ70" s="10" t="n"/>
      <c r="BK70" s="10" t="n"/>
      <c r="BL70" s="58" t="n"/>
      <c r="BM70" s="10" t="n"/>
      <c r="BN70" s="10" t="n"/>
      <c r="BO70" s="10" t="n"/>
      <c r="BP70" s="10" t="n"/>
      <c r="BQ70" s="10" t="n"/>
      <c r="BR70" s="10" t="n"/>
      <c r="BS70" s="10" t="n"/>
      <c r="BT70" s="549" t="n"/>
      <c r="BU70" s="549" t="n"/>
      <c r="BV70" s="549" t="n"/>
      <c r="BW70" s="549" t="n"/>
      <c r="BX70" s="549" t="n"/>
      <c r="BY70" s="366" t="n"/>
      <c r="BZ70" s="366" t="n"/>
      <c r="CA70" s="10" t="n"/>
      <c r="CB70" s="10" t="n"/>
      <c r="CC70" s="10" t="n"/>
      <c r="CD70" s="500" t="n"/>
    </row>
    <row r="71" hidden="1" ht="3" customHeight="1">
      <c r="B71" s="388" t="n"/>
      <c r="C71" s="494" t="n"/>
      <c r="D71" s="10" t="n"/>
      <c r="F71" s="10" t="n"/>
      <c r="H71" s="10" t="n"/>
      <c r="J71" s="10" t="n"/>
      <c r="K71" s="10" t="n"/>
      <c r="L71" s="10" t="n"/>
      <c r="M71" s="10" t="n"/>
      <c r="N71" s="366" t="n"/>
      <c r="T71" s="366" t="n"/>
      <c r="U71" s="366" t="n"/>
      <c r="V71" s="10" t="n"/>
      <c r="X71" s="10" t="n"/>
      <c r="Y71" s="495" t="n"/>
      <c r="AD71" s="494" t="n"/>
      <c r="AE71" s="10" t="n"/>
      <c r="AG71" s="10" t="n"/>
      <c r="AI71" s="10" t="n"/>
      <c r="AK71" s="10" t="n"/>
      <c r="AL71" s="10" t="n"/>
      <c r="AM71" s="10" t="n"/>
      <c r="AN71" s="10" t="n"/>
      <c r="AO71" s="366" t="n"/>
      <c r="AU71" s="366" t="n"/>
      <c r="AV71" s="366" t="n"/>
      <c r="AW71" s="10" t="n"/>
      <c r="AY71" s="10" t="n"/>
      <c r="AZ71" s="495" t="n"/>
      <c r="BE71" s="57" t="n"/>
      <c r="BF71" s="10" t="n"/>
      <c r="BG71" s="10" t="n"/>
      <c r="BH71" s="10" t="n"/>
      <c r="BI71" s="10" t="n"/>
      <c r="BJ71" s="10" t="n"/>
      <c r="BK71" s="10" t="n"/>
      <c r="BL71" s="58" t="n"/>
      <c r="BM71" s="10" t="n"/>
      <c r="BN71" s="10" t="n"/>
      <c r="BO71" s="10" t="n"/>
      <c r="BP71" s="10" t="n"/>
      <c r="BQ71" s="10" t="n"/>
      <c r="BR71" s="10" t="n"/>
      <c r="BS71" s="366" t="n"/>
      <c r="BT71" s="549" t="n"/>
      <c r="BU71" s="549" t="n"/>
      <c r="BV71" s="549" t="n"/>
      <c r="BW71" s="549" t="n"/>
      <c r="BX71" s="549" t="n"/>
      <c r="BY71" s="366" t="n"/>
      <c r="BZ71" s="366" t="n"/>
      <c r="CA71" s="10" t="n"/>
      <c r="CB71" s="10" t="n"/>
      <c r="CC71" s="10" t="n"/>
      <c r="CD71" s="500" t="n"/>
    </row>
    <row r="72" hidden="1" ht="3" customHeight="1">
      <c r="B72" s="388" t="n"/>
      <c r="C72" s="494" t="n"/>
      <c r="D72" s="366" t="n"/>
      <c r="F72" s="10" t="n"/>
      <c r="H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8" t="n"/>
      <c r="AD72" s="494" t="n"/>
      <c r="AE72" s="366" t="n"/>
      <c r="AG72" s="10" t="n"/>
      <c r="AI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8" t="n"/>
      <c r="BE72" s="57" t="n"/>
      <c r="BF72" s="366" t="n"/>
      <c r="BG72" s="10" t="n"/>
      <c r="BH72" s="10" t="n"/>
      <c r="BI72" s="10" t="n"/>
      <c r="BJ72" s="10" t="n"/>
      <c r="BK72" s="10" t="n"/>
      <c r="BL72" s="58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</row>
    <row r="73" hidden="1" ht="3" customHeight="1">
      <c r="B73" s="388" t="n"/>
      <c r="C73" s="494" t="n"/>
      <c r="D73" s="366" t="n"/>
      <c r="F73" s="10" t="n"/>
      <c r="H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8" t="n"/>
      <c r="AD73" s="494" t="n"/>
      <c r="AE73" s="366" t="n"/>
      <c r="AG73" s="10" t="n"/>
      <c r="AI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8" t="n"/>
      <c r="BE73" s="57" t="n"/>
      <c r="BF73" s="366" t="n"/>
      <c r="BG73" s="10" t="n"/>
      <c r="BH73" s="10" t="n"/>
      <c r="BI73" s="10" t="n"/>
      <c r="BJ73" s="10" t="n"/>
      <c r="BK73" s="10" t="n"/>
      <c r="BL73" s="58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</row>
    <row r="74" hidden="1" ht="3" customHeight="1">
      <c r="B74" s="388" t="n"/>
      <c r="C74" s="494" t="n"/>
      <c r="D74" s="10" t="n"/>
      <c r="F74" s="10" t="n"/>
      <c r="H74" s="10" t="n"/>
      <c r="J74" s="10" t="n"/>
      <c r="K74" s="10" t="n"/>
      <c r="L74" s="10" t="n"/>
      <c r="M74" s="10" t="n"/>
      <c r="N74" s="366" t="n"/>
      <c r="O74" s="547">
        <f>O66</f>
        <v/>
      </c>
      <c r="T74" s="366" t="n"/>
      <c r="U74" s="382">
        <f>U50</f>
        <v/>
      </c>
      <c r="V74" s="10" t="n"/>
      <c r="W74" s="366" t="inlineStr">
        <is>
          <t>-</t>
        </is>
      </c>
      <c r="X74" s="29" t="n"/>
      <c r="Y74" s="364" t="n">
        <v>1</v>
      </c>
      <c r="AD74" s="494" t="n"/>
      <c r="AE74" s="10" t="n"/>
      <c r="AG74" s="10" t="n"/>
      <c r="AI74" s="10" t="n"/>
      <c r="AK74" s="10" t="n"/>
      <c r="AL74" s="10" t="n"/>
      <c r="AM74" s="10" t="n"/>
      <c r="AN74" s="10" t="n"/>
      <c r="AO74" s="366" t="n"/>
      <c r="AP74" s="547">
        <f>AP66</f>
        <v/>
      </c>
      <c r="AU74" s="366" t="n"/>
      <c r="AV74" s="382">
        <f>AV50</f>
        <v/>
      </c>
      <c r="AW74" s="10" t="n"/>
      <c r="AX74" s="366" t="inlineStr">
        <is>
          <t>-</t>
        </is>
      </c>
      <c r="AY74" s="29" t="n"/>
      <c r="AZ74" s="364" t="n">
        <v>1</v>
      </c>
      <c r="BE74" s="57" t="n"/>
      <c r="BF74" s="10" t="n"/>
      <c r="BG74" s="10" t="n"/>
      <c r="BH74" s="10" t="n"/>
      <c r="BI74" s="10" t="n"/>
      <c r="BJ74" s="10" t="n"/>
      <c r="BK74" s="10" t="n"/>
      <c r="BL74" s="58" t="n"/>
      <c r="BM74" s="10" t="n"/>
      <c r="BN74" s="10" t="n"/>
      <c r="BO74" s="10" t="n"/>
      <c r="BP74" s="10" t="n"/>
      <c r="BQ74" s="10" t="n"/>
      <c r="BR74" s="10" t="n"/>
      <c r="BS74" s="366" t="n"/>
      <c r="BT74" s="549" t="n"/>
      <c r="BU74" s="549" t="n"/>
      <c r="BV74" s="549" t="n"/>
      <c r="BW74" s="549" t="n"/>
      <c r="BX74" s="549" t="n"/>
      <c r="BY74" s="366" t="n"/>
      <c r="BZ74" s="60" t="n"/>
      <c r="CA74" s="10" t="n"/>
      <c r="CB74" s="10" t="n"/>
      <c r="CC74" s="29" t="n"/>
      <c r="CD74" s="10" t="n"/>
    </row>
    <row r="75" hidden="1" ht="3" customHeight="1">
      <c r="B75" s="388" t="n"/>
      <c r="C75" s="494" t="n"/>
      <c r="D75" s="10" t="n"/>
      <c r="F75" s="10" t="n"/>
      <c r="H75" s="10" t="n"/>
      <c r="J75" s="10" t="n"/>
      <c r="K75" s="10" t="n"/>
      <c r="L75" s="10" t="n"/>
      <c r="M75" s="10" t="n"/>
      <c r="N75" s="366" t="n"/>
      <c r="T75" s="366" t="n"/>
      <c r="V75" s="10" t="n"/>
      <c r="X75" s="29" t="n"/>
      <c r="Y75" s="495" t="n"/>
      <c r="AD75" s="494" t="n"/>
      <c r="AE75" s="10" t="n"/>
      <c r="AG75" s="10" t="n"/>
      <c r="AI75" s="10" t="n"/>
      <c r="AK75" s="10" t="n"/>
      <c r="AL75" s="10" t="n"/>
      <c r="AM75" s="10" t="n"/>
      <c r="AN75" s="10" t="n"/>
      <c r="AO75" s="366" t="n"/>
      <c r="AU75" s="366" t="n"/>
      <c r="AW75" s="10" t="n"/>
      <c r="AY75" s="29" t="n"/>
      <c r="AZ75" s="495" t="n"/>
      <c r="BE75" s="57" t="n"/>
      <c r="BF75" s="10" t="n"/>
      <c r="BG75" s="10" t="n"/>
      <c r="BH75" s="10" t="n"/>
      <c r="BI75" s="10" t="n"/>
      <c r="BJ75" s="10" t="n"/>
      <c r="BK75" s="10" t="n"/>
      <c r="BL75" s="58" t="n"/>
      <c r="BM75" s="10" t="n"/>
      <c r="BN75" s="10" t="n"/>
      <c r="BO75" s="10" t="n"/>
      <c r="BP75" s="10" t="n"/>
      <c r="BQ75" s="10" t="n"/>
      <c r="BR75" s="10" t="n"/>
      <c r="BS75" s="366" t="n"/>
      <c r="BT75" s="549" t="n"/>
      <c r="BU75" s="549" t="n"/>
      <c r="BV75" s="549" t="n"/>
      <c r="BW75" s="549" t="n"/>
      <c r="BX75" s="549" t="n"/>
      <c r="BY75" s="366" t="n"/>
      <c r="BZ75" s="60" t="n"/>
      <c r="CA75" s="10" t="n"/>
      <c r="CB75" s="10" t="n"/>
      <c r="CC75" s="29" t="n"/>
      <c r="CD75" s="10" t="n"/>
    </row>
    <row r="76" hidden="1" ht="3" customHeight="1">
      <c r="B76" s="388" t="n"/>
      <c r="C76" s="494" t="n"/>
      <c r="D76" s="10" t="n"/>
      <c r="F76" s="10" t="n"/>
      <c r="H76" s="10" t="n"/>
      <c r="J76" s="10" t="n"/>
      <c r="K76" s="10" t="n"/>
      <c r="L76" s="10" t="n"/>
      <c r="M76" s="10" t="n"/>
      <c r="N76" s="366" t="n"/>
      <c r="T76" s="366" t="n"/>
      <c r="V76" s="10" t="n"/>
      <c r="X76" s="29" t="n"/>
      <c r="Y76" s="495" t="n"/>
      <c r="AD76" s="494" t="n"/>
      <c r="AE76" s="10" t="n"/>
      <c r="AG76" s="10" t="n"/>
      <c r="AI76" s="10" t="n"/>
      <c r="AK76" s="10" t="n"/>
      <c r="AL76" s="10" t="n"/>
      <c r="AM76" s="10" t="n"/>
      <c r="AN76" s="10" t="n"/>
      <c r="AO76" s="366" t="n"/>
      <c r="AU76" s="366" t="n"/>
      <c r="AW76" s="10" t="n"/>
      <c r="AY76" s="29" t="n"/>
      <c r="AZ76" s="495" t="n"/>
      <c r="BE76" s="57" t="n"/>
      <c r="BF76" s="10" t="n"/>
      <c r="BG76" s="10" t="n"/>
      <c r="BH76" s="10" t="n"/>
      <c r="BI76" s="10" t="n"/>
      <c r="BJ76" s="10" t="n"/>
      <c r="BK76" s="10" t="n"/>
      <c r="BL76" s="58" t="n"/>
      <c r="BM76" s="10" t="n"/>
      <c r="BN76" s="10" t="n"/>
      <c r="BO76" s="10" t="n"/>
      <c r="BP76" s="10" t="n"/>
      <c r="BQ76" s="10" t="n"/>
      <c r="BR76" s="10" t="n"/>
      <c r="BS76" s="366" t="n"/>
      <c r="BT76" s="549" t="n"/>
      <c r="BU76" s="549" t="n"/>
      <c r="BV76" s="549" t="n"/>
      <c r="BW76" s="549" t="n"/>
      <c r="BX76" s="549" t="n"/>
      <c r="BY76" s="366" t="n"/>
      <c r="BZ76" s="60" t="n"/>
      <c r="CA76" s="10" t="n"/>
      <c r="CB76" s="10" t="n"/>
      <c r="CC76" s="29" t="n"/>
      <c r="CD76" s="10" t="n"/>
    </row>
    <row r="77" hidden="1" ht="3" customHeight="1">
      <c r="B77" s="388" t="n"/>
      <c r="C77" s="494" t="n"/>
      <c r="D77" s="10" t="n"/>
      <c r="F77" s="10" t="n"/>
      <c r="H77" s="10" t="n"/>
      <c r="J77" s="10" t="n"/>
      <c r="K77" s="10" t="n"/>
      <c r="L77" s="10" t="n"/>
      <c r="M77" s="10" t="n"/>
      <c r="N77" s="10" t="n"/>
      <c r="T77" s="366" t="n"/>
      <c r="U77" s="366" t="n"/>
      <c r="V77" s="10" t="n"/>
      <c r="X77" s="10" t="n"/>
      <c r="Y77" s="495" t="n"/>
      <c r="AD77" s="494" t="n"/>
      <c r="AE77" s="10" t="n"/>
      <c r="AG77" s="10" t="n"/>
      <c r="AI77" s="10" t="n"/>
      <c r="AK77" s="10" t="n"/>
      <c r="AL77" s="10" t="n"/>
      <c r="AM77" s="10" t="n"/>
      <c r="AN77" s="10" t="n"/>
      <c r="AO77" s="10" t="n"/>
      <c r="AU77" s="366" t="n"/>
      <c r="AV77" s="366" t="n"/>
      <c r="AW77" s="10" t="n"/>
      <c r="AY77" s="10" t="n"/>
      <c r="AZ77" s="495" t="n"/>
      <c r="BE77" s="57" t="n"/>
      <c r="BF77" s="10" t="n"/>
      <c r="BG77" s="10" t="n"/>
      <c r="BH77" s="10" t="n"/>
      <c r="BI77" s="10" t="n"/>
      <c r="BJ77" s="10" t="n"/>
      <c r="BK77" s="10" t="n"/>
      <c r="BL77" s="58" t="n"/>
      <c r="BM77" s="10" t="n"/>
      <c r="BN77" s="10" t="n"/>
      <c r="BO77" s="10" t="n"/>
      <c r="BP77" s="10" t="n"/>
      <c r="BQ77" s="10" t="n"/>
      <c r="BR77" s="10" t="n"/>
      <c r="BS77" s="10" t="n"/>
      <c r="BT77" s="549" t="n"/>
      <c r="BU77" s="549" t="n"/>
      <c r="BV77" s="549" t="n"/>
      <c r="BW77" s="549" t="n"/>
      <c r="BX77" s="549" t="n"/>
      <c r="BY77" s="366" t="n"/>
      <c r="BZ77" s="366" t="n"/>
      <c r="CA77" s="10" t="n"/>
      <c r="CB77" s="10" t="n"/>
      <c r="CC77" s="10" t="n"/>
      <c r="CD77" s="10" t="n"/>
    </row>
    <row r="78" hidden="1" ht="3" customHeight="1">
      <c r="B78" s="388" t="n"/>
      <c r="C78" s="494" t="n"/>
      <c r="D78" s="10" t="n"/>
      <c r="F78" s="10" t="n"/>
      <c r="H78" s="10" t="n"/>
      <c r="J78" s="10" t="n"/>
      <c r="K78" s="10" t="n"/>
      <c r="L78" s="10" t="n"/>
      <c r="M78" s="10" t="n"/>
      <c r="N78" s="10" t="n"/>
      <c r="T78" s="366" t="n"/>
      <c r="U78" s="366" t="n"/>
      <c r="V78" s="10" t="n"/>
      <c r="X78" s="10" t="n"/>
      <c r="Y78" s="495" t="n"/>
      <c r="AD78" s="494" t="n"/>
      <c r="AE78" s="10" t="n"/>
      <c r="AG78" s="10" t="n"/>
      <c r="AI78" s="10" t="n"/>
      <c r="AK78" s="10" t="n"/>
      <c r="AL78" s="10" t="n"/>
      <c r="AM78" s="10" t="n"/>
      <c r="AN78" s="10" t="n"/>
      <c r="AO78" s="10" t="n"/>
      <c r="AU78" s="366" t="n"/>
      <c r="AV78" s="366" t="n"/>
      <c r="AW78" s="10" t="n"/>
      <c r="AY78" s="10" t="n"/>
      <c r="AZ78" s="495" t="n"/>
      <c r="BE78" s="57" t="n"/>
      <c r="BF78" s="10" t="n"/>
      <c r="BG78" s="10" t="n"/>
      <c r="BH78" s="10" t="n"/>
      <c r="BI78" s="10" t="n"/>
      <c r="BJ78" s="10" t="n"/>
      <c r="BK78" s="10" t="n"/>
      <c r="BL78" s="58" t="n"/>
      <c r="BM78" s="10" t="n"/>
      <c r="BN78" s="10" t="n"/>
      <c r="BO78" s="10" t="n"/>
      <c r="BP78" s="10" t="n"/>
      <c r="BQ78" s="10" t="n"/>
      <c r="BR78" s="10" t="n"/>
      <c r="BS78" s="10" t="n"/>
      <c r="BT78" s="549" t="n"/>
      <c r="BU78" s="549" t="n"/>
      <c r="BV78" s="549" t="n"/>
      <c r="BW78" s="549" t="n"/>
      <c r="BX78" s="549" t="n"/>
      <c r="BY78" s="366" t="n"/>
      <c r="BZ78" s="366" t="n"/>
      <c r="CA78" s="10" t="n"/>
      <c r="CB78" s="10" t="n"/>
      <c r="CC78" s="10" t="n"/>
      <c r="CD78" s="10" t="n"/>
    </row>
    <row r="79" hidden="1" ht="3" customHeight="1">
      <c r="B79" s="388" t="n"/>
      <c r="C79" s="494" t="n"/>
      <c r="D79" s="10" t="n"/>
      <c r="F79" s="10" t="n"/>
      <c r="H79" s="10" t="n"/>
      <c r="J79" s="10" t="n"/>
      <c r="K79" s="10" t="n"/>
      <c r="L79" s="10" t="n"/>
      <c r="M79" s="10" t="n"/>
      <c r="N79" s="366" t="n"/>
      <c r="T79" s="366" t="n"/>
      <c r="U79" s="366" t="n"/>
      <c r="V79" s="10" t="n"/>
      <c r="X79" s="10" t="n"/>
      <c r="Y79" s="495" t="n"/>
      <c r="AD79" s="494" t="n"/>
      <c r="AE79" s="10" t="n"/>
      <c r="AG79" s="10" t="n"/>
      <c r="AI79" s="10" t="n"/>
      <c r="AK79" s="10" t="n"/>
      <c r="AL79" s="10" t="n"/>
      <c r="AM79" s="10" t="n"/>
      <c r="AN79" s="10" t="n"/>
      <c r="AO79" s="366" t="n"/>
      <c r="AU79" s="366" t="n"/>
      <c r="AV79" s="366" t="n"/>
      <c r="AW79" s="10" t="n"/>
      <c r="AY79" s="10" t="n"/>
      <c r="AZ79" s="495" t="n"/>
      <c r="BE79" s="57" t="n"/>
      <c r="BF79" s="10" t="n"/>
      <c r="BG79" s="10" t="n"/>
      <c r="BH79" s="10" t="n"/>
      <c r="BI79" s="10" t="n"/>
      <c r="BJ79" s="10" t="n"/>
      <c r="BK79" s="10" t="n"/>
      <c r="BL79" s="58" t="n"/>
      <c r="BM79" s="10" t="n"/>
      <c r="BN79" s="10" t="n"/>
      <c r="BO79" s="10" t="n"/>
      <c r="BP79" s="10" t="n"/>
      <c r="BQ79" s="10" t="n"/>
      <c r="BR79" s="10" t="n"/>
      <c r="BS79" s="366" t="n"/>
      <c r="BT79" s="549" t="n"/>
      <c r="BU79" s="549" t="n"/>
      <c r="BV79" s="549" t="n"/>
      <c r="BW79" s="549" t="n"/>
      <c r="BX79" s="549" t="n"/>
      <c r="BY79" s="366" t="n"/>
      <c r="BZ79" s="366" t="n"/>
      <c r="CA79" s="10" t="n"/>
      <c r="CB79" s="10" t="n"/>
      <c r="CC79" s="10" t="n"/>
      <c r="CD79" s="10" t="n"/>
    </row>
    <row r="80" hidden="1" ht="3" customHeight="1">
      <c r="C80" s="494" t="n"/>
      <c r="D80" s="10" t="n"/>
      <c r="F80" s="10" t="n"/>
      <c r="H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8" t="n"/>
      <c r="AD80" s="494" t="n"/>
      <c r="AE80" s="10" t="n"/>
      <c r="AG80" s="10" t="n"/>
      <c r="AI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8" t="n"/>
      <c r="BE80" s="57" t="n"/>
      <c r="BF80" s="10" t="n"/>
      <c r="BG80" s="10" t="n"/>
      <c r="BH80" s="10" t="n"/>
      <c r="BI80" s="10" t="n"/>
      <c r="BJ80" s="10" t="n"/>
      <c r="BK80" s="10" t="n"/>
      <c r="BL80" s="58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</row>
    <row r="81" hidden="1" ht="9" customHeight="1">
      <c r="C81" s="9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8" t="n"/>
      <c r="AD81" s="9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8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</row>
    <row r="82" hidden="1" ht="3" customHeight="1">
      <c r="B82" s="388" t="n"/>
      <c r="C82" s="365" t="inlineStr">
        <is>
          <t>PMT</t>
        </is>
      </c>
      <c r="D82" s="10" t="n"/>
      <c r="E82" s="366" t="inlineStr">
        <is>
          <t>=</t>
        </is>
      </c>
      <c r="F82" s="10" t="n"/>
      <c r="G82" s="391">
        <f>G66</f>
        <v/>
      </c>
      <c r="H82" s="10" t="n"/>
      <c r="I82" s="366" t="inlineStr">
        <is>
          <t>x</t>
        </is>
      </c>
      <c r="J82" s="10" t="n"/>
      <c r="K82" s="10" t="n"/>
      <c r="L82" s="10" t="n"/>
      <c r="M82" s="10" t="n"/>
      <c r="N82" s="366" t="n"/>
      <c r="O82" s="547">
        <f>POWER(O66,U66)</f>
        <v/>
      </c>
      <c r="V82" s="10" t="n"/>
      <c r="W82" s="366" t="inlineStr">
        <is>
          <t>x</t>
        </is>
      </c>
      <c r="X82" s="29" t="n"/>
      <c r="Y82" s="548">
        <f>Y66</f>
        <v/>
      </c>
      <c r="AD82" s="365" t="inlineStr">
        <is>
          <t>PMT</t>
        </is>
      </c>
      <c r="AE82" s="10" t="n"/>
      <c r="AF82" s="366" t="inlineStr">
        <is>
          <t>=</t>
        </is>
      </c>
      <c r="AG82" s="10" t="n"/>
      <c r="AH82" s="391">
        <f>AH66</f>
        <v/>
      </c>
      <c r="AI82" s="10" t="n"/>
      <c r="AJ82" s="366" t="inlineStr">
        <is>
          <t>x</t>
        </is>
      </c>
      <c r="AK82" s="10" t="n"/>
      <c r="AL82" s="10" t="n"/>
      <c r="AM82" s="10" t="n"/>
      <c r="AN82" s="10" t="n"/>
      <c r="AO82" s="366" t="n"/>
      <c r="AP82" s="547">
        <f>POWER(AP66,AV66)</f>
        <v/>
      </c>
      <c r="AW82" s="10" t="n"/>
      <c r="AX82" s="366" t="inlineStr">
        <is>
          <t>x</t>
        </is>
      </c>
      <c r="AY82" s="29" t="n"/>
      <c r="AZ82" s="548">
        <f>AZ66</f>
        <v/>
      </c>
      <c r="BE82" s="57" t="n"/>
      <c r="BF82" s="10" t="n"/>
      <c r="BG82" s="10" t="n"/>
      <c r="BH82" s="10" t="n"/>
      <c r="BI82" s="10" t="n"/>
      <c r="BJ82" s="10" t="n"/>
      <c r="BK82" s="10" t="n"/>
      <c r="BL82" s="58" t="n"/>
      <c r="BM82" s="10" t="n"/>
      <c r="BN82" s="10" t="n"/>
      <c r="BO82" s="10" t="n"/>
      <c r="BP82" s="10" t="n"/>
      <c r="BQ82" s="10" t="n"/>
      <c r="BR82" s="10" t="n"/>
      <c r="BS82" s="366" t="n"/>
      <c r="BT82" s="549" t="n"/>
      <c r="BU82" s="549" t="n"/>
      <c r="BV82" s="549" t="n"/>
      <c r="BW82" s="549" t="n"/>
      <c r="BX82" s="549" t="n"/>
      <c r="BY82" s="549" t="n"/>
      <c r="BZ82" s="549" t="n"/>
      <c r="CA82" s="10" t="n"/>
      <c r="CB82" s="10" t="n"/>
      <c r="CC82" s="29" t="n"/>
      <c r="CD82" s="500" t="n"/>
    </row>
    <row r="83" hidden="1" ht="3" customHeight="1">
      <c r="B83" s="388" t="n"/>
      <c r="C83" s="494" t="n"/>
      <c r="D83" s="10" t="n"/>
      <c r="F83" s="10" t="n"/>
      <c r="H83" s="10" t="n"/>
      <c r="J83" s="10" t="n"/>
      <c r="K83" s="10" t="n"/>
      <c r="L83" s="10" t="n"/>
      <c r="M83" s="10" t="n"/>
      <c r="N83" s="366" t="n"/>
      <c r="V83" s="10" t="n"/>
      <c r="X83" s="29" t="n"/>
      <c r="Y83" s="495" t="n"/>
      <c r="AD83" s="494" t="n"/>
      <c r="AE83" s="10" t="n"/>
      <c r="AG83" s="10" t="n"/>
      <c r="AI83" s="10" t="n"/>
      <c r="AK83" s="10" t="n"/>
      <c r="AL83" s="10" t="n"/>
      <c r="AM83" s="10" t="n"/>
      <c r="AN83" s="10" t="n"/>
      <c r="AO83" s="366" t="n"/>
      <c r="AW83" s="10" t="n"/>
      <c r="AY83" s="29" t="n"/>
      <c r="AZ83" s="495" t="n"/>
      <c r="BE83" s="57" t="n"/>
      <c r="BF83" s="10" t="n"/>
      <c r="BG83" s="10" t="n"/>
      <c r="BH83" s="10" t="n"/>
      <c r="BI83" s="10" t="n"/>
      <c r="BJ83" s="10" t="n"/>
      <c r="BK83" s="10" t="n"/>
      <c r="BL83" s="58" t="n"/>
      <c r="BM83" s="10" t="n"/>
      <c r="BN83" s="10" t="n"/>
      <c r="BO83" s="10" t="n"/>
      <c r="BP83" s="10" t="n"/>
      <c r="BQ83" s="10" t="n"/>
      <c r="BR83" s="10" t="n"/>
      <c r="BS83" s="366" t="n"/>
      <c r="BT83" s="549" t="n"/>
      <c r="BU83" s="549" t="n"/>
      <c r="BV83" s="549" t="n"/>
      <c r="BW83" s="549" t="n"/>
      <c r="BX83" s="549" t="n"/>
      <c r="BY83" s="549" t="n"/>
      <c r="BZ83" s="549" t="n"/>
      <c r="CA83" s="10" t="n"/>
      <c r="CB83" s="10" t="n"/>
      <c r="CC83" s="29" t="n"/>
      <c r="CD83" s="500" t="n"/>
    </row>
    <row r="84" hidden="1" ht="3" customHeight="1">
      <c r="B84" s="388" t="n"/>
      <c r="C84" s="494" t="n"/>
      <c r="D84" s="10" t="n"/>
      <c r="F84" s="10" t="n"/>
      <c r="H84" s="10" t="n"/>
      <c r="J84" s="10" t="n"/>
      <c r="K84" s="10" t="n"/>
      <c r="L84" s="10" t="n"/>
      <c r="M84" s="10" t="n"/>
      <c r="N84" s="366" t="n"/>
      <c r="V84" s="10" t="n"/>
      <c r="X84" s="29" t="n"/>
      <c r="Y84" s="495" t="n"/>
      <c r="AD84" s="494" t="n"/>
      <c r="AE84" s="10" t="n"/>
      <c r="AG84" s="10" t="n"/>
      <c r="AI84" s="10" t="n"/>
      <c r="AK84" s="10" t="n"/>
      <c r="AL84" s="10" t="n"/>
      <c r="AM84" s="10" t="n"/>
      <c r="AN84" s="10" t="n"/>
      <c r="AO84" s="366" t="n"/>
      <c r="AW84" s="10" t="n"/>
      <c r="AY84" s="29" t="n"/>
      <c r="AZ84" s="495" t="n"/>
      <c r="BE84" s="57" t="n"/>
      <c r="BF84" s="10" t="n"/>
      <c r="BG84" s="10" t="n"/>
      <c r="BH84" s="10" t="n"/>
      <c r="BI84" s="10" t="n"/>
      <c r="BJ84" s="10" t="n"/>
      <c r="BK84" s="10" t="n"/>
      <c r="BL84" s="58" t="n"/>
      <c r="BM84" s="10" t="n"/>
      <c r="BN84" s="10" t="n"/>
      <c r="BO84" s="10" t="n"/>
      <c r="BP84" s="10" t="n"/>
      <c r="BQ84" s="10" t="n"/>
      <c r="BR84" s="10" t="n"/>
      <c r="BS84" s="366" t="n"/>
      <c r="BT84" s="549" t="n"/>
      <c r="BU84" s="549" t="n"/>
      <c r="BV84" s="549" t="n"/>
      <c r="BW84" s="549" t="n"/>
      <c r="BX84" s="549" t="n"/>
      <c r="BY84" s="549" t="n"/>
      <c r="BZ84" s="549" t="n"/>
      <c r="CA84" s="10" t="n"/>
      <c r="CB84" s="10" t="n"/>
      <c r="CC84" s="29" t="n"/>
      <c r="CD84" s="500" t="n"/>
    </row>
    <row r="85" hidden="1" ht="3" customHeight="1">
      <c r="B85" s="388" t="n"/>
      <c r="C85" s="494" t="n"/>
      <c r="D85" s="10" t="n"/>
      <c r="F85" s="10" t="n"/>
      <c r="H85" s="10" t="n"/>
      <c r="J85" s="10" t="n"/>
      <c r="K85" s="10" t="n"/>
      <c r="L85" s="10" t="n"/>
      <c r="M85" s="10" t="n"/>
      <c r="N85" s="10" t="n"/>
      <c r="V85" s="10" t="n"/>
      <c r="X85" s="10" t="n"/>
      <c r="Y85" s="495" t="n"/>
      <c r="AD85" s="494" t="n"/>
      <c r="AE85" s="10" t="n"/>
      <c r="AG85" s="10" t="n"/>
      <c r="AI85" s="10" t="n"/>
      <c r="AK85" s="10" t="n"/>
      <c r="AL85" s="10" t="n"/>
      <c r="AM85" s="10" t="n"/>
      <c r="AN85" s="10" t="n"/>
      <c r="AO85" s="10" t="n"/>
      <c r="AW85" s="10" t="n"/>
      <c r="AY85" s="10" t="n"/>
      <c r="AZ85" s="495" t="n"/>
      <c r="BE85" s="57" t="n"/>
      <c r="BF85" s="10" t="n"/>
      <c r="BG85" s="10" t="n"/>
      <c r="BH85" s="10" t="n"/>
      <c r="BI85" s="10" t="n"/>
      <c r="BJ85" s="10" t="n"/>
      <c r="BK85" s="10" t="n"/>
      <c r="BL85" s="58" t="n"/>
      <c r="BM85" s="10" t="n"/>
      <c r="BN85" s="10" t="n"/>
      <c r="BO85" s="10" t="n"/>
      <c r="BP85" s="10" t="n"/>
      <c r="BQ85" s="10" t="n"/>
      <c r="BR85" s="10" t="n"/>
      <c r="BS85" s="10" t="n"/>
      <c r="BT85" s="549" t="n"/>
      <c r="BU85" s="549" t="n"/>
      <c r="BV85" s="549" t="n"/>
      <c r="BW85" s="549" t="n"/>
      <c r="BX85" s="549" t="n"/>
      <c r="BY85" s="549" t="n"/>
      <c r="BZ85" s="549" t="n"/>
      <c r="CA85" s="10" t="n"/>
      <c r="CB85" s="10" t="n"/>
      <c r="CC85" s="10" t="n"/>
      <c r="CD85" s="500" t="n"/>
    </row>
    <row r="86" hidden="1" ht="3" customHeight="1">
      <c r="B86" s="388" t="n"/>
      <c r="C86" s="494" t="n"/>
      <c r="D86" s="10" t="n"/>
      <c r="F86" s="10" t="n"/>
      <c r="H86" s="10" t="n"/>
      <c r="J86" s="10" t="n"/>
      <c r="K86" s="10" t="n"/>
      <c r="L86" s="10" t="n"/>
      <c r="M86" s="10" t="n"/>
      <c r="N86" s="10" t="n"/>
      <c r="V86" s="10" t="n"/>
      <c r="X86" s="10" t="n"/>
      <c r="Y86" s="495" t="n"/>
      <c r="AD86" s="494" t="n"/>
      <c r="AE86" s="10" t="n"/>
      <c r="AG86" s="10" t="n"/>
      <c r="AI86" s="10" t="n"/>
      <c r="AK86" s="10" t="n"/>
      <c r="AL86" s="10" t="n"/>
      <c r="AM86" s="10" t="n"/>
      <c r="AN86" s="10" t="n"/>
      <c r="AO86" s="10" t="n"/>
      <c r="AW86" s="10" t="n"/>
      <c r="AY86" s="10" t="n"/>
      <c r="AZ86" s="495" t="n"/>
      <c r="BE86" s="57" t="n"/>
      <c r="BF86" s="10" t="n"/>
      <c r="BG86" s="10" t="n"/>
      <c r="BH86" s="10" t="n"/>
      <c r="BI86" s="10" t="n"/>
      <c r="BJ86" s="10" t="n"/>
      <c r="BK86" s="10" t="n"/>
      <c r="BL86" s="58" t="n"/>
      <c r="BM86" s="10" t="n"/>
      <c r="BN86" s="10" t="n"/>
      <c r="BO86" s="10" t="n"/>
      <c r="BP86" s="10" t="n"/>
      <c r="BQ86" s="10" t="n"/>
      <c r="BR86" s="10" t="n"/>
      <c r="BS86" s="10" t="n"/>
      <c r="BT86" s="549" t="n"/>
      <c r="BU86" s="549" t="n"/>
      <c r="BV86" s="549" t="n"/>
      <c r="BW86" s="549" t="n"/>
      <c r="BX86" s="549" t="n"/>
      <c r="BY86" s="549" t="n"/>
      <c r="BZ86" s="549" t="n"/>
      <c r="CA86" s="10" t="n"/>
      <c r="CB86" s="10" t="n"/>
      <c r="CC86" s="10" t="n"/>
      <c r="CD86" s="500" t="n"/>
    </row>
    <row r="87" hidden="1" ht="3" customHeight="1">
      <c r="B87" s="388" t="n"/>
      <c r="C87" s="494" t="n"/>
      <c r="D87" s="10" t="n"/>
      <c r="F87" s="10" t="n"/>
      <c r="H87" s="10" t="n"/>
      <c r="J87" s="10" t="n"/>
      <c r="K87" s="10" t="n"/>
      <c r="L87" s="10" t="n"/>
      <c r="M87" s="10" t="n"/>
      <c r="N87" s="366" t="n"/>
      <c r="V87" s="10" t="n"/>
      <c r="X87" s="10" t="n"/>
      <c r="Y87" s="495" t="n"/>
      <c r="AD87" s="494" t="n"/>
      <c r="AE87" s="10" t="n"/>
      <c r="AG87" s="10" t="n"/>
      <c r="AI87" s="10" t="n"/>
      <c r="AK87" s="10" t="n"/>
      <c r="AL87" s="10" t="n"/>
      <c r="AM87" s="10" t="n"/>
      <c r="AN87" s="10" t="n"/>
      <c r="AO87" s="366" t="n"/>
      <c r="AW87" s="10" t="n"/>
      <c r="AY87" s="10" t="n"/>
      <c r="AZ87" s="495" t="n"/>
      <c r="BE87" s="57" t="n"/>
      <c r="BF87" s="10" t="n"/>
      <c r="BG87" s="10" t="n"/>
      <c r="BH87" s="10" t="n"/>
      <c r="BI87" s="10" t="n"/>
      <c r="BJ87" s="10" t="n"/>
      <c r="BK87" s="10" t="n"/>
      <c r="BL87" s="58" t="n"/>
      <c r="BM87" s="10" t="n"/>
      <c r="BN87" s="10" t="n"/>
      <c r="BO87" s="10" t="n"/>
      <c r="BP87" s="10" t="n"/>
      <c r="BQ87" s="10" t="n"/>
      <c r="BR87" s="10" t="n"/>
      <c r="BS87" s="366" t="n"/>
      <c r="BT87" s="549" t="n"/>
      <c r="BU87" s="549" t="n"/>
      <c r="BV87" s="549" t="n"/>
      <c r="BW87" s="549" t="n"/>
      <c r="BX87" s="549" t="n"/>
      <c r="BY87" s="549" t="n"/>
      <c r="BZ87" s="549" t="n"/>
      <c r="CA87" s="10" t="n"/>
      <c r="CB87" s="10" t="n"/>
      <c r="CC87" s="10" t="n"/>
      <c r="CD87" s="500" t="n"/>
    </row>
    <row r="88" hidden="1" ht="3" customHeight="1">
      <c r="B88" s="388" t="n"/>
      <c r="C88" s="494" t="n"/>
      <c r="D88" s="366" t="n"/>
      <c r="F88" s="10" t="n"/>
      <c r="H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8" t="n"/>
      <c r="Z88" s="19" t="n"/>
      <c r="AD88" s="494" t="n"/>
      <c r="AE88" s="366" t="n"/>
      <c r="AG88" s="10" t="n"/>
      <c r="AI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8" t="n"/>
      <c r="BE88" s="57" t="n"/>
      <c r="BF88" s="366" t="n"/>
      <c r="BG88" s="10" t="n"/>
      <c r="BH88" s="10" t="n"/>
      <c r="BI88" s="10" t="n"/>
      <c r="BJ88" s="10" t="n"/>
      <c r="BK88" s="10" t="n"/>
      <c r="BL88" s="58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</row>
    <row r="89" hidden="1" ht="3" customHeight="1">
      <c r="B89" s="388" t="n"/>
      <c r="C89" s="494" t="n"/>
      <c r="D89" s="366" t="n"/>
      <c r="F89" s="10" t="n"/>
      <c r="H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8" t="n"/>
      <c r="Z89" s="20" t="n"/>
      <c r="AD89" s="494" t="n"/>
      <c r="AE89" s="366" t="n"/>
      <c r="AG89" s="10" t="n"/>
      <c r="AI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8" t="n"/>
      <c r="BE89" s="57" t="n"/>
      <c r="BF89" s="366" t="n"/>
      <c r="BG89" s="10" t="n"/>
      <c r="BH89" s="10" t="n"/>
      <c r="BI89" s="10" t="n"/>
      <c r="BJ89" s="10" t="n"/>
      <c r="BK89" s="10" t="n"/>
      <c r="BL89" s="58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</row>
    <row r="90" hidden="1" ht="3" customHeight="1">
      <c r="B90" s="388" t="n"/>
      <c r="C90" s="494" t="n"/>
      <c r="D90" s="10" t="n"/>
      <c r="F90" s="10" t="n"/>
      <c r="H90" s="10" t="n"/>
      <c r="J90" s="10" t="n"/>
      <c r="K90" s="10" t="n"/>
      <c r="L90" s="10" t="n"/>
      <c r="M90" s="10" t="n"/>
      <c r="N90" s="366" t="n"/>
      <c r="O90" s="547">
        <f>O82</f>
        <v/>
      </c>
      <c r="V90" s="10" t="n"/>
      <c r="W90" s="366" t="inlineStr">
        <is>
          <t>-</t>
        </is>
      </c>
      <c r="X90" s="29" t="n"/>
      <c r="Y90" s="364" t="n">
        <v>1</v>
      </c>
      <c r="AD90" s="494" t="n"/>
      <c r="AE90" s="10" t="n"/>
      <c r="AG90" s="10" t="n"/>
      <c r="AI90" s="10" t="n"/>
      <c r="AK90" s="10" t="n"/>
      <c r="AL90" s="10" t="n"/>
      <c r="AM90" s="10" t="n"/>
      <c r="AN90" s="10" t="n"/>
      <c r="AO90" s="366" t="n"/>
      <c r="AP90" s="547">
        <f>AP82</f>
        <v/>
      </c>
      <c r="AW90" s="10" t="n"/>
      <c r="AX90" s="366" t="inlineStr">
        <is>
          <t>-</t>
        </is>
      </c>
      <c r="AY90" s="29" t="n"/>
      <c r="AZ90" s="364" t="n">
        <v>1</v>
      </c>
      <c r="BE90" s="57" t="n"/>
      <c r="BF90" s="10" t="n"/>
      <c r="BG90" s="10" t="n"/>
      <c r="BH90" s="10" t="n"/>
      <c r="BI90" s="10" t="n"/>
      <c r="BJ90" s="10" t="n"/>
      <c r="BK90" s="10" t="n"/>
      <c r="BL90" s="58" t="n"/>
      <c r="BM90" s="10" t="n"/>
      <c r="BN90" s="10" t="n"/>
      <c r="BO90" s="10" t="n"/>
      <c r="BP90" s="10" t="n"/>
      <c r="BQ90" s="10" t="n"/>
      <c r="BR90" s="10" t="n"/>
      <c r="BS90" s="366" t="n"/>
      <c r="BT90" s="549" t="n"/>
      <c r="BU90" s="549" t="n"/>
      <c r="BV90" s="549" t="n"/>
      <c r="BW90" s="549" t="n"/>
      <c r="BX90" s="549" t="n"/>
      <c r="BY90" s="549" t="n"/>
      <c r="BZ90" s="549" t="n"/>
      <c r="CA90" s="10" t="n"/>
      <c r="CB90" s="10" t="n"/>
      <c r="CC90" s="29" t="n"/>
      <c r="CD90" s="10" t="n"/>
    </row>
    <row r="91" hidden="1" ht="3" customHeight="1">
      <c r="B91" s="388" t="n"/>
      <c r="C91" s="494" t="n"/>
      <c r="D91" s="10" t="n"/>
      <c r="F91" s="10" t="n"/>
      <c r="H91" s="10" t="n"/>
      <c r="J91" s="10" t="n"/>
      <c r="K91" s="10" t="n"/>
      <c r="L91" s="10" t="n"/>
      <c r="M91" s="10" t="n"/>
      <c r="N91" s="366" t="n"/>
      <c r="V91" s="10" t="n"/>
      <c r="X91" s="29" t="n"/>
      <c r="Y91" s="495" t="n"/>
      <c r="AD91" s="494" t="n"/>
      <c r="AE91" s="10" t="n"/>
      <c r="AG91" s="10" t="n"/>
      <c r="AI91" s="10" t="n"/>
      <c r="AK91" s="10" t="n"/>
      <c r="AL91" s="10" t="n"/>
      <c r="AM91" s="10" t="n"/>
      <c r="AN91" s="10" t="n"/>
      <c r="AO91" s="366" t="n"/>
      <c r="AW91" s="10" t="n"/>
      <c r="AY91" s="29" t="n"/>
      <c r="AZ91" s="495" t="n"/>
      <c r="BE91" s="57" t="n"/>
      <c r="BF91" s="10" t="n"/>
      <c r="BG91" s="10" t="n"/>
      <c r="BH91" s="10" t="n"/>
      <c r="BI91" s="10" t="n"/>
      <c r="BJ91" s="10" t="n"/>
      <c r="BK91" s="10" t="n"/>
      <c r="BL91" s="58" t="n"/>
      <c r="BM91" s="10" t="n"/>
      <c r="BN91" s="10" t="n"/>
      <c r="BO91" s="10" t="n"/>
      <c r="BP91" s="10" t="n"/>
      <c r="BQ91" s="10" t="n"/>
      <c r="BR91" s="10" t="n"/>
      <c r="BS91" s="366" t="n"/>
      <c r="BT91" s="549" t="n"/>
      <c r="BU91" s="549" t="n"/>
      <c r="BV91" s="549" t="n"/>
      <c r="BW91" s="549" t="n"/>
      <c r="BX91" s="549" t="n"/>
      <c r="BY91" s="549" t="n"/>
      <c r="BZ91" s="549" t="n"/>
      <c r="CA91" s="10" t="n"/>
      <c r="CB91" s="10" t="n"/>
      <c r="CC91" s="29" t="n"/>
      <c r="CD91" s="10" t="n"/>
    </row>
    <row r="92" hidden="1" ht="3" customHeight="1">
      <c r="B92" s="388" t="n"/>
      <c r="C92" s="494" t="n"/>
      <c r="D92" s="10" t="n"/>
      <c r="F92" s="10" t="n"/>
      <c r="H92" s="10" t="n"/>
      <c r="J92" s="10" t="n"/>
      <c r="K92" s="10" t="n"/>
      <c r="L92" s="10" t="n"/>
      <c r="M92" s="10" t="n"/>
      <c r="N92" s="366" t="n"/>
      <c r="V92" s="10" t="n"/>
      <c r="X92" s="29" t="n"/>
      <c r="Y92" s="495" t="n"/>
      <c r="AD92" s="494" t="n"/>
      <c r="AE92" s="10" t="n"/>
      <c r="AG92" s="10" t="n"/>
      <c r="AI92" s="10" t="n"/>
      <c r="AK92" s="10" t="n"/>
      <c r="AL92" s="10" t="n"/>
      <c r="AM92" s="10" t="n"/>
      <c r="AN92" s="10" t="n"/>
      <c r="AO92" s="366" t="n"/>
      <c r="AW92" s="10" t="n"/>
      <c r="AY92" s="29" t="n"/>
      <c r="AZ92" s="495" t="n"/>
      <c r="BE92" s="57" t="n"/>
      <c r="BF92" s="10" t="n"/>
      <c r="BG92" s="10" t="n"/>
      <c r="BH92" s="10" t="n"/>
      <c r="BI92" s="10" t="n"/>
      <c r="BJ92" s="10" t="n"/>
      <c r="BK92" s="10" t="n"/>
      <c r="BL92" s="58" t="n"/>
      <c r="BM92" s="10" t="n"/>
      <c r="BN92" s="10" t="n"/>
      <c r="BO92" s="10" t="n"/>
      <c r="BP92" s="10" t="n"/>
      <c r="BQ92" s="10" t="n"/>
      <c r="BR92" s="10" t="n"/>
      <c r="BS92" s="366" t="n"/>
      <c r="BT92" s="549" t="n"/>
      <c r="BU92" s="549" t="n"/>
      <c r="BV92" s="549" t="n"/>
      <c r="BW92" s="549" t="n"/>
      <c r="BX92" s="549" t="n"/>
      <c r="BY92" s="549" t="n"/>
      <c r="BZ92" s="549" t="n"/>
      <c r="CA92" s="10" t="n"/>
      <c r="CB92" s="10" t="n"/>
      <c r="CC92" s="29" t="n"/>
      <c r="CD92" s="10" t="n"/>
    </row>
    <row r="93" hidden="1" ht="3" customHeight="1">
      <c r="B93" s="388" t="n"/>
      <c r="C93" s="494" t="n"/>
      <c r="D93" s="10" t="n"/>
      <c r="F93" s="10" t="n"/>
      <c r="H93" s="10" t="n"/>
      <c r="J93" s="10" t="n"/>
      <c r="K93" s="10" t="n"/>
      <c r="L93" s="10" t="n"/>
      <c r="M93" s="10" t="n"/>
      <c r="N93" s="10" t="n"/>
      <c r="V93" s="10" t="n"/>
      <c r="X93" s="10" t="n"/>
      <c r="Y93" s="495" t="n"/>
      <c r="AD93" s="494" t="n"/>
      <c r="AE93" s="10" t="n"/>
      <c r="AG93" s="10" t="n"/>
      <c r="AI93" s="10" t="n"/>
      <c r="AK93" s="10" t="n"/>
      <c r="AL93" s="10" t="n"/>
      <c r="AM93" s="10" t="n"/>
      <c r="AN93" s="10" t="n"/>
      <c r="AO93" s="10" t="n"/>
      <c r="AW93" s="10" t="n"/>
      <c r="AY93" s="10" t="n"/>
      <c r="AZ93" s="495" t="n"/>
      <c r="BE93" s="57" t="n"/>
      <c r="BF93" s="10" t="n"/>
      <c r="BG93" s="10" t="n"/>
      <c r="BH93" s="10" t="n"/>
      <c r="BI93" s="10" t="n"/>
      <c r="BJ93" s="10" t="n"/>
      <c r="BK93" s="10" t="n"/>
      <c r="BL93" s="58" t="n"/>
      <c r="BM93" s="10" t="n"/>
      <c r="BN93" s="10" t="n"/>
      <c r="BO93" s="10" t="n"/>
      <c r="BP93" s="10" t="n"/>
      <c r="BQ93" s="10" t="n"/>
      <c r="BR93" s="10" t="n"/>
      <c r="BS93" s="10" t="n"/>
      <c r="BT93" s="549" t="n"/>
      <c r="BU93" s="549" t="n"/>
      <c r="BV93" s="549" t="n"/>
      <c r="BW93" s="549" t="n"/>
      <c r="BX93" s="549" t="n"/>
      <c r="BY93" s="549" t="n"/>
      <c r="BZ93" s="549" t="n"/>
      <c r="CA93" s="10" t="n"/>
      <c r="CB93" s="10" t="n"/>
      <c r="CC93" s="10" t="n"/>
      <c r="CD93" s="10" t="n"/>
    </row>
    <row r="94" hidden="1" ht="3" customHeight="1">
      <c r="B94" s="388" t="n"/>
      <c r="C94" s="494" t="n"/>
      <c r="D94" s="10" t="n"/>
      <c r="F94" s="10" t="n"/>
      <c r="H94" s="10" t="n"/>
      <c r="J94" s="10" t="n"/>
      <c r="K94" s="10" t="n"/>
      <c r="L94" s="10" t="n"/>
      <c r="M94" s="10" t="n"/>
      <c r="N94" s="10" t="n"/>
      <c r="V94" s="10" t="n"/>
      <c r="X94" s="10" t="n"/>
      <c r="Y94" s="495" t="n"/>
      <c r="AD94" s="494" t="n"/>
      <c r="AE94" s="10" t="n"/>
      <c r="AG94" s="10" t="n"/>
      <c r="AI94" s="10" t="n"/>
      <c r="AK94" s="10" t="n"/>
      <c r="AL94" s="10" t="n"/>
      <c r="AM94" s="10" t="n"/>
      <c r="AN94" s="10" t="n"/>
      <c r="AO94" s="10" t="n"/>
      <c r="AW94" s="10" t="n"/>
      <c r="AY94" s="10" t="n"/>
      <c r="AZ94" s="495" t="n"/>
      <c r="BE94" s="57" t="n"/>
      <c r="BF94" s="10" t="n"/>
      <c r="BG94" s="10" t="n"/>
      <c r="BH94" s="10" t="n"/>
      <c r="BI94" s="10" t="n"/>
      <c r="BJ94" s="10" t="n"/>
      <c r="BK94" s="10" t="n"/>
      <c r="BL94" s="58" t="n"/>
      <c r="BM94" s="10" t="n"/>
      <c r="BN94" s="10" t="n"/>
      <c r="BO94" s="10" t="n"/>
      <c r="BP94" s="10" t="n"/>
      <c r="BQ94" s="10" t="n"/>
      <c r="BR94" s="10" t="n"/>
      <c r="BS94" s="10" t="n"/>
      <c r="BT94" s="549" t="n"/>
      <c r="BU94" s="549" t="n"/>
      <c r="BV94" s="549" t="n"/>
      <c r="BW94" s="549" t="n"/>
      <c r="BX94" s="549" t="n"/>
      <c r="BY94" s="549" t="n"/>
      <c r="BZ94" s="549" t="n"/>
      <c r="CA94" s="10" t="n"/>
      <c r="CB94" s="10" t="n"/>
      <c r="CC94" s="10" t="n"/>
      <c r="CD94" s="10" t="n"/>
    </row>
    <row r="95" hidden="1" ht="3" customHeight="1">
      <c r="B95" s="388" t="n"/>
      <c r="C95" s="494" t="n"/>
      <c r="D95" s="10" t="n"/>
      <c r="F95" s="10" t="n"/>
      <c r="H95" s="10" t="n"/>
      <c r="J95" s="10" t="n"/>
      <c r="K95" s="10" t="n"/>
      <c r="L95" s="10" t="n"/>
      <c r="M95" s="10" t="n"/>
      <c r="N95" s="366" t="n"/>
      <c r="V95" s="10" t="n"/>
      <c r="X95" s="10" t="n"/>
      <c r="Y95" s="495" t="n"/>
      <c r="AD95" s="494" t="n"/>
      <c r="AE95" s="10" t="n"/>
      <c r="AG95" s="10" t="n"/>
      <c r="AI95" s="10" t="n"/>
      <c r="AK95" s="10" t="n"/>
      <c r="AL95" s="10" t="n"/>
      <c r="AM95" s="10" t="n"/>
      <c r="AN95" s="10" t="n"/>
      <c r="AO95" s="366" t="n"/>
      <c r="AW95" s="10" t="n"/>
      <c r="AY95" s="10" t="n"/>
      <c r="AZ95" s="495" t="n"/>
      <c r="BE95" s="57" t="n"/>
      <c r="BF95" s="10" t="n"/>
      <c r="BG95" s="10" t="n"/>
      <c r="BH95" s="10" t="n"/>
      <c r="BI95" s="10" t="n"/>
      <c r="BJ95" s="10" t="n"/>
      <c r="BK95" s="10" t="n"/>
      <c r="BL95" s="58" t="n"/>
      <c r="BM95" s="10" t="n"/>
      <c r="BN95" s="10" t="n"/>
      <c r="BO95" s="10" t="n"/>
      <c r="BP95" s="10" t="n"/>
      <c r="BQ95" s="10" t="n"/>
      <c r="BR95" s="10" t="n"/>
      <c r="BS95" s="366" t="n"/>
      <c r="BT95" s="549" t="n"/>
      <c r="BU95" s="549" t="n"/>
      <c r="BV95" s="549" t="n"/>
      <c r="BW95" s="549" t="n"/>
      <c r="BX95" s="549" t="n"/>
      <c r="BY95" s="549" t="n"/>
      <c r="BZ95" s="549" t="n"/>
      <c r="CA95" s="10" t="n"/>
      <c r="CB95" s="10" t="n"/>
      <c r="CC95" s="10" t="n"/>
      <c r="CD95" s="10" t="n"/>
    </row>
    <row r="96" hidden="1" ht="3" customHeight="1">
      <c r="C96" s="494" t="n"/>
      <c r="D96" s="10" t="n"/>
      <c r="F96" s="10" t="n"/>
      <c r="H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8" t="n"/>
      <c r="AD96" s="494" t="n"/>
      <c r="AE96" s="10" t="n"/>
      <c r="AG96" s="10" t="n"/>
      <c r="AI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8" t="n"/>
      <c r="BE96" s="57" t="n"/>
      <c r="BF96" s="10" t="n"/>
      <c r="BG96" s="10" t="n"/>
      <c r="BH96" s="10" t="n"/>
      <c r="BI96" s="10" t="n"/>
      <c r="BJ96" s="10" t="n"/>
      <c r="BK96" s="10" t="n"/>
      <c r="BL96" s="58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</row>
    <row r="97" hidden="1" ht="9" customHeight="1">
      <c r="C97" s="9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8" t="n"/>
      <c r="AD97" s="9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8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</row>
    <row r="98" hidden="1" ht="3" customHeight="1">
      <c r="B98" s="388" t="n"/>
      <c r="C98" s="365" t="inlineStr">
        <is>
          <t>PMT</t>
        </is>
      </c>
      <c r="D98" s="10" t="n"/>
      <c r="E98" s="366" t="inlineStr">
        <is>
          <t>=</t>
        </is>
      </c>
      <c r="F98" s="10" t="n"/>
      <c r="G98" s="391">
        <f>G82</f>
        <v/>
      </c>
      <c r="H98" s="10" t="n"/>
      <c r="I98" s="366" t="inlineStr">
        <is>
          <t>x</t>
        </is>
      </c>
      <c r="J98" s="10" t="n"/>
      <c r="K98" s="10" t="n"/>
      <c r="L98" s="10" t="n"/>
      <c r="M98" s="10" t="n"/>
      <c r="N98" s="366" t="n"/>
      <c r="O98" s="547">
        <f>O82*Y82</f>
        <v/>
      </c>
      <c r="V98" s="10" t="n"/>
      <c r="W98" s="10" t="n"/>
      <c r="X98" s="10" t="n"/>
      <c r="Y98" s="18" t="n"/>
      <c r="AD98" s="365" t="inlineStr">
        <is>
          <t>PMT</t>
        </is>
      </c>
      <c r="AE98" s="10" t="n"/>
      <c r="AF98" s="366" t="inlineStr">
        <is>
          <t>=</t>
        </is>
      </c>
      <c r="AG98" s="10" t="n"/>
      <c r="AH98" s="391">
        <f>AH82</f>
        <v/>
      </c>
      <c r="AI98" s="10" t="n"/>
      <c r="AJ98" s="366" t="inlineStr">
        <is>
          <t>x</t>
        </is>
      </c>
      <c r="AK98" s="10" t="n"/>
      <c r="AL98" s="10" t="n"/>
      <c r="AM98" s="10" t="n"/>
      <c r="AN98" s="10" t="n"/>
      <c r="AO98" s="366" t="n"/>
      <c r="AP98" s="547">
        <f>AP82*AZ82</f>
        <v/>
      </c>
      <c r="AW98" s="10" t="n"/>
      <c r="AX98" s="10" t="n"/>
      <c r="AY98" s="10" t="n"/>
      <c r="AZ98" s="18" t="n"/>
      <c r="BE98" s="57" t="n"/>
      <c r="BF98" s="10" t="n"/>
      <c r="BG98" s="10" t="n"/>
      <c r="BH98" s="10" t="n"/>
      <c r="BI98" s="10" t="n"/>
      <c r="BJ98" s="10" t="n"/>
      <c r="BK98" s="10" t="n"/>
      <c r="BL98" s="58" t="n"/>
      <c r="BM98" s="10" t="n"/>
      <c r="BN98" s="10" t="n"/>
      <c r="BO98" s="10" t="n"/>
      <c r="BP98" s="10" t="n"/>
      <c r="BQ98" s="10" t="n"/>
      <c r="BR98" s="10" t="n"/>
      <c r="BS98" s="366" t="n"/>
      <c r="BT98" s="549" t="n"/>
      <c r="BU98" s="550" t="n"/>
      <c r="BV98" s="550" t="n"/>
      <c r="BW98" s="550" t="n"/>
      <c r="BX98" s="550" t="n"/>
      <c r="BY98" s="550" t="n"/>
      <c r="BZ98" s="550" t="n"/>
      <c r="CA98" s="10" t="n"/>
      <c r="CB98" s="10" t="n"/>
      <c r="CC98" s="10" t="n"/>
      <c r="CD98" s="10" t="n"/>
    </row>
    <row r="99" hidden="1" ht="3" customHeight="1">
      <c r="B99" s="388" t="n"/>
      <c r="C99" s="494" t="n"/>
      <c r="D99" s="10" t="n"/>
      <c r="F99" s="10" t="n"/>
      <c r="H99" s="10" t="n"/>
      <c r="J99" s="10" t="n"/>
      <c r="K99" s="10" t="n"/>
      <c r="L99" s="10" t="n"/>
      <c r="M99" s="10" t="n"/>
      <c r="N99" s="366" t="n"/>
      <c r="V99" s="30" t="n"/>
      <c r="W99" s="30" t="n"/>
      <c r="X99" s="30" t="n"/>
      <c r="Y99" s="21" t="n"/>
      <c r="Z99" s="22" t="n"/>
      <c r="AA99" s="22" t="n"/>
      <c r="AD99" s="494" t="n"/>
      <c r="AE99" s="10" t="n"/>
      <c r="AG99" s="10" t="n"/>
      <c r="AI99" s="10" t="n"/>
      <c r="AK99" s="10" t="n"/>
      <c r="AL99" s="10" t="n"/>
      <c r="AM99" s="10" t="n"/>
      <c r="AN99" s="10" t="n"/>
      <c r="AO99" s="366" t="n"/>
      <c r="AW99" s="30" t="n"/>
      <c r="AX99" s="30" t="n"/>
      <c r="AY99" s="30" t="n"/>
      <c r="AZ99" s="21" t="n"/>
      <c r="BE99" s="57" t="n"/>
      <c r="BF99" s="10" t="n"/>
      <c r="BG99" s="10" t="n"/>
      <c r="BH99" s="10" t="n"/>
      <c r="BI99" s="10" t="n"/>
      <c r="BJ99" s="10" t="n"/>
      <c r="BK99" s="10" t="n"/>
      <c r="BL99" s="58" t="n"/>
      <c r="BM99" s="10" t="n"/>
      <c r="BN99" s="10" t="n"/>
      <c r="BO99" s="10" t="n"/>
      <c r="BP99" s="10" t="n"/>
      <c r="BQ99" s="10" t="n"/>
      <c r="BR99" s="10" t="n"/>
      <c r="BS99" s="366" t="n"/>
      <c r="BT99" s="550" t="n"/>
      <c r="BU99" s="550" t="n"/>
      <c r="BV99" s="550" t="n"/>
      <c r="BW99" s="550" t="n"/>
      <c r="BX99" s="550" t="n"/>
      <c r="BY99" s="550" t="n"/>
      <c r="BZ99" s="550" t="n"/>
      <c r="CA99" s="30" t="n"/>
      <c r="CB99" s="30" t="n"/>
      <c r="CC99" s="30" t="n"/>
      <c r="CD99" s="30" t="n"/>
    </row>
    <row r="100" hidden="1" ht="3" customHeight="1">
      <c r="B100" s="388" t="n"/>
      <c r="C100" s="494" t="n"/>
      <c r="D100" s="10" t="n"/>
      <c r="F100" s="10" t="n"/>
      <c r="H100" s="10" t="n"/>
      <c r="J100" s="10" t="n"/>
      <c r="K100" s="10" t="n"/>
      <c r="L100" s="10" t="n"/>
      <c r="M100" s="10" t="n"/>
      <c r="N100" s="366" t="n"/>
      <c r="V100" s="30" t="n"/>
      <c r="W100" s="30" t="n"/>
      <c r="X100" s="30" t="n"/>
      <c r="Y100" s="21" t="n"/>
      <c r="Z100" s="22" t="n"/>
      <c r="AA100" s="22" t="n"/>
      <c r="AD100" s="494" t="n"/>
      <c r="AE100" s="10" t="n"/>
      <c r="AG100" s="10" t="n"/>
      <c r="AI100" s="10" t="n"/>
      <c r="AK100" s="10" t="n"/>
      <c r="AL100" s="10" t="n"/>
      <c r="AM100" s="10" t="n"/>
      <c r="AN100" s="10" t="n"/>
      <c r="AO100" s="366" t="n"/>
      <c r="AW100" s="30" t="n"/>
      <c r="AX100" s="30" t="n"/>
      <c r="AY100" s="30" t="n"/>
      <c r="AZ100" s="21" t="n"/>
      <c r="BE100" s="57" t="n"/>
      <c r="BF100" s="10" t="n"/>
      <c r="BG100" s="10" t="n"/>
      <c r="BH100" s="10" t="n"/>
      <c r="BI100" s="10" t="n"/>
      <c r="BJ100" s="10" t="n"/>
      <c r="BK100" s="10" t="n"/>
      <c r="BL100" s="58" t="n"/>
      <c r="BM100" s="10" t="n"/>
      <c r="BN100" s="10" t="n"/>
      <c r="BO100" s="10" t="n"/>
      <c r="BP100" s="10" t="n"/>
      <c r="BQ100" s="10" t="n"/>
      <c r="BR100" s="10" t="n"/>
      <c r="BS100" s="366" t="n"/>
      <c r="BT100" s="550" t="n"/>
      <c r="BU100" s="550" t="n"/>
      <c r="BV100" s="550" t="n"/>
      <c r="BW100" s="550" t="n"/>
      <c r="BX100" s="550" t="n"/>
      <c r="BY100" s="550" t="n"/>
      <c r="BZ100" s="550" t="n"/>
      <c r="CA100" s="30" t="n"/>
      <c r="CB100" s="30" t="n"/>
      <c r="CC100" s="30" t="n"/>
      <c r="CD100" s="30" t="n"/>
    </row>
    <row r="101" hidden="1" ht="3" customHeight="1">
      <c r="B101" s="388" t="n"/>
      <c r="C101" s="494" t="n"/>
      <c r="D101" s="10" t="n"/>
      <c r="F101" s="10" t="n"/>
      <c r="H101" s="10" t="n"/>
      <c r="J101" s="10" t="n"/>
      <c r="K101" s="10" t="n"/>
      <c r="L101" s="10" t="n"/>
      <c r="M101" s="10" t="n"/>
      <c r="N101" s="10" t="n"/>
      <c r="V101" s="30" t="n"/>
      <c r="W101" s="30" t="n"/>
      <c r="X101" s="30" t="n"/>
      <c r="Y101" s="21" t="n"/>
      <c r="Z101" s="22" t="n"/>
      <c r="AA101" s="22" t="n"/>
      <c r="AD101" s="494" t="n"/>
      <c r="AE101" s="10" t="n"/>
      <c r="AG101" s="10" t="n"/>
      <c r="AI101" s="10" t="n"/>
      <c r="AK101" s="10" t="n"/>
      <c r="AL101" s="10" t="n"/>
      <c r="AM101" s="10" t="n"/>
      <c r="AN101" s="10" t="n"/>
      <c r="AO101" s="10" t="n"/>
      <c r="AW101" s="30" t="n"/>
      <c r="AX101" s="30" t="n"/>
      <c r="AY101" s="30" t="n"/>
      <c r="AZ101" s="21" t="n"/>
      <c r="BE101" s="57" t="n"/>
      <c r="BF101" s="10" t="n"/>
      <c r="BG101" s="10" t="n"/>
      <c r="BH101" s="10" t="n"/>
      <c r="BI101" s="10" t="n"/>
      <c r="BJ101" s="10" t="n"/>
      <c r="BK101" s="10" t="n"/>
      <c r="BL101" s="58" t="n"/>
      <c r="BM101" s="10" t="n"/>
      <c r="BN101" s="10" t="n"/>
      <c r="BO101" s="10" t="n"/>
      <c r="BP101" s="10" t="n"/>
      <c r="BQ101" s="10" t="n"/>
      <c r="BR101" s="10" t="n"/>
      <c r="BS101" s="10" t="n"/>
      <c r="BT101" s="550" t="n"/>
      <c r="BU101" s="550" t="n"/>
      <c r="BV101" s="550" t="n"/>
      <c r="BW101" s="550" t="n"/>
      <c r="BX101" s="550" t="n"/>
      <c r="BY101" s="550" t="n"/>
      <c r="BZ101" s="550" t="n"/>
      <c r="CA101" s="30" t="n"/>
      <c r="CB101" s="30" t="n"/>
      <c r="CC101" s="30" t="n"/>
      <c r="CD101" s="30" t="n"/>
    </row>
    <row r="102" hidden="1" ht="3" customHeight="1">
      <c r="B102" s="388" t="n"/>
      <c r="C102" s="494" t="n"/>
      <c r="D102" s="10" t="n"/>
      <c r="F102" s="10" t="n"/>
      <c r="H102" s="10" t="n"/>
      <c r="J102" s="10" t="n"/>
      <c r="K102" s="10" t="n"/>
      <c r="L102" s="10" t="n"/>
      <c r="M102" s="10" t="n"/>
      <c r="N102" s="10" t="n"/>
      <c r="V102" s="30" t="n"/>
      <c r="W102" s="30" t="n"/>
      <c r="X102" s="30" t="n"/>
      <c r="Y102" s="21" t="n"/>
      <c r="Z102" s="22" t="n"/>
      <c r="AA102" s="22" t="n"/>
      <c r="AD102" s="494" t="n"/>
      <c r="AE102" s="10" t="n"/>
      <c r="AG102" s="10" t="n"/>
      <c r="AI102" s="10" t="n"/>
      <c r="AK102" s="10" t="n"/>
      <c r="AL102" s="10" t="n"/>
      <c r="AM102" s="10" t="n"/>
      <c r="AN102" s="10" t="n"/>
      <c r="AO102" s="10" t="n"/>
      <c r="AW102" s="30" t="n"/>
      <c r="AX102" s="30" t="n"/>
      <c r="AY102" s="30" t="n"/>
      <c r="AZ102" s="21" t="n"/>
      <c r="BE102" s="57" t="n"/>
      <c r="BF102" s="10" t="n"/>
      <c r="BG102" s="10" t="n"/>
      <c r="BH102" s="10" t="n"/>
      <c r="BI102" s="10" t="n"/>
      <c r="BJ102" s="10" t="n"/>
      <c r="BK102" s="10" t="n"/>
      <c r="BL102" s="58" t="n"/>
      <c r="BM102" s="10" t="n"/>
      <c r="BN102" s="10" t="n"/>
      <c r="BO102" s="10" t="n"/>
      <c r="BP102" s="10" t="n"/>
      <c r="BQ102" s="10" t="n"/>
      <c r="BR102" s="10" t="n"/>
      <c r="BS102" s="10" t="n"/>
      <c r="BT102" s="550" t="n"/>
      <c r="BU102" s="550" t="n"/>
      <c r="BV102" s="550" t="n"/>
      <c r="BW102" s="550" t="n"/>
      <c r="BX102" s="550" t="n"/>
      <c r="BY102" s="550" t="n"/>
      <c r="BZ102" s="550" t="n"/>
      <c r="CA102" s="30" t="n"/>
      <c r="CB102" s="30" t="n"/>
      <c r="CC102" s="30" t="n"/>
      <c r="CD102" s="30" t="n"/>
    </row>
    <row r="103" hidden="1" ht="3" customHeight="1">
      <c r="B103" s="388" t="n"/>
      <c r="C103" s="494" t="n"/>
      <c r="D103" s="10" t="n"/>
      <c r="F103" s="10" t="n"/>
      <c r="H103" s="10" t="n"/>
      <c r="J103" s="10" t="n"/>
      <c r="K103" s="10" t="n"/>
      <c r="L103" s="10" t="n"/>
      <c r="M103" s="10" t="n"/>
      <c r="N103" s="366" t="n"/>
      <c r="V103" s="30" t="n"/>
      <c r="W103" s="30" t="n"/>
      <c r="X103" s="30" t="n"/>
      <c r="Y103" s="21" t="n"/>
      <c r="Z103" s="22" t="n"/>
      <c r="AA103" s="22" t="n"/>
      <c r="AD103" s="494" t="n"/>
      <c r="AE103" s="10" t="n"/>
      <c r="AG103" s="10" t="n"/>
      <c r="AI103" s="10" t="n"/>
      <c r="AK103" s="10" t="n"/>
      <c r="AL103" s="10" t="n"/>
      <c r="AM103" s="10" t="n"/>
      <c r="AN103" s="10" t="n"/>
      <c r="AO103" s="366" t="n"/>
      <c r="AW103" s="30" t="n"/>
      <c r="AX103" s="30" t="n"/>
      <c r="AY103" s="30" t="n"/>
      <c r="AZ103" s="21" t="n"/>
      <c r="BE103" s="57" t="n"/>
      <c r="BF103" s="10" t="n"/>
      <c r="BG103" s="10" t="n"/>
      <c r="BH103" s="10" t="n"/>
      <c r="BI103" s="10" t="n"/>
      <c r="BJ103" s="10" t="n"/>
      <c r="BK103" s="10" t="n"/>
      <c r="BL103" s="58" t="n"/>
      <c r="BM103" s="10" t="n"/>
      <c r="BN103" s="10" t="n"/>
      <c r="BO103" s="10" t="n"/>
      <c r="BP103" s="10" t="n"/>
      <c r="BQ103" s="10" t="n"/>
      <c r="BR103" s="10" t="n"/>
      <c r="BS103" s="366" t="n"/>
      <c r="BT103" s="550" t="n"/>
      <c r="BU103" s="550" t="n"/>
      <c r="BV103" s="550" t="n"/>
      <c r="BW103" s="550" t="n"/>
      <c r="BX103" s="550" t="n"/>
      <c r="BY103" s="550" t="n"/>
      <c r="BZ103" s="550" t="n"/>
      <c r="CA103" s="30" t="n"/>
      <c r="CB103" s="30" t="n"/>
      <c r="CC103" s="30" t="n"/>
      <c r="CD103" s="30" t="n"/>
    </row>
    <row r="104" hidden="1" ht="3" customHeight="1">
      <c r="B104" s="388" t="n"/>
      <c r="C104" s="494" t="n"/>
      <c r="D104" s="366" t="n"/>
      <c r="F104" s="10" t="n"/>
      <c r="H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30" t="n"/>
      <c r="W104" s="30" t="n"/>
      <c r="X104" s="30" t="n"/>
      <c r="Y104" s="21" t="n"/>
      <c r="Z104" s="22" t="n"/>
      <c r="AA104" s="22" t="n"/>
      <c r="AD104" s="494" t="n"/>
      <c r="AE104" s="366" t="n"/>
      <c r="AG104" s="10" t="n"/>
      <c r="AI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30" t="n"/>
      <c r="AX104" s="30" t="n"/>
      <c r="AY104" s="30" t="n"/>
      <c r="AZ104" s="21" t="n"/>
      <c r="BE104" s="57" t="n"/>
      <c r="BF104" s="366" t="n"/>
      <c r="BG104" s="10" t="n"/>
      <c r="BH104" s="10" t="n"/>
      <c r="BI104" s="10" t="n"/>
      <c r="BJ104" s="10" t="n"/>
      <c r="BK104" s="10" t="n"/>
      <c r="BL104" s="58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30" t="n"/>
      <c r="CB104" s="30" t="n"/>
      <c r="CC104" s="30" t="n"/>
      <c r="CD104" s="30" t="n"/>
    </row>
    <row r="105" hidden="1" ht="3" customHeight="1">
      <c r="B105" s="388" t="n"/>
      <c r="C105" s="494" t="n"/>
      <c r="D105" s="366" t="n"/>
      <c r="F105" s="10" t="n"/>
      <c r="H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30" t="n"/>
      <c r="W105" s="30" t="n"/>
      <c r="X105" s="30" t="n"/>
      <c r="Y105" s="21" t="n"/>
      <c r="Z105" s="22" t="n"/>
      <c r="AA105" s="22" t="n"/>
      <c r="AD105" s="494" t="n"/>
      <c r="AE105" s="366" t="n"/>
      <c r="AG105" s="10" t="n"/>
      <c r="AI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30" t="n"/>
      <c r="AX105" s="30" t="n"/>
      <c r="AY105" s="30" t="n"/>
      <c r="AZ105" s="21" t="n"/>
      <c r="BE105" s="57" t="n"/>
      <c r="BF105" s="366" t="n"/>
      <c r="BG105" s="10" t="n"/>
      <c r="BH105" s="10" t="n"/>
      <c r="BI105" s="10" t="n"/>
      <c r="BJ105" s="10" t="n"/>
      <c r="BK105" s="10" t="n"/>
      <c r="BL105" s="58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30" t="n"/>
      <c r="CB105" s="30" t="n"/>
      <c r="CC105" s="30" t="n"/>
      <c r="CD105" s="30" t="n"/>
    </row>
    <row r="106" hidden="1" ht="3" customHeight="1">
      <c r="B106" s="388" t="n"/>
      <c r="C106" s="494" t="n"/>
      <c r="D106" s="10" t="n"/>
      <c r="F106" s="10" t="n"/>
      <c r="H106" s="10" t="n"/>
      <c r="J106" s="10" t="n"/>
      <c r="K106" s="10" t="n"/>
      <c r="L106" s="10" t="n"/>
      <c r="M106" s="10" t="n"/>
      <c r="N106" s="366" t="n"/>
      <c r="O106" s="547">
        <f>O90-Y90</f>
        <v/>
      </c>
      <c r="V106" s="30" t="n"/>
      <c r="W106" s="30" t="n"/>
      <c r="X106" s="30" t="n"/>
      <c r="Y106" s="21" t="n"/>
      <c r="Z106" s="22" t="n"/>
      <c r="AA106" s="22" t="n"/>
      <c r="AD106" s="494" t="n"/>
      <c r="AE106" s="10" t="n"/>
      <c r="AG106" s="10" t="n"/>
      <c r="AI106" s="10" t="n"/>
      <c r="AK106" s="10" t="n"/>
      <c r="AL106" s="10" t="n"/>
      <c r="AM106" s="10" t="n"/>
      <c r="AN106" s="10" t="n"/>
      <c r="AO106" s="366" t="n"/>
      <c r="AP106" s="547">
        <f>AP90-AZ90</f>
        <v/>
      </c>
      <c r="AW106" s="30" t="n"/>
      <c r="AX106" s="30" t="n"/>
      <c r="AY106" s="30" t="n"/>
      <c r="AZ106" s="21" t="n"/>
      <c r="BE106" s="57" t="n"/>
      <c r="BF106" s="10" t="n"/>
      <c r="BG106" s="10" t="n"/>
      <c r="BH106" s="10" t="n"/>
      <c r="BI106" s="10" t="n"/>
      <c r="BJ106" s="10" t="n"/>
      <c r="BK106" s="10" t="n"/>
      <c r="BL106" s="58" t="n"/>
      <c r="BM106" s="10" t="n"/>
      <c r="BN106" s="10" t="n"/>
      <c r="BO106" s="10" t="n"/>
      <c r="BP106" s="10" t="n"/>
      <c r="BQ106" s="10" t="n"/>
      <c r="BR106" s="10" t="n"/>
      <c r="BS106" s="366" t="n"/>
      <c r="BT106" s="549" t="n"/>
      <c r="BU106" s="550" t="n"/>
      <c r="BV106" s="550" t="n"/>
      <c r="BW106" s="550" t="n"/>
      <c r="BX106" s="550" t="n"/>
      <c r="BY106" s="550" t="n"/>
      <c r="BZ106" s="550" t="n"/>
      <c r="CA106" s="30" t="n"/>
      <c r="CB106" s="30" t="n"/>
      <c r="CC106" s="30" t="n"/>
      <c r="CD106" s="30" t="n"/>
    </row>
    <row r="107" hidden="1" ht="3" customHeight="1">
      <c r="B107" s="388" t="n"/>
      <c r="C107" s="494" t="n"/>
      <c r="D107" s="10" t="n"/>
      <c r="F107" s="10" t="n"/>
      <c r="H107" s="10" t="n"/>
      <c r="J107" s="10" t="n"/>
      <c r="K107" s="10" t="n"/>
      <c r="L107" s="10" t="n"/>
      <c r="M107" s="10" t="n"/>
      <c r="N107" s="366" t="n"/>
      <c r="V107" s="30" t="n"/>
      <c r="W107" s="30" t="n"/>
      <c r="X107" s="30" t="n"/>
      <c r="Y107" s="21" t="n"/>
      <c r="Z107" s="22" t="n"/>
      <c r="AA107" s="22" t="n"/>
      <c r="AD107" s="494" t="n"/>
      <c r="AE107" s="10" t="n"/>
      <c r="AG107" s="10" t="n"/>
      <c r="AI107" s="10" t="n"/>
      <c r="AK107" s="10" t="n"/>
      <c r="AL107" s="10" t="n"/>
      <c r="AM107" s="10" t="n"/>
      <c r="AN107" s="10" t="n"/>
      <c r="AO107" s="366" t="n"/>
      <c r="AW107" s="30" t="n"/>
      <c r="AX107" s="30" t="n"/>
      <c r="AY107" s="30" t="n"/>
      <c r="AZ107" s="21" t="n"/>
      <c r="BE107" s="57" t="n"/>
      <c r="BF107" s="10" t="n"/>
      <c r="BG107" s="10" t="n"/>
      <c r="BH107" s="10" t="n"/>
      <c r="BI107" s="10" t="n"/>
      <c r="BJ107" s="10" t="n"/>
      <c r="BK107" s="10" t="n"/>
      <c r="BL107" s="58" t="n"/>
      <c r="BM107" s="10" t="n"/>
      <c r="BN107" s="10" t="n"/>
      <c r="BO107" s="10" t="n"/>
      <c r="BP107" s="10" t="n"/>
      <c r="BQ107" s="10" t="n"/>
      <c r="BR107" s="10" t="n"/>
      <c r="BS107" s="366" t="n"/>
      <c r="BT107" s="550" t="n"/>
      <c r="BU107" s="550" t="n"/>
      <c r="BV107" s="550" t="n"/>
      <c r="BW107" s="550" t="n"/>
      <c r="BX107" s="550" t="n"/>
      <c r="BY107" s="550" t="n"/>
      <c r="BZ107" s="550" t="n"/>
      <c r="CA107" s="30" t="n"/>
      <c r="CB107" s="30" t="n"/>
      <c r="CC107" s="30" t="n"/>
      <c r="CD107" s="30" t="n"/>
    </row>
    <row r="108" hidden="1" ht="3" customHeight="1">
      <c r="B108" s="388" t="n"/>
      <c r="C108" s="494" t="n"/>
      <c r="D108" s="10" t="n"/>
      <c r="F108" s="10" t="n"/>
      <c r="H108" s="10" t="n"/>
      <c r="J108" s="10" t="n"/>
      <c r="K108" s="10" t="n"/>
      <c r="L108" s="10" t="n"/>
      <c r="M108" s="10" t="n"/>
      <c r="N108" s="366" t="n"/>
      <c r="V108" s="30" t="n"/>
      <c r="W108" s="30" t="n"/>
      <c r="X108" s="30" t="n"/>
      <c r="Y108" s="21" t="n"/>
      <c r="Z108" s="22" t="n"/>
      <c r="AA108" s="22" t="n"/>
      <c r="AD108" s="494" t="n"/>
      <c r="AE108" s="10" t="n"/>
      <c r="AG108" s="10" t="n"/>
      <c r="AI108" s="10" t="n"/>
      <c r="AK108" s="10" t="n"/>
      <c r="AL108" s="10" t="n"/>
      <c r="AM108" s="10" t="n"/>
      <c r="AN108" s="10" t="n"/>
      <c r="AO108" s="366" t="n"/>
      <c r="AW108" s="30" t="n"/>
      <c r="AX108" s="30" t="n"/>
      <c r="AY108" s="30" t="n"/>
      <c r="AZ108" s="21" t="n"/>
      <c r="BE108" s="57" t="n"/>
      <c r="BF108" s="10" t="n"/>
      <c r="BG108" s="10" t="n"/>
      <c r="BH108" s="10" t="n"/>
      <c r="BI108" s="10" t="n"/>
      <c r="BJ108" s="10" t="n"/>
      <c r="BK108" s="10" t="n"/>
      <c r="BL108" s="58" t="n"/>
      <c r="BM108" s="10" t="n"/>
      <c r="BN108" s="10" t="n"/>
      <c r="BO108" s="10" t="n"/>
      <c r="BP108" s="10" t="n"/>
      <c r="BQ108" s="10" t="n"/>
      <c r="BR108" s="10" t="n"/>
      <c r="BS108" s="366" t="n"/>
      <c r="BT108" s="550" t="n"/>
      <c r="BU108" s="550" t="n"/>
      <c r="BV108" s="550" t="n"/>
      <c r="BW108" s="550" t="n"/>
      <c r="BX108" s="550" t="n"/>
      <c r="BY108" s="550" t="n"/>
      <c r="BZ108" s="550" t="n"/>
      <c r="CA108" s="30" t="n"/>
      <c r="CB108" s="30" t="n"/>
      <c r="CC108" s="30" t="n"/>
      <c r="CD108" s="30" t="n"/>
    </row>
    <row r="109" hidden="1" ht="3" customHeight="1">
      <c r="B109" s="388" t="n"/>
      <c r="C109" s="494" t="n"/>
      <c r="D109" s="10" t="n"/>
      <c r="F109" s="10" t="n"/>
      <c r="H109" s="10" t="n"/>
      <c r="J109" s="10" t="n"/>
      <c r="K109" s="10" t="n"/>
      <c r="L109" s="10" t="n"/>
      <c r="M109" s="10" t="n"/>
      <c r="N109" s="10" t="n"/>
      <c r="V109" s="30" t="n"/>
      <c r="W109" s="30" t="n"/>
      <c r="X109" s="30" t="n"/>
      <c r="Y109" s="21" t="n"/>
      <c r="Z109" s="22" t="n"/>
      <c r="AA109" s="22" t="n"/>
      <c r="AD109" s="494" t="n"/>
      <c r="AE109" s="10" t="n"/>
      <c r="AG109" s="10" t="n"/>
      <c r="AI109" s="10" t="n"/>
      <c r="AK109" s="10" t="n"/>
      <c r="AL109" s="10" t="n"/>
      <c r="AM109" s="10" t="n"/>
      <c r="AN109" s="10" t="n"/>
      <c r="AO109" s="10" t="n"/>
      <c r="AW109" s="30" t="n"/>
      <c r="AX109" s="30" t="n"/>
      <c r="AY109" s="30" t="n"/>
      <c r="AZ109" s="21" t="n"/>
      <c r="BE109" s="57" t="n"/>
      <c r="BF109" s="10" t="n"/>
      <c r="BG109" s="10" t="n"/>
      <c r="BH109" s="10" t="n"/>
      <c r="BI109" s="10" t="n"/>
      <c r="BJ109" s="10" t="n"/>
      <c r="BK109" s="10" t="n"/>
      <c r="BL109" s="58" t="n"/>
      <c r="BM109" s="10" t="n"/>
      <c r="BN109" s="10" t="n"/>
      <c r="BO109" s="10" t="n"/>
      <c r="BP109" s="10" t="n"/>
      <c r="BQ109" s="10" t="n"/>
      <c r="BR109" s="10" t="n"/>
      <c r="BS109" s="10" t="n"/>
      <c r="BT109" s="550" t="n"/>
      <c r="BU109" s="550" t="n"/>
      <c r="BV109" s="550" t="n"/>
      <c r="BW109" s="550" t="n"/>
      <c r="BX109" s="550" t="n"/>
      <c r="BY109" s="550" t="n"/>
      <c r="BZ109" s="550" t="n"/>
      <c r="CA109" s="30" t="n"/>
      <c r="CB109" s="30" t="n"/>
      <c r="CC109" s="30" t="n"/>
      <c r="CD109" s="30" t="n"/>
    </row>
    <row r="110" hidden="1" ht="3" customHeight="1">
      <c r="B110" s="388" t="n"/>
      <c r="C110" s="494" t="n"/>
      <c r="D110" s="10" t="n"/>
      <c r="F110" s="10" t="n"/>
      <c r="H110" s="10" t="n"/>
      <c r="J110" s="10" t="n"/>
      <c r="K110" s="10" t="n"/>
      <c r="L110" s="10" t="n"/>
      <c r="M110" s="10" t="n"/>
      <c r="N110" s="10" t="n"/>
      <c r="V110" s="30" t="n"/>
      <c r="W110" s="30" t="n"/>
      <c r="X110" s="30" t="n"/>
      <c r="Y110" s="21" t="n"/>
      <c r="Z110" s="22" t="n"/>
      <c r="AA110" s="22" t="n"/>
      <c r="AD110" s="494" t="n"/>
      <c r="AE110" s="10" t="n"/>
      <c r="AG110" s="10" t="n"/>
      <c r="AI110" s="10" t="n"/>
      <c r="AK110" s="10" t="n"/>
      <c r="AL110" s="10" t="n"/>
      <c r="AM110" s="10" t="n"/>
      <c r="AN110" s="10" t="n"/>
      <c r="AO110" s="10" t="n"/>
      <c r="AW110" s="30" t="n"/>
      <c r="AX110" s="30" t="n"/>
      <c r="AY110" s="30" t="n"/>
      <c r="AZ110" s="21" t="n"/>
      <c r="BE110" s="57" t="n"/>
      <c r="BF110" s="10" t="n"/>
      <c r="BG110" s="10" t="n"/>
      <c r="BH110" s="10" t="n"/>
      <c r="BI110" s="10" t="n"/>
      <c r="BJ110" s="10" t="n"/>
      <c r="BK110" s="10" t="n"/>
      <c r="BL110" s="58" t="n"/>
      <c r="BM110" s="10" t="n"/>
      <c r="BN110" s="10" t="n"/>
      <c r="BO110" s="10" t="n"/>
      <c r="BP110" s="10" t="n"/>
      <c r="BQ110" s="10" t="n"/>
      <c r="BR110" s="10" t="n"/>
      <c r="BS110" s="10" t="n"/>
      <c r="BT110" s="550" t="n"/>
      <c r="BU110" s="550" t="n"/>
      <c r="BV110" s="550" t="n"/>
      <c r="BW110" s="550" t="n"/>
      <c r="BX110" s="550" t="n"/>
      <c r="BY110" s="550" t="n"/>
      <c r="BZ110" s="550" t="n"/>
      <c r="CA110" s="30" t="n"/>
      <c r="CB110" s="30" t="n"/>
      <c r="CC110" s="30" t="n"/>
      <c r="CD110" s="30" t="n"/>
    </row>
    <row r="111" hidden="1" ht="3" customHeight="1">
      <c r="B111" s="388" t="n"/>
      <c r="C111" s="494" t="n"/>
      <c r="D111" s="10" t="n"/>
      <c r="F111" s="10" t="n"/>
      <c r="H111" s="10" t="n"/>
      <c r="J111" s="10" t="n"/>
      <c r="K111" s="10" t="n"/>
      <c r="L111" s="10" t="n"/>
      <c r="M111" s="10" t="n"/>
      <c r="N111" s="366" t="n"/>
      <c r="V111" s="10" t="n"/>
      <c r="W111" s="10" t="n"/>
      <c r="X111" s="10" t="n"/>
      <c r="Y111" s="18" t="n"/>
      <c r="AD111" s="494" t="n"/>
      <c r="AE111" s="10" t="n"/>
      <c r="AG111" s="10" t="n"/>
      <c r="AI111" s="10" t="n"/>
      <c r="AK111" s="10" t="n"/>
      <c r="AL111" s="10" t="n"/>
      <c r="AM111" s="10" t="n"/>
      <c r="AN111" s="10" t="n"/>
      <c r="AO111" s="366" t="n"/>
      <c r="AW111" s="10" t="n"/>
      <c r="AX111" s="10" t="n"/>
      <c r="AY111" s="10" t="n"/>
      <c r="AZ111" s="18" t="n"/>
      <c r="BE111" s="57" t="n"/>
      <c r="BF111" s="10" t="n"/>
      <c r="BG111" s="10" t="n"/>
      <c r="BH111" s="10" t="n"/>
      <c r="BI111" s="10" t="n"/>
      <c r="BJ111" s="10" t="n"/>
      <c r="BK111" s="10" t="n"/>
      <c r="BL111" s="58" t="n"/>
      <c r="BM111" s="10" t="n"/>
      <c r="BN111" s="10" t="n"/>
      <c r="BO111" s="10" t="n"/>
      <c r="BP111" s="10" t="n"/>
      <c r="BQ111" s="10" t="n"/>
      <c r="BR111" s="10" t="n"/>
      <c r="BS111" s="366" t="n"/>
      <c r="BT111" s="550" t="n"/>
      <c r="BU111" s="550" t="n"/>
      <c r="BV111" s="550" t="n"/>
      <c r="BW111" s="550" t="n"/>
      <c r="BX111" s="550" t="n"/>
      <c r="BY111" s="550" t="n"/>
      <c r="BZ111" s="550" t="n"/>
      <c r="CA111" s="10" t="n"/>
      <c r="CB111" s="10" t="n"/>
      <c r="CC111" s="10" t="n"/>
      <c r="CD111" s="10" t="n"/>
    </row>
    <row r="112" hidden="1" ht="3" customHeight="1">
      <c r="C112" s="494" t="n"/>
      <c r="D112" s="10" t="n"/>
      <c r="F112" s="10" t="n"/>
      <c r="H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8" t="n"/>
      <c r="AD112" s="494" t="n"/>
      <c r="AE112" s="10" t="n"/>
      <c r="AG112" s="10" t="n"/>
      <c r="AI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8" t="n"/>
      <c r="BE112" s="57" t="n"/>
      <c r="BF112" s="10" t="n"/>
      <c r="BG112" s="10" t="n"/>
      <c r="BH112" s="10" t="n"/>
      <c r="BI112" s="10" t="n"/>
      <c r="BJ112" s="10" t="n"/>
      <c r="BK112" s="10" t="n"/>
      <c r="BL112" s="58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</row>
    <row r="113" hidden="1" ht="9" customHeight="1">
      <c r="C113" s="9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8" t="n"/>
      <c r="AD113" s="9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8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</row>
    <row r="114" hidden="1" ht="3" customHeight="1">
      <c r="B114" s="388" t="n"/>
      <c r="C114" s="365" t="inlineStr">
        <is>
          <t>PMT</t>
        </is>
      </c>
      <c r="E114" s="388" t="inlineStr">
        <is>
          <t>=</t>
        </is>
      </c>
      <c r="G114" s="391">
        <f>G98</f>
        <v/>
      </c>
      <c r="I114" s="388" t="inlineStr">
        <is>
          <t>x</t>
        </is>
      </c>
      <c r="K114" s="547">
        <f>O98/O106</f>
        <v/>
      </c>
      <c r="T114" s="551" t="n"/>
      <c r="U114" s="551" t="n"/>
      <c r="Y114" s="7" t="n"/>
      <c r="AD114" s="365" t="inlineStr">
        <is>
          <t>PMT</t>
        </is>
      </c>
      <c r="AF114" s="388" t="inlineStr">
        <is>
          <t>=</t>
        </is>
      </c>
      <c r="AH114" s="391">
        <f>AH98</f>
        <v/>
      </c>
      <c r="AJ114" s="388" t="inlineStr">
        <is>
          <t>x</t>
        </is>
      </c>
      <c r="AL114" s="547">
        <f>AP98/AP106</f>
        <v/>
      </c>
      <c r="AU114" s="551" t="n"/>
      <c r="AV114" s="551" t="n"/>
      <c r="AZ114" s="7" t="n"/>
      <c r="BE114" s="57" t="n"/>
      <c r="BL114" s="58" t="n"/>
      <c r="BP114" s="549" t="n"/>
      <c r="BQ114" s="549" t="n"/>
      <c r="BR114" s="549" t="n"/>
      <c r="BS114" s="549" t="n"/>
      <c r="BT114" s="549" t="n"/>
      <c r="BU114" s="549" t="n"/>
      <c r="BV114" s="549" t="n"/>
      <c r="BW114" s="549" t="n"/>
      <c r="BX114" s="549" t="n"/>
      <c r="BY114" s="551" t="n"/>
      <c r="BZ114" s="551" t="n"/>
    </row>
    <row r="115" hidden="1" ht="3" customHeight="1">
      <c r="B115" s="388" t="n"/>
      <c r="C115" s="494" t="n"/>
      <c r="T115" s="551" t="n"/>
      <c r="U115" s="551" t="n"/>
      <c r="Y115" s="7" t="n"/>
      <c r="AD115" s="494" t="n"/>
      <c r="AU115" s="551" t="n"/>
      <c r="AV115" s="551" t="n"/>
      <c r="AZ115" s="7" t="n"/>
      <c r="BE115" s="57" t="n"/>
      <c r="BL115" s="58" t="n"/>
      <c r="BP115" s="549" t="n"/>
      <c r="BQ115" s="549" t="n"/>
      <c r="BR115" s="549" t="n"/>
      <c r="BS115" s="549" t="n"/>
      <c r="BT115" s="549" t="n"/>
      <c r="BU115" s="549" t="n"/>
      <c r="BV115" s="549" t="n"/>
      <c r="BW115" s="549" t="n"/>
      <c r="BX115" s="549" t="n"/>
      <c r="BY115" s="551" t="n"/>
      <c r="BZ115" s="551" t="n"/>
    </row>
    <row r="116" hidden="1" ht="3" customHeight="1">
      <c r="B116" s="388" t="n"/>
      <c r="C116" s="494" t="n"/>
      <c r="T116" s="551" t="n"/>
      <c r="U116" s="551" t="n"/>
      <c r="Y116" s="7" t="n"/>
      <c r="AD116" s="494" t="n"/>
      <c r="AU116" s="551" t="n"/>
      <c r="AV116" s="551" t="n"/>
      <c r="AZ116" s="7" t="n"/>
      <c r="BE116" s="57" t="n"/>
      <c r="BL116" s="58" t="n"/>
      <c r="BP116" s="549" t="n"/>
      <c r="BQ116" s="549" t="n"/>
      <c r="BR116" s="549" t="n"/>
      <c r="BS116" s="549" t="n"/>
      <c r="BT116" s="549" t="n"/>
      <c r="BU116" s="549" t="n"/>
      <c r="BV116" s="549" t="n"/>
      <c r="BW116" s="549" t="n"/>
      <c r="BX116" s="549" t="n"/>
      <c r="BY116" s="551" t="n"/>
      <c r="BZ116" s="551" t="n"/>
    </row>
    <row r="117" hidden="1" ht="3" customHeight="1">
      <c r="B117" s="388" t="n"/>
      <c r="C117" s="494" t="n"/>
      <c r="T117" s="551" t="n"/>
      <c r="U117" s="551" t="n"/>
      <c r="Y117" s="7" t="n"/>
      <c r="AD117" s="494" t="n"/>
      <c r="AU117" s="551" t="n"/>
      <c r="AV117" s="551" t="n"/>
      <c r="AZ117" s="7" t="n"/>
      <c r="BE117" s="57" t="n"/>
      <c r="BL117" s="58" t="n"/>
      <c r="BP117" s="549" t="n"/>
      <c r="BQ117" s="549" t="n"/>
      <c r="BR117" s="549" t="n"/>
      <c r="BS117" s="549" t="n"/>
      <c r="BT117" s="549" t="n"/>
      <c r="BU117" s="549" t="n"/>
      <c r="BV117" s="549" t="n"/>
      <c r="BW117" s="549" t="n"/>
      <c r="BX117" s="549" t="n"/>
      <c r="BY117" s="551" t="n"/>
      <c r="BZ117" s="551" t="n"/>
    </row>
    <row r="118" hidden="1" ht="3" customHeight="1">
      <c r="B118" s="388" t="n"/>
      <c r="C118" s="494" t="n"/>
      <c r="T118" s="551" t="n"/>
      <c r="U118" s="551" t="n"/>
      <c r="Y118" s="7" t="n"/>
      <c r="AD118" s="494" t="n"/>
      <c r="AU118" s="551" t="n"/>
      <c r="AV118" s="551" t="n"/>
      <c r="AZ118" s="7" t="n"/>
      <c r="BE118" s="57" t="n"/>
      <c r="BL118" s="58" t="n"/>
      <c r="BP118" s="549" t="n"/>
      <c r="BQ118" s="549" t="n"/>
      <c r="BR118" s="549" t="n"/>
      <c r="BS118" s="549" t="n"/>
      <c r="BT118" s="549" t="n"/>
      <c r="BU118" s="549" t="n"/>
      <c r="BV118" s="549" t="n"/>
      <c r="BW118" s="549" t="n"/>
      <c r="BX118" s="549" t="n"/>
      <c r="BY118" s="551" t="n"/>
      <c r="BZ118" s="551" t="n"/>
    </row>
    <row r="119" hidden="1" ht="3" customHeight="1">
      <c r="B119" s="388" t="n"/>
      <c r="C119" s="494" t="n"/>
      <c r="T119" s="551" t="n"/>
      <c r="U119" s="551" t="n"/>
      <c r="Y119" s="7" t="n"/>
      <c r="AD119" s="494" t="n"/>
      <c r="AU119" s="551" t="n"/>
      <c r="AV119" s="551" t="n"/>
      <c r="AZ119" s="7" t="n"/>
      <c r="BE119" s="57" t="n"/>
      <c r="BL119" s="58" t="n"/>
      <c r="BP119" s="549" t="n"/>
      <c r="BQ119" s="549" t="n"/>
      <c r="BR119" s="549" t="n"/>
      <c r="BS119" s="549" t="n"/>
      <c r="BT119" s="549" t="n"/>
      <c r="BU119" s="549" t="n"/>
      <c r="BV119" s="549" t="n"/>
      <c r="BW119" s="549" t="n"/>
      <c r="BX119" s="549" t="n"/>
      <c r="BY119" s="551" t="n"/>
      <c r="BZ119" s="551" t="n"/>
    </row>
    <row r="120" hidden="1" ht="3" customHeight="1">
      <c r="B120" s="388" t="n"/>
      <c r="C120" s="494" t="n"/>
      <c r="D120" s="388" t="n"/>
      <c r="Y120" s="7" t="n"/>
      <c r="AD120" s="494" t="n"/>
      <c r="AE120" s="388" t="n"/>
      <c r="AZ120" s="7" t="n"/>
      <c r="BE120" s="57" t="n"/>
      <c r="BF120" s="388" t="n"/>
      <c r="BL120" s="58" t="n"/>
      <c r="BP120" s="549" t="n"/>
      <c r="BQ120" s="549" t="n"/>
      <c r="BR120" s="549" t="n"/>
      <c r="BS120" s="549" t="n"/>
      <c r="BT120" s="549" t="n"/>
      <c r="BU120" s="549" t="n"/>
      <c r="BV120" s="549" t="n"/>
      <c r="BW120" s="549" t="n"/>
      <c r="BX120" s="549" t="n"/>
    </row>
    <row r="121" hidden="1" ht="9" customHeight="1">
      <c r="C121" s="6" t="n"/>
      <c r="Y121" s="7" t="n"/>
      <c r="AD121" s="6" t="n"/>
      <c r="AZ121" s="7" t="n"/>
    </row>
    <row r="122" ht="3" customHeight="1">
      <c r="B122" s="388" t="n"/>
      <c r="C122" s="389" t="inlineStr">
        <is>
          <t>Valor da parcela</t>
        </is>
      </c>
      <c r="E122" s="390" t="inlineStr">
        <is>
          <t>=</t>
        </is>
      </c>
      <c r="G122" s="392">
        <f>(G114*K114)</f>
        <v/>
      </c>
      <c r="I122" s="388" t="n"/>
      <c r="K122" s="552" t="n"/>
      <c r="L122" s="552" t="n"/>
      <c r="M122" s="552" t="n"/>
      <c r="N122" s="552" t="n"/>
      <c r="O122" s="552" t="n"/>
      <c r="P122" s="552" t="n"/>
      <c r="Q122" s="552" t="n"/>
      <c r="R122" s="552" t="n"/>
      <c r="S122" s="552" t="n"/>
      <c r="T122" s="551" t="n"/>
      <c r="U122" s="551" t="n"/>
      <c r="Y122" s="7" t="n"/>
      <c r="AD122" s="389" t="inlineStr">
        <is>
          <t>Valor da parcela</t>
        </is>
      </c>
      <c r="AF122" s="390" t="inlineStr">
        <is>
          <t>=</t>
        </is>
      </c>
      <c r="AH122" s="392">
        <f>(AH114*AL114)</f>
        <v/>
      </c>
      <c r="AJ122" s="388" t="n"/>
      <c r="AL122" s="552" t="n"/>
      <c r="AM122" s="552" t="n"/>
      <c r="AN122" s="552" t="n"/>
      <c r="AO122" s="552" t="n"/>
      <c r="AP122" s="552" t="n"/>
      <c r="AQ122" s="552" t="n"/>
      <c r="AR122" s="552" t="n"/>
      <c r="AS122" s="552" t="n"/>
      <c r="AT122" s="552" t="n"/>
      <c r="AU122" s="551" t="n"/>
      <c r="AV122" s="551" t="n"/>
      <c r="AZ122" s="7" t="n"/>
      <c r="BE122" s="57" t="n"/>
      <c r="BG122" s="10" t="n"/>
      <c r="BL122" s="58" t="n"/>
      <c r="BN122" s="388" t="n"/>
      <c r="BP122" s="552" t="n"/>
      <c r="BQ122" s="552" t="n"/>
      <c r="BR122" s="552" t="n"/>
      <c r="BS122" s="552" t="n"/>
      <c r="BT122" s="552" t="n"/>
      <c r="BU122" s="552" t="n"/>
      <c r="BV122" s="552" t="n"/>
      <c r="BW122" s="552" t="n"/>
      <c r="BX122" s="552" t="n"/>
      <c r="BY122" s="551" t="n"/>
      <c r="BZ122" s="551" t="n"/>
    </row>
    <row r="123" ht="3" customHeight="1">
      <c r="B123" s="388" t="n"/>
      <c r="C123" s="494" t="n"/>
      <c r="I123" s="388" t="n"/>
      <c r="K123" s="552" t="n"/>
      <c r="L123" s="552" t="n"/>
      <c r="M123" s="552" t="n"/>
      <c r="N123" s="552" t="n"/>
      <c r="O123" s="552" t="n"/>
      <c r="P123" s="552" t="n"/>
      <c r="Q123" s="552" t="n"/>
      <c r="R123" s="552" t="n"/>
      <c r="S123" s="552" t="n"/>
      <c r="T123" s="551" t="n"/>
      <c r="U123" s="551" t="n"/>
      <c r="Y123" s="7" t="n"/>
      <c r="AD123" s="494" t="n"/>
      <c r="AJ123" s="388" t="n"/>
      <c r="AL123" s="552" t="n"/>
      <c r="AM123" s="552" t="n"/>
      <c r="AN123" s="552" t="n"/>
      <c r="AO123" s="552" t="n"/>
      <c r="AP123" s="552" t="n"/>
      <c r="AQ123" s="552" t="n"/>
      <c r="AR123" s="552" t="n"/>
      <c r="AS123" s="552" t="n"/>
      <c r="AT123" s="552" t="n"/>
      <c r="AU123" s="551" t="n"/>
      <c r="AV123" s="551" t="n"/>
      <c r="AZ123" s="7" t="n"/>
      <c r="BE123" s="57" t="n"/>
      <c r="BG123" s="10" t="n"/>
      <c r="BL123" s="58" t="n"/>
      <c r="BN123" s="388" t="n"/>
      <c r="BP123" s="552" t="n"/>
      <c r="BQ123" s="552" t="n"/>
      <c r="BR123" s="552" t="n"/>
      <c r="BS123" s="552" t="n"/>
      <c r="BT123" s="552" t="n"/>
      <c r="BU123" s="552" t="n"/>
      <c r="BV123" s="552" t="n"/>
      <c r="BW123" s="552" t="n"/>
      <c r="BX123" s="552" t="n"/>
      <c r="BY123" s="551" t="n"/>
      <c r="BZ123" s="551" t="n"/>
    </row>
    <row r="124" ht="3" customHeight="1">
      <c r="B124" s="388" t="n"/>
      <c r="C124" s="494" t="n"/>
      <c r="I124" s="388" t="n"/>
      <c r="K124" s="552" t="n"/>
      <c r="L124" s="552" t="n"/>
      <c r="M124" s="552" t="n"/>
      <c r="N124" s="552" t="n"/>
      <c r="O124" s="552" t="n"/>
      <c r="P124" s="552" t="n"/>
      <c r="Q124" s="552" t="n"/>
      <c r="R124" s="552" t="n"/>
      <c r="S124" s="552" t="n"/>
      <c r="T124" s="551" t="n"/>
      <c r="U124" s="551" t="n"/>
      <c r="Y124" s="7" t="n"/>
      <c r="AD124" s="494" t="n"/>
      <c r="AJ124" s="388" t="n"/>
      <c r="AL124" s="552" t="n"/>
      <c r="AM124" s="552" t="n"/>
      <c r="AN124" s="552" t="n"/>
      <c r="AO124" s="552" t="n"/>
      <c r="AP124" s="552" t="n"/>
      <c r="AQ124" s="552" t="n"/>
      <c r="AR124" s="552" t="n"/>
      <c r="AS124" s="552" t="n"/>
      <c r="AT124" s="552" t="n"/>
      <c r="AU124" s="551" t="n"/>
      <c r="AV124" s="551" t="n"/>
      <c r="AZ124" s="7" t="n"/>
      <c r="BE124" s="57" t="n"/>
      <c r="BG124" s="10" t="n"/>
      <c r="BL124" s="58" t="n"/>
      <c r="BN124" s="388" t="n"/>
      <c r="BP124" s="552" t="n"/>
      <c r="BQ124" s="552" t="n"/>
      <c r="BR124" s="552" t="n"/>
      <c r="BS124" s="552" t="n"/>
      <c r="BT124" s="552" t="n"/>
      <c r="BU124" s="552" t="n"/>
      <c r="BV124" s="552" t="n"/>
      <c r="BW124" s="552" t="n"/>
      <c r="BX124" s="552" t="n"/>
      <c r="BY124" s="551" t="n"/>
      <c r="BZ124" s="551" t="n"/>
    </row>
    <row r="125" ht="3" customHeight="1">
      <c r="B125" s="388" t="n"/>
      <c r="C125" s="494" t="n"/>
      <c r="I125" s="388" t="n"/>
      <c r="K125" s="552" t="n"/>
      <c r="L125" s="552" t="n"/>
      <c r="M125" s="552" t="n"/>
      <c r="N125" s="552" t="n"/>
      <c r="O125" s="552" t="n"/>
      <c r="P125" s="552" t="n"/>
      <c r="Q125" s="552" t="n"/>
      <c r="R125" s="552" t="n"/>
      <c r="S125" s="552" t="n"/>
      <c r="T125" s="551" t="n"/>
      <c r="U125" s="551" t="n"/>
      <c r="Y125" s="7" t="n"/>
      <c r="AD125" s="494" t="n"/>
      <c r="AJ125" s="388" t="n"/>
      <c r="AL125" s="552" t="n"/>
      <c r="AM125" s="552" t="n"/>
      <c r="AN125" s="552" t="n"/>
      <c r="AO125" s="552" t="n"/>
      <c r="AP125" s="552" t="n"/>
      <c r="AQ125" s="552" t="n"/>
      <c r="AR125" s="552" t="n"/>
      <c r="AS125" s="552" t="n"/>
      <c r="AT125" s="552" t="n"/>
      <c r="AU125" s="551" t="n"/>
      <c r="AV125" s="551" t="n"/>
      <c r="AZ125" s="7" t="n"/>
      <c r="BE125" s="57" t="n"/>
      <c r="BG125" s="10" t="n"/>
      <c r="BL125" s="58" t="n"/>
      <c r="BN125" s="388" t="n"/>
      <c r="BP125" s="552" t="n"/>
      <c r="BQ125" s="552" t="n"/>
      <c r="BR125" s="552" t="n"/>
      <c r="BS125" s="552" t="n"/>
      <c r="BT125" s="552" t="n"/>
      <c r="BU125" s="552" t="n"/>
      <c r="BV125" s="552" t="n"/>
      <c r="BW125" s="552" t="n"/>
      <c r="BX125" s="552" t="n"/>
      <c r="BY125" s="551" t="n"/>
      <c r="BZ125" s="551" t="n"/>
    </row>
    <row r="126" ht="3" customHeight="1">
      <c r="B126" s="388" t="n"/>
      <c r="C126" s="494" t="n"/>
      <c r="I126" s="388" t="n"/>
      <c r="K126" s="552" t="n"/>
      <c r="L126" s="552" t="n"/>
      <c r="M126" s="552" t="n"/>
      <c r="N126" s="552" t="n"/>
      <c r="O126" s="552" t="n"/>
      <c r="P126" s="552" t="n"/>
      <c r="Q126" s="552" t="n"/>
      <c r="R126" s="552" t="n"/>
      <c r="S126" s="552" t="n"/>
      <c r="T126" s="551" t="n"/>
      <c r="U126" s="551" t="n"/>
      <c r="Y126" s="7" t="n"/>
      <c r="AD126" s="494" t="n"/>
      <c r="AJ126" s="388" t="n"/>
      <c r="AL126" s="552" t="n"/>
      <c r="AM126" s="552" t="n"/>
      <c r="AN126" s="552" t="n"/>
      <c r="AO126" s="552" t="n"/>
      <c r="AP126" s="552" t="n"/>
      <c r="AQ126" s="552" t="n"/>
      <c r="AR126" s="552" t="n"/>
      <c r="AS126" s="552" t="n"/>
      <c r="AT126" s="552" t="n"/>
      <c r="AU126" s="551" t="n"/>
      <c r="AV126" s="551" t="n"/>
      <c r="AZ126" s="7" t="n"/>
      <c r="BE126" s="57" t="n"/>
      <c r="BG126" s="10" t="n"/>
      <c r="BL126" s="58" t="n"/>
      <c r="BN126" s="388" t="n"/>
      <c r="BP126" s="552" t="n"/>
      <c r="BQ126" s="552" t="n"/>
      <c r="BR126" s="552" t="n"/>
      <c r="BS126" s="552" t="n"/>
      <c r="BT126" s="552" t="n"/>
      <c r="BU126" s="552" t="n"/>
      <c r="BV126" s="552" t="n"/>
      <c r="BW126" s="552" t="n"/>
      <c r="BX126" s="552" t="n"/>
      <c r="BY126" s="551" t="n"/>
      <c r="BZ126" s="551" t="n"/>
    </row>
    <row r="127" ht="2.25" customHeight="1">
      <c r="B127" s="388" t="n"/>
      <c r="C127" s="494" t="n"/>
      <c r="I127" s="388" t="n"/>
      <c r="K127" s="552" t="n"/>
      <c r="L127" s="552" t="n"/>
      <c r="M127" s="552" t="n"/>
      <c r="N127" s="552" t="n"/>
      <c r="O127" s="552" t="n"/>
      <c r="P127" s="552" t="n"/>
      <c r="Q127" s="552" t="n"/>
      <c r="R127" s="552" t="n"/>
      <c r="S127" s="552" t="n"/>
      <c r="T127" s="551" t="n"/>
      <c r="U127" s="551" t="n"/>
      <c r="Y127" s="7" t="n"/>
      <c r="AD127" s="494" t="n"/>
      <c r="AJ127" s="388" t="n"/>
      <c r="AL127" s="552" t="n"/>
      <c r="AM127" s="552" t="n"/>
      <c r="AN127" s="552" t="n"/>
      <c r="AO127" s="552" t="n"/>
      <c r="AP127" s="552" t="n"/>
      <c r="AQ127" s="552" t="n"/>
      <c r="AR127" s="552" t="n"/>
      <c r="AS127" s="552" t="n"/>
      <c r="AT127" s="552" t="n"/>
      <c r="AU127" s="551" t="n"/>
      <c r="AV127" s="551" t="n"/>
      <c r="AZ127" s="7" t="n"/>
      <c r="BE127" s="57" t="n"/>
      <c r="BG127" s="10" t="n"/>
      <c r="BL127" s="58" t="n"/>
      <c r="BN127" s="388" t="n"/>
      <c r="BP127" s="552" t="n"/>
      <c r="BQ127" s="552" t="n"/>
      <c r="BR127" s="552" t="n"/>
      <c r="BS127" s="552" t="n"/>
      <c r="BT127" s="552" t="n"/>
      <c r="BU127" s="552" t="n"/>
      <c r="BV127" s="552" t="n"/>
      <c r="BW127" s="552" t="n"/>
      <c r="BX127" s="552" t="n"/>
      <c r="BY127" s="551" t="n"/>
      <c r="BZ127" s="551" t="n"/>
    </row>
    <row r="128" hidden="1" ht="3" customHeight="1">
      <c r="B128" s="388" t="n"/>
      <c r="C128" s="494" t="n"/>
      <c r="I128" s="388" t="n"/>
      <c r="K128" s="552" t="n"/>
      <c r="L128" s="552" t="n"/>
      <c r="M128" s="552" t="n"/>
      <c r="N128" s="552" t="n"/>
      <c r="O128" s="552" t="n"/>
      <c r="P128" s="552" t="n"/>
      <c r="Q128" s="552" t="n"/>
      <c r="R128" s="552" t="n"/>
      <c r="S128" s="552" t="n"/>
      <c r="T128" s="551" t="n"/>
      <c r="U128" s="551" t="n"/>
      <c r="Y128" s="7" t="n"/>
      <c r="AD128" s="494" t="n"/>
      <c r="AJ128" s="388" t="n"/>
      <c r="AL128" s="552" t="n"/>
      <c r="AM128" s="552" t="n"/>
      <c r="AN128" s="552" t="n"/>
      <c r="AO128" s="552" t="n"/>
      <c r="AP128" s="552" t="n"/>
      <c r="AQ128" s="552" t="n"/>
      <c r="AR128" s="552" t="n"/>
      <c r="AS128" s="552" t="n"/>
      <c r="AT128" s="552" t="n"/>
      <c r="AU128" s="551" t="n"/>
      <c r="AV128" s="551" t="n"/>
      <c r="AZ128" s="7" t="n"/>
      <c r="BE128" s="57" t="n"/>
      <c r="BG128" s="10" t="n"/>
      <c r="BL128" s="58" t="n"/>
      <c r="BN128" s="388" t="n"/>
      <c r="BP128" s="552" t="n"/>
      <c r="BQ128" s="552" t="n"/>
      <c r="BR128" s="552" t="n"/>
      <c r="BS128" s="552" t="n"/>
      <c r="BT128" s="552" t="n"/>
      <c r="BU128" s="552" t="n"/>
      <c r="BV128" s="552" t="n"/>
      <c r="BW128" s="552" t="n"/>
      <c r="BX128" s="552" t="n"/>
      <c r="BY128" s="551" t="n"/>
      <c r="BZ128" s="551" t="n"/>
    </row>
    <row r="129" ht="3" customHeight="1">
      <c r="B129" s="388" t="n"/>
      <c r="C129" s="507" t="n"/>
      <c r="D129" s="25" t="n"/>
      <c r="E129" s="448" t="n"/>
      <c r="F129" s="19" t="n"/>
      <c r="G129" s="448" t="n"/>
      <c r="H129" s="19" t="n"/>
      <c r="I129" s="25" t="n"/>
      <c r="J129" s="19" t="n"/>
      <c r="K129" s="553" t="n"/>
      <c r="L129" s="553" t="n"/>
      <c r="M129" s="553" t="n"/>
      <c r="N129" s="553" t="n"/>
      <c r="O129" s="553" t="n"/>
      <c r="P129" s="553" t="n"/>
      <c r="Q129" s="553" t="n"/>
      <c r="R129" s="553" t="n"/>
      <c r="S129" s="553" t="n"/>
      <c r="T129" s="19" t="n"/>
      <c r="U129" s="19" t="n"/>
      <c r="V129" s="19" t="n"/>
      <c r="W129" s="19" t="n"/>
      <c r="X129" s="19" t="n"/>
      <c r="Y129" s="27" t="n"/>
      <c r="AD129" s="507" t="n"/>
      <c r="AE129" s="25" t="n"/>
      <c r="AF129" s="448" t="n"/>
      <c r="AG129" s="19" t="n"/>
      <c r="AH129" s="448" t="n"/>
      <c r="AI129" s="19" t="n"/>
      <c r="AJ129" s="25" t="n"/>
      <c r="AK129" s="19" t="n"/>
      <c r="AL129" s="553" t="n"/>
      <c r="AM129" s="553" t="n"/>
      <c r="AN129" s="553" t="n"/>
      <c r="AO129" s="553" t="n"/>
      <c r="AP129" s="553" t="n"/>
      <c r="AQ129" s="553" t="n"/>
      <c r="AR129" s="553" t="n"/>
      <c r="AS129" s="553" t="n"/>
      <c r="AT129" s="553" t="n"/>
      <c r="AU129" s="19" t="n"/>
      <c r="AV129" s="19" t="n"/>
      <c r="AW129" s="19" t="n"/>
      <c r="AX129" s="19" t="n"/>
      <c r="AY129" s="19" t="n"/>
      <c r="AZ129" s="27" t="n"/>
      <c r="BE129" s="57" t="n"/>
      <c r="BF129" s="388" t="n"/>
      <c r="BG129" s="10" t="n"/>
      <c r="BL129" s="58" t="n"/>
      <c r="BN129" s="388" t="n"/>
      <c r="BP129" s="552" t="n"/>
      <c r="BQ129" s="552" t="n"/>
      <c r="BR129" s="552" t="n"/>
      <c r="BS129" s="552" t="n"/>
      <c r="BT129" s="552" t="n"/>
      <c r="BU129" s="552" t="n"/>
      <c r="BV129" s="552" t="n"/>
      <c r="BW129" s="552" t="n"/>
      <c r="BX129" s="552" t="n"/>
    </row>
    <row r="130" ht="15" customHeight="1" thickBot="1">
      <c r="B130" s="388" t="n"/>
      <c r="C130" s="28" t="n"/>
      <c r="D130" s="388" t="n"/>
      <c r="E130" s="10" t="n"/>
      <c r="G130" s="391" t="n"/>
      <c r="I130" s="388" t="n"/>
      <c r="K130" s="552" t="n"/>
      <c r="L130" s="552" t="n"/>
      <c r="M130" s="552" t="n"/>
      <c r="N130" s="552" t="n"/>
      <c r="O130" s="552" t="n"/>
      <c r="P130" s="552" t="n"/>
      <c r="Q130" s="552" t="n"/>
      <c r="R130" s="552" t="n"/>
      <c r="S130" s="552" t="n"/>
      <c r="AD130" s="28" t="n"/>
      <c r="AE130" s="388" t="n"/>
      <c r="AF130" s="10" t="n"/>
      <c r="AH130" s="391" t="n"/>
      <c r="AJ130" s="388" t="n"/>
      <c r="AL130" s="552" t="n"/>
      <c r="AM130" s="552" t="n"/>
      <c r="AN130" s="552" t="n"/>
      <c r="AO130" s="552" t="n"/>
      <c r="AP130" s="552" t="n"/>
      <c r="AQ130" s="552" t="n"/>
      <c r="AR130" s="552" t="n"/>
      <c r="AS130" s="552" t="n"/>
      <c r="AT130" s="552" t="n"/>
      <c r="BE130" s="28" t="n"/>
      <c r="BF130" s="388" t="n"/>
      <c r="BG130" s="10" t="n"/>
      <c r="BL130" s="391" t="n"/>
      <c r="BN130" s="388" t="n"/>
      <c r="BP130" s="552" t="n"/>
      <c r="BQ130" s="552" t="n"/>
      <c r="BR130" s="552" t="n"/>
      <c r="BS130" s="552" t="n"/>
      <c r="BT130" s="552" t="n"/>
      <c r="BU130" s="552" t="n"/>
      <c r="BV130" s="552" t="n"/>
      <c r="BW130" s="552" t="n"/>
      <c r="BX130" s="552" t="n"/>
    </row>
    <row r="131" ht="12.95" customHeight="1" thickBot="1">
      <c r="C131" s="554" t="inlineStr">
        <is>
          <t>PARCELAS CONFORME O CONTRATO</t>
        </is>
      </c>
      <c r="D131" s="441" t="n"/>
      <c r="E131" s="441" t="n"/>
      <c r="F131" s="441" t="n"/>
      <c r="G131" s="441" t="n"/>
      <c r="H131" s="441" t="n"/>
      <c r="I131" s="441" t="n"/>
      <c r="J131" s="441" t="n"/>
      <c r="K131" s="441" t="n"/>
      <c r="L131" s="441" t="n"/>
      <c r="M131" s="441" t="n"/>
      <c r="N131" s="441" t="n"/>
      <c r="O131" s="441" t="n"/>
      <c r="P131" s="441" t="n"/>
      <c r="Q131" s="441" t="n"/>
      <c r="R131" s="441" t="n"/>
      <c r="S131" s="441" t="n"/>
      <c r="T131" s="441" t="n"/>
      <c r="U131" s="441" t="n"/>
      <c r="V131" s="441" t="n"/>
      <c r="W131" s="441" t="n"/>
      <c r="X131" s="441" t="n"/>
      <c r="Y131" s="444" t="n"/>
      <c r="Z131" s="65" t="n"/>
      <c r="AA131" s="65" t="n"/>
      <c r="AB131" s="65" t="n"/>
      <c r="AC131" s="65" t="n"/>
      <c r="AD131" s="555" t="inlineStr">
        <is>
          <t>PARCELAS RECALCULADAS</t>
        </is>
      </c>
      <c r="AE131" s="437" t="n"/>
      <c r="AF131" s="437" t="n"/>
      <c r="AG131" s="437" t="n"/>
      <c r="AH131" s="437" t="n"/>
      <c r="AI131" s="437" t="n"/>
      <c r="AJ131" s="437" t="n"/>
      <c r="AK131" s="437" t="n"/>
      <c r="AL131" s="437" t="n"/>
      <c r="AM131" s="437" t="n"/>
      <c r="AN131" s="437" t="n"/>
      <c r="AO131" s="437" t="n"/>
      <c r="AP131" s="437" t="n"/>
      <c r="AQ131" s="437" t="n"/>
      <c r="AR131" s="437" t="n"/>
      <c r="AS131" s="437" t="n"/>
      <c r="AT131" s="437" t="n"/>
      <c r="AU131" s="437" t="n"/>
      <c r="AV131" s="437" t="n"/>
      <c r="AW131" s="437" t="n"/>
      <c r="AX131" s="437" t="n"/>
      <c r="AY131" s="437" t="n"/>
      <c r="AZ131" s="438" t="n"/>
      <c r="BA131" s="65" t="n"/>
      <c r="BB131" s="65" t="n"/>
      <c r="BC131" s="65" t="n"/>
      <c r="BD131" s="65" t="n"/>
      <c r="BE131" s="555" t="inlineStr">
        <is>
          <t>VALORES PAGOS PELO CLIENTE</t>
        </is>
      </c>
      <c r="BF131" s="437" t="n"/>
      <c r="BG131" s="437" t="n"/>
      <c r="BH131" s="437" t="n"/>
      <c r="BI131" s="437" t="n"/>
      <c r="BJ131" s="437" t="n"/>
      <c r="BK131" s="437" t="n"/>
      <c r="BL131" s="437" t="n"/>
      <c r="BM131" s="437" t="n"/>
      <c r="BN131" s="437" t="n"/>
      <c r="BO131" s="437" t="n"/>
      <c r="BP131" s="437" t="n"/>
      <c r="BQ131" s="437" t="n"/>
      <c r="BR131" s="437" t="n"/>
      <c r="BS131" s="437" t="n"/>
      <c r="BT131" s="437" t="n"/>
      <c r="BU131" s="437" t="n"/>
      <c r="BV131" s="437" t="n"/>
      <c r="BW131" s="437" t="n"/>
      <c r="BX131" s="437" t="n"/>
      <c r="BY131" s="437" t="n"/>
      <c r="BZ131" s="437" t="n"/>
      <c r="CA131" s="437" t="n"/>
      <c r="CB131" s="437" t="n"/>
      <c r="CC131" s="438" t="n"/>
      <c r="CI131" s="481" t="n"/>
    </row>
    <row r="132" ht="12.95" customHeight="1" thickBot="1">
      <c r="C132" s="69" t="inlineStr">
        <is>
          <t xml:space="preserve">Parcela </t>
        </is>
      </c>
      <c r="D132" s="399" t="inlineStr">
        <is>
          <t>Vencimento</t>
        </is>
      </c>
      <c r="E132" s="437" t="n"/>
      <c r="F132" s="437" t="n"/>
      <c r="G132" s="437" t="n"/>
      <c r="H132" s="437" t="n"/>
      <c r="I132" s="437" t="n"/>
      <c r="J132" s="437" t="n"/>
      <c r="K132" s="437" t="n"/>
      <c r="L132" s="437" t="n"/>
      <c r="M132" s="440" t="n"/>
      <c r="N132" s="400" t="inlineStr">
        <is>
          <t>Parcela cobrada</t>
        </is>
      </c>
      <c r="O132" s="437" t="n"/>
      <c r="P132" s="437" t="n"/>
      <c r="Q132" s="437" t="n"/>
      <c r="R132" s="437" t="n"/>
      <c r="S132" s="437" t="n"/>
      <c r="T132" s="437" t="n"/>
      <c r="U132" s="437" t="n"/>
      <c r="V132" s="437" t="n"/>
      <c r="W132" s="437" t="n"/>
      <c r="X132" s="437" t="n"/>
      <c r="Y132" s="440" t="n"/>
      <c r="Z132" s="65" t="n"/>
      <c r="AA132" s="65" t="n"/>
      <c r="AB132" s="65" t="n"/>
      <c r="AC132" s="65" t="n"/>
      <c r="AD132" s="69" t="inlineStr">
        <is>
          <t xml:space="preserve">Parcela </t>
        </is>
      </c>
      <c r="AE132" s="399" t="inlineStr">
        <is>
          <t>Vencimento</t>
        </is>
      </c>
      <c r="AF132" s="437" t="n"/>
      <c r="AG132" s="437" t="n"/>
      <c r="AH132" s="437" t="n"/>
      <c r="AI132" s="437" t="n"/>
      <c r="AJ132" s="437" t="n"/>
      <c r="AK132" s="437" t="n"/>
      <c r="AL132" s="437" t="n"/>
      <c r="AM132" s="437" t="n"/>
      <c r="AN132" s="440" t="n"/>
      <c r="AO132" s="400" t="inlineStr">
        <is>
          <t>Parcela recalculada</t>
        </is>
      </c>
      <c r="AP132" s="437" t="n"/>
      <c r="AQ132" s="437" t="n"/>
      <c r="AR132" s="437" t="n"/>
      <c r="AS132" s="437" t="n"/>
      <c r="AT132" s="437" t="n"/>
      <c r="AU132" s="437" t="n"/>
      <c r="AV132" s="437" t="n"/>
      <c r="AW132" s="437" t="n"/>
      <c r="AX132" s="437" t="n"/>
      <c r="AY132" s="437" t="n"/>
      <c r="AZ132" s="440" t="n"/>
      <c r="BA132" s="65" t="n"/>
      <c r="BB132" s="65" t="n"/>
      <c r="BC132" s="65" t="n"/>
      <c r="BD132" s="65" t="n"/>
      <c r="BE132" s="69" t="inlineStr">
        <is>
          <t xml:space="preserve">Parcela </t>
        </is>
      </c>
      <c r="BF132" s="399" t="inlineStr">
        <is>
          <t>Vencimento</t>
        </is>
      </c>
      <c r="BG132" s="437" t="n"/>
      <c r="BH132" s="437" t="n"/>
      <c r="BI132" s="437" t="n"/>
      <c r="BJ132" s="437" t="n"/>
      <c r="BK132" s="437" t="n"/>
      <c r="BL132" s="437" t="n"/>
      <c r="BM132" s="437" t="n"/>
      <c r="BN132" s="437" t="n"/>
      <c r="BO132" s="440" t="n"/>
      <c r="BP132" s="401" t="inlineStr">
        <is>
          <t>Valor pago</t>
        </is>
      </c>
      <c r="BQ132" s="437" t="n"/>
      <c r="BR132" s="437" t="n"/>
      <c r="BS132" s="437" t="n"/>
      <c r="BT132" s="437" t="n"/>
      <c r="BU132" s="437" t="n"/>
      <c r="BV132" s="437" t="n"/>
      <c r="BW132" s="437" t="n"/>
      <c r="BX132" s="437" t="n"/>
      <c r="BY132" s="437" t="n"/>
      <c r="BZ132" s="437" t="n"/>
      <c r="CA132" s="437" t="n"/>
      <c r="CB132" s="437" t="n"/>
      <c r="CC132" s="438" t="n"/>
      <c r="CI132" s="481" t="n"/>
    </row>
    <row r="133" ht="12.95" customHeight="1">
      <c r="C133" s="68" t="n">
        <v>1</v>
      </c>
      <c r="D133" s="556">
        <f>IF(C133&lt;=$I$16, $D$6, "")</f>
        <v/>
      </c>
      <c r="E133" s="448" t="n"/>
      <c r="F133" s="448" t="n"/>
      <c r="G133" s="448" t="n"/>
      <c r="H133" s="448" t="n"/>
      <c r="I133" s="448" t="n"/>
      <c r="J133" s="448" t="n"/>
      <c r="K133" s="448" t="n"/>
      <c r="L133" s="448" t="n"/>
      <c r="M133" s="449" t="n"/>
      <c r="N133" s="557">
        <f>IF(C133&lt;=$I$16, $I$17, "")</f>
        <v/>
      </c>
      <c r="O133" s="448" t="n"/>
      <c r="P133" s="448" t="n"/>
      <c r="Q133" s="448" t="n"/>
      <c r="R133" s="448" t="n"/>
      <c r="S133" s="448" t="n"/>
      <c r="T133" s="448" t="n"/>
      <c r="U133" s="448" t="n"/>
      <c r="V133" s="448" t="n"/>
      <c r="W133" s="448" t="n"/>
      <c r="X133" s="448" t="n"/>
      <c r="Y133" s="449" t="n"/>
      <c r="Z133" s="65" t="n"/>
      <c r="AA133" s="65" t="n"/>
      <c r="AB133" s="65" t="n"/>
      <c r="AC133" s="65" t="n"/>
      <c r="AD133" s="68" t="n">
        <v>1</v>
      </c>
      <c r="AE133" s="556">
        <f>D133</f>
        <v/>
      </c>
      <c r="AF133" s="448" t="n"/>
      <c r="AG133" s="448" t="n"/>
      <c r="AH133" s="448" t="n"/>
      <c r="AI133" s="448" t="n"/>
      <c r="AJ133" s="448" t="n"/>
      <c r="AK133" s="448" t="n"/>
      <c r="AL133" s="448" t="n"/>
      <c r="AM133" s="448" t="n"/>
      <c r="AN133" s="449" t="n"/>
      <c r="AO133" s="557">
        <f>AH122</f>
        <v/>
      </c>
      <c r="AP133" s="448" t="n"/>
      <c r="AQ133" s="448" t="n"/>
      <c r="AR133" s="448" t="n"/>
      <c r="AS133" s="448" t="n"/>
      <c r="AT133" s="448" t="n"/>
      <c r="AU133" s="448" t="n"/>
      <c r="AV133" s="448" t="n"/>
      <c r="AW133" s="448" t="n"/>
      <c r="AX133" s="448" t="n"/>
      <c r="AY133" s="448" t="n"/>
      <c r="AZ133" s="449" t="n"/>
      <c r="BA133" s="65" t="n"/>
      <c r="BB133" s="65" t="n"/>
      <c r="BC133" s="65" t="n"/>
      <c r="BD133" s="65" t="n"/>
      <c r="BE133" s="68" t="n">
        <v>1</v>
      </c>
      <c r="BF133" s="556">
        <f>AE133</f>
        <v/>
      </c>
      <c r="BG133" s="448" t="n"/>
      <c r="BH133" s="448" t="n"/>
      <c r="BI133" s="448" t="n"/>
      <c r="BJ133" s="448" t="n"/>
      <c r="BK133" s="448" t="n"/>
      <c r="BL133" s="448" t="n"/>
      <c r="BM133" s="448" t="n"/>
      <c r="BN133" s="448" t="n"/>
      <c r="BO133" s="449" t="n"/>
      <c r="BP133" s="557">
        <f>N133</f>
        <v/>
      </c>
      <c r="BQ133" s="448" t="n"/>
      <c r="BR133" s="448" t="n"/>
      <c r="BS133" s="448" t="n"/>
      <c r="BT133" s="448" t="n"/>
      <c r="BU133" s="448" t="n"/>
      <c r="BV133" s="448" t="n"/>
      <c r="BW133" s="448" t="n"/>
      <c r="BX133" s="448" t="n"/>
      <c r="BY133" s="448" t="n"/>
      <c r="BZ133" s="448" t="n"/>
      <c r="CA133" s="448" t="n"/>
      <c r="CB133" s="448" t="n"/>
      <c r="CC133" s="449" t="n"/>
      <c r="CI133" s="481" t="n"/>
    </row>
    <row r="134" ht="12.95" customHeight="1">
      <c r="C134" s="66" t="n">
        <v>2</v>
      </c>
      <c r="D134" s="558">
        <f>IF(C134&lt;=$I$16, EDATE($D$6, C134-1), "")</f>
        <v/>
      </c>
      <c r="E134" s="453" t="n"/>
      <c r="F134" s="453" t="n"/>
      <c r="G134" s="453" t="n"/>
      <c r="H134" s="453" t="n"/>
      <c r="I134" s="453" t="n"/>
      <c r="J134" s="453" t="n"/>
      <c r="K134" s="453" t="n"/>
      <c r="L134" s="453" t="n"/>
      <c r="M134" s="454" t="n"/>
      <c r="N134" s="559">
        <f>IF(C134&lt;=$I$16, $I$17, "")</f>
        <v/>
      </c>
      <c r="O134" s="453" t="n"/>
      <c r="P134" s="453" t="n"/>
      <c r="Q134" s="453" t="n"/>
      <c r="R134" s="453" t="n"/>
      <c r="S134" s="453" t="n"/>
      <c r="T134" s="453" t="n"/>
      <c r="U134" s="453" t="n"/>
      <c r="V134" s="453" t="n"/>
      <c r="W134" s="453" t="n"/>
      <c r="X134" s="453" t="n"/>
      <c r="Y134" s="454" t="n"/>
      <c r="Z134" s="65" t="n"/>
      <c r="AA134" s="65" t="n"/>
      <c r="AB134" s="65" t="n"/>
      <c r="AC134" s="65" t="n"/>
      <c r="AD134" s="66" t="n">
        <v>2</v>
      </c>
      <c r="AE134" s="558">
        <f>D134</f>
        <v/>
      </c>
      <c r="AF134" s="453" t="n"/>
      <c r="AG134" s="453" t="n"/>
      <c r="AH134" s="453" t="n"/>
      <c r="AI134" s="453" t="n"/>
      <c r="AJ134" s="453" t="n"/>
      <c r="AK134" s="453" t="n"/>
      <c r="AL134" s="453" t="n"/>
      <c r="AM134" s="453" t="n"/>
      <c r="AN134" s="454" t="n"/>
      <c r="AO134" s="559">
        <f>AO133</f>
        <v/>
      </c>
      <c r="AP134" s="453" t="n"/>
      <c r="AQ134" s="453" t="n"/>
      <c r="AR134" s="453" t="n"/>
      <c r="AS134" s="453" t="n"/>
      <c r="AT134" s="453" t="n"/>
      <c r="AU134" s="453" t="n"/>
      <c r="AV134" s="453" t="n"/>
      <c r="AW134" s="453" t="n"/>
      <c r="AX134" s="453" t="n"/>
      <c r="AY134" s="453" t="n"/>
      <c r="AZ134" s="454" t="n"/>
      <c r="BA134" s="65" t="n"/>
      <c r="BB134" s="65" t="n"/>
      <c r="BC134" s="65" t="n"/>
      <c r="BD134" s="65" t="n"/>
      <c r="BE134" s="66" t="n">
        <v>2</v>
      </c>
      <c r="BF134" s="558">
        <f>AE134</f>
        <v/>
      </c>
      <c r="BG134" s="453" t="n"/>
      <c r="BH134" s="453" t="n"/>
      <c r="BI134" s="453" t="n"/>
      <c r="BJ134" s="453" t="n"/>
      <c r="BK134" s="453" t="n"/>
      <c r="BL134" s="453" t="n"/>
      <c r="BM134" s="453" t="n"/>
      <c r="BN134" s="453" t="n"/>
      <c r="BO134" s="454" t="n"/>
      <c r="BP134" s="559">
        <f>BP133</f>
        <v/>
      </c>
      <c r="BQ134" s="453" t="n"/>
      <c r="BR134" s="453" t="n"/>
      <c r="BS134" s="453" t="n"/>
      <c r="BT134" s="453" t="n"/>
      <c r="BU134" s="453" t="n"/>
      <c r="BV134" s="453" t="n"/>
      <c r="BW134" s="453" t="n"/>
      <c r="BX134" s="453" t="n"/>
      <c r="BY134" s="453" t="n"/>
      <c r="BZ134" s="453" t="n"/>
      <c r="CA134" s="453" t="n"/>
      <c r="CB134" s="453" t="n"/>
      <c r="CC134" s="454" t="n"/>
      <c r="CI134" s="481" t="n"/>
    </row>
    <row r="135" ht="12.95" customHeight="1">
      <c r="C135" s="66" t="n">
        <v>3</v>
      </c>
      <c r="D135" s="558">
        <f>IF(C135&lt;=$I$16, EDATE($D$6, C135-1), "")</f>
        <v/>
      </c>
      <c r="E135" s="453" t="n"/>
      <c r="F135" s="453" t="n"/>
      <c r="G135" s="453" t="n"/>
      <c r="H135" s="453" t="n"/>
      <c r="I135" s="453" t="n"/>
      <c r="J135" s="453" t="n"/>
      <c r="K135" s="453" t="n"/>
      <c r="L135" s="453" t="n"/>
      <c r="M135" s="454" t="n"/>
      <c r="N135" s="559">
        <f>IF(C135&lt;=$I$16, $I$17, "")</f>
        <v/>
      </c>
      <c r="O135" s="453" t="n"/>
      <c r="P135" s="453" t="n"/>
      <c r="Q135" s="453" t="n"/>
      <c r="R135" s="453" t="n"/>
      <c r="S135" s="453" t="n"/>
      <c r="T135" s="453" t="n"/>
      <c r="U135" s="453" t="n"/>
      <c r="V135" s="453" t="n"/>
      <c r="W135" s="453" t="n"/>
      <c r="X135" s="453" t="n"/>
      <c r="Y135" s="454" t="n"/>
      <c r="Z135" s="65" t="n"/>
      <c r="AA135" s="65" t="n"/>
      <c r="AB135" s="65" t="n"/>
      <c r="AC135" s="65" t="n"/>
      <c r="AD135" s="66" t="n">
        <v>3</v>
      </c>
      <c r="AE135" s="558">
        <f>D135</f>
        <v/>
      </c>
      <c r="AF135" s="453" t="n"/>
      <c r="AG135" s="453" t="n"/>
      <c r="AH135" s="453" t="n"/>
      <c r="AI135" s="453" t="n"/>
      <c r="AJ135" s="453" t="n"/>
      <c r="AK135" s="453" t="n"/>
      <c r="AL135" s="453" t="n"/>
      <c r="AM135" s="453" t="n"/>
      <c r="AN135" s="454" t="n"/>
      <c r="AO135" s="559">
        <f>AO134</f>
        <v/>
      </c>
      <c r="AP135" s="453" t="n"/>
      <c r="AQ135" s="453" t="n"/>
      <c r="AR135" s="453" t="n"/>
      <c r="AS135" s="453" t="n"/>
      <c r="AT135" s="453" t="n"/>
      <c r="AU135" s="453" t="n"/>
      <c r="AV135" s="453" t="n"/>
      <c r="AW135" s="453" t="n"/>
      <c r="AX135" s="453" t="n"/>
      <c r="AY135" s="453" t="n"/>
      <c r="AZ135" s="454" t="n"/>
      <c r="BA135" s="65" t="n"/>
      <c r="BB135" s="65" t="n"/>
      <c r="BC135" s="65" t="n"/>
      <c r="BD135" s="65" t="n"/>
      <c r="BE135" s="66" t="n">
        <v>3</v>
      </c>
      <c r="BF135" s="558">
        <f>AE135</f>
        <v/>
      </c>
      <c r="BG135" s="453" t="n"/>
      <c r="BH135" s="453" t="n"/>
      <c r="BI135" s="453" t="n"/>
      <c r="BJ135" s="453" t="n"/>
      <c r="BK135" s="453" t="n"/>
      <c r="BL135" s="453" t="n"/>
      <c r="BM135" s="453" t="n"/>
      <c r="BN135" s="453" t="n"/>
      <c r="BO135" s="454" t="n"/>
      <c r="BP135" s="559" t="n"/>
      <c r="BQ135" s="453" t="n"/>
      <c r="BR135" s="453" t="n"/>
      <c r="BS135" s="453" t="n"/>
      <c r="BT135" s="453" t="n"/>
      <c r="BU135" s="453" t="n"/>
      <c r="BV135" s="453" t="n"/>
      <c r="BW135" s="453" t="n"/>
      <c r="BX135" s="453" t="n"/>
      <c r="BY135" s="453" t="n"/>
      <c r="BZ135" s="453" t="n"/>
      <c r="CA135" s="453" t="n"/>
      <c r="CB135" s="453" t="n"/>
      <c r="CC135" s="454" t="n"/>
      <c r="CI135" s="481" t="n"/>
    </row>
    <row r="136" ht="12.95" customHeight="1">
      <c r="C136" s="66" t="n">
        <v>4</v>
      </c>
      <c r="D136" s="558">
        <f>IF(C136&lt;=$I$16, EDATE($D$6, C136-1), "")</f>
        <v/>
      </c>
      <c r="E136" s="453" t="n"/>
      <c r="F136" s="453" t="n"/>
      <c r="G136" s="453" t="n"/>
      <c r="H136" s="453" t="n"/>
      <c r="I136" s="453" t="n"/>
      <c r="J136" s="453" t="n"/>
      <c r="K136" s="453" t="n"/>
      <c r="L136" s="453" t="n"/>
      <c r="M136" s="454" t="n"/>
      <c r="N136" s="559">
        <f>IF(C136&lt;=$I$16, $I$17, "")</f>
        <v/>
      </c>
      <c r="O136" s="453" t="n"/>
      <c r="P136" s="453" t="n"/>
      <c r="Q136" s="453" t="n"/>
      <c r="R136" s="453" t="n"/>
      <c r="S136" s="453" t="n"/>
      <c r="T136" s="453" t="n"/>
      <c r="U136" s="453" t="n"/>
      <c r="V136" s="453" t="n"/>
      <c r="W136" s="453" t="n"/>
      <c r="X136" s="453" t="n"/>
      <c r="Y136" s="454" t="n"/>
      <c r="Z136" s="65" t="n"/>
      <c r="AA136" s="65" t="n"/>
      <c r="AB136" s="65" t="n"/>
      <c r="AC136" s="65" t="n"/>
      <c r="AD136" s="66" t="n">
        <v>4</v>
      </c>
      <c r="AE136" s="558">
        <f>D136</f>
        <v/>
      </c>
      <c r="AF136" s="453" t="n"/>
      <c r="AG136" s="453" t="n"/>
      <c r="AH136" s="453" t="n"/>
      <c r="AI136" s="453" t="n"/>
      <c r="AJ136" s="453" t="n"/>
      <c r="AK136" s="453" t="n"/>
      <c r="AL136" s="453" t="n"/>
      <c r="AM136" s="453" t="n"/>
      <c r="AN136" s="454" t="n"/>
      <c r="AO136" s="559">
        <f>AO135</f>
        <v/>
      </c>
      <c r="AP136" s="453" t="n"/>
      <c r="AQ136" s="453" t="n"/>
      <c r="AR136" s="453" t="n"/>
      <c r="AS136" s="453" t="n"/>
      <c r="AT136" s="453" t="n"/>
      <c r="AU136" s="453" t="n"/>
      <c r="AV136" s="453" t="n"/>
      <c r="AW136" s="453" t="n"/>
      <c r="AX136" s="453" t="n"/>
      <c r="AY136" s="453" t="n"/>
      <c r="AZ136" s="454" t="n"/>
      <c r="BA136" s="65" t="n"/>
      <c r="BB136" s="65" t="n"/>
      <c r="BC136" s="65" t="n"/>
      <c r="BD136" s="65" t="n"/>
      <c r="BE136" s="66" t="n">
        <v>4</v>
      </c>
      <c r="BF136" s="558">
        <f>AE136</f>
        <v/>
      </c>
      <c r="BG136" s="453" t="n"/>
      <c r="BH136" s="453" t="n"/>
      <c r="BI136" s="453" t="n"/>
      <c r="BJ136" s="453" t="n"/>
      <c r="BK136" s="453" t="n"/>
      <c r="BL136" s="453" t="n"/>
      <c r="BM136" s="453" t="n"/>
      <c r="BN136" s="453" t="n"/>
      <c r="BO136" s="454" t="n"/>
      <c r="BP136" s="559" t="n"/>
      <c r="BQ136" s="453" t="n"/>
      <c r="BR136" s="453" t="n"/>
      <c r="BS136" s="453" t="n"/>
      <c r="BT136" s="453" t="n"/>
      <c r="BU136" s="453" t="n"/>
      <c r="BV136" s="453" t="n"/>
      <c r="BW136" s="453" t="n"/>
      <c r="BX136" s="453" t="n"/>
      <c r="BY136" s="453" t="n"/>
      <c r="BZ136" s="453" t="n"/>
      <c r="CA136" s="453" t="n"/>
      <c r="CB136" s="453" t="n"/>
      <c r="CC136" s="454" t="n"/>
      <c r="CI136" s="481" t="n"/>
    </row>
    <row r="137" ht="12.95" customHeight="1">
      <c r="C137" s="66" t="n">
        <v>5</v>
      </c>
      <c r="D137" s="558">
        <f>IF(C137&lt;=$I$16, EDATE($D$6, C137-1), "")</f>
        <v/>
      </c>
      <c r="E137" s="453" t="n"/>
      <c r="F137" s="453" t="n"/>
      <c r="G137" s="453" t="n"/>
      <c r="H137" s="453" t="n"/>
      <c r="I137" s="453" t="n"/>
      <c r="J137" s="453" t="n"/>
      <c r="K137" s="453" t="n"/>
      <c r="L137" s="453" t="n"/>
      <c r="M137" s="454" t="n"/>
      <c r="N137" s="559">
        <f>IF(C137&lt;=$I$16, $I$17, "")</f>
        <v/>
      </c>
      <c r="O137" s="453" t="n"/>
      <c r="P137" s="453" t="n"/>
      <c r="Q137" s="453" t="n"/>
      <c r="R137" s="453" t="n"/>
      <c r="S137" s="453" t="n"/>
      <c r="T137" s="453" t="n"/>
      <c r="U137" s="453" t="n"/>
      <c r="V137" s="453" t="n"/>
      <c r="W137" s="453" t="n"/>
      <c r="X137" s="453" t="n"/>
      <c r="Y137" s="454" t="n"/>
      <c r="Z137" s="65" t="n"/>
      <c r="AA137" s="65" t="n"/>
      <c r="AB137" s="65" t="n"/>
      <c r="AC137" s="65" t="n"/>
      <c r="AD137" s="66" t="n">
        <v>5</v>
      </c>
      <c r="AE137" s="558">
        <f>D137</f>
        <v/>
      </c>
      <c r="AF137" s="453" t="n"/>
      <c r="AG137" s="453" t="n"/>
      <c r="AH137" s="453" t="n"/>
      <c r="AI137" s="453" t="n"/>
      <c r="AJ137" s="453" t="n"/>
      <c r="AK137" s="453" t="n"/>
      <c r="AL137" s="453" t="n"/>
      <c r="AM137" s="453" t="n"/>
      <c r="AN137" s="454" t="n"/>
      <c r="AO137" s="559">
        <f>AO136</f>
        <v/>
      </c>
      <c r="AP137" s="453" t="n"/>
      <c r="AQ137" s="453" t="n"/>
      <c r="AR137" s="453" t="n"/>
      <c r="AS137" s="453" t="n"/>
      <c r="AT137" s="453" t="n"/>
      <c r="AU137" s="453" t="n"/>
      <c r="AV137" s="453" t="n"/>
      <c r="AW137" s="453" t="n"/>
      <c r="AX137" s="453" t="n"/>
      <c r="AY137" s="453" t="n"/>
      <c r="AZ137" s="454" t="n"/>
      <c r="BA137" s="65" t="n"/>
      <c r="BB137" s="65" t="n"/>
      <c r="BC137" s="65" t="n"/>
      <c r="BD137" s="65" t="n"/>
      <c r="BE137" s="66" t="n">
        <v>5</v>
      </c>
      <c r="BF137" s="558">
        <f>AE137</f>
        <v/>
      </c>
      <c r="BG137" s="453" t="n"/>
      <c r="BH137" s="453" t="n"/>
      <c r="BI137" s="453" t="n"/>
      <c r="BJ137" s="453" t="n"/>
      <c r="BK137" s="453" t="n"/>
      <c r="BL137" s="453" t="n"/>
      <c r="BM137" s="453" t="n"/>
      <c r="BN137" s="453" t="n"/>
      <c r="BO137" s="454" t="n"/>
      <c r="BP137" s="407" t="n"/>
      <c r="BQ137" s="453" t="n"/>
      <c r="BR137" s="453" t="n"/>
      <c r="BS137" s="453" t="n"/>
      <c r="BT137" s="453" t="n"/>
      <c r="BU137" s="453" t="n"/>
      <c r="BV137" s="453" t="n"/>
      <c r="BW137" s="453" t="n"/>
      <c r="BX137" s="453" t="n"/>
      <c r="BY137" s="453" t="n"/>
      <c r="BZ137" s="453" t="n"/>
      <c r="CA137" s="453" t="n"/>
      <c r="CB137" s="453" t="n"/>
      <c r="CC137" s="454" t="n"/>
      <c r="CI137" s="481" t="n"/>
    </row>
    <row r="138" ht="12.95" customHeight="1">
      <c r="C138" s="66" t="n">
        <v>6</v>
      </c>
      <c r="D138" s="558">
        <f>IF(C138&lt;=$I$16, EDATE($D$6, C138-1), "")</f>
        <v/>
      </c>
      <c r="E138" s="453" t="n"/>
      <c r="F138" s="453" t="n"/>
      <c r="G138" s="453" t="n"/>
      <c r="H138" s="453" t="n"/>
      <c r="I138" s="453" t="n"/>
      <c r="J138" s="453" t="n"/>
      <c r="K138" s="453" t="n"/>
      <c r="L138" s="453" t="n"/>
      <c r="M138" s="454" t="n"/>
      <c r="N138" s="559">
        <f>IF(C138&lt;=$I$16, $I$17, "")</f>
        <v/>
      </c>
      <c r="O138" s="453" t="n"/>
      <c r="P138" s="453" t="n"/>
      <c r="Q138" s="453" t="n"/>
      <c r="R138" s="453" t="n"/>
      <c r="S138" s="453" t="n"/>
      <c r="T138" s="453" t="n"/>
      <c r="U138" s="453" t="n"/>
      <c r="V138" s="453" t="n"/>
      <c r="W138" s="453" t="n"/>
      <c r="X138" s="453" t="n"/>
      <c r="Y138" s="454" t="n"/>
      <c r="Z138" s="65" t="n"/>
      <c r="AA138" s="65" t="n"/>
      <c r="AB138" s="65" t="n"/>
      <c r="AC138" s="65" t="n"/>
      <c r="AD138" s="66" t="n">
        <v>6</v>
      </c>
      <c r="AE138" s="558">
        <f>D138</f>
        <v/>
      </c>
      <c r="AF138" s="453" t="n"/>
      <c r="AG138" s="453" t="n"/>
      <c r="AH138" s="453" t="n"/>
      <c r="AI138" s="453" t="n"/>
      <c r="AJ138" s="453" t="n"/>
      <c r="AK138" s="453" t="n"/>
      <c r="AL138" s="453" t="n"/>
      <c r="AM138" s="453" t="n"/>
      <c r="AN138" s="454" t="n"/>
      <c r="AO138" s="559">
        <f>AO137</f>
        <v/>
      </c>
      <c r="AP138" s="453" t="n"/>
      <c r="AQ138" s="453" t="n"/>
      <c r="AR138" s="453" t="n"/>
      <c r="AS138" s="453" t="n"/>
      <c r="AT138" s="453" t="n"/>
      <c r="AU138" s="453" t="n"/>
      <c r="AV138" s="453" t="n"/>
      <c r="AW138" s="453" t="n"/>
      <c r="AX138" s="453" t="n"/>
      <c r="AY138" s="453" t="n"/>
      <c r="AZ138" s="454" t="n"/>
      <c r="BA138" s="65" t="n"/>
      <c r="BB138" s="65" t="n"/>
      <c r="BC138" s="65" t="n"/>
      <c r="BD138" s="65" t="n"/>
      <c r="BE138" s="66" t="n">
        <v>6</v>
      </c>
      <c r="BF138" s="558">
        <f>AE138</f>
        <v/>
      </c>
      <c r="BG138" s="453" t="n"/>
      <c r="BH138" s="453" t="n"/>
      <c r="BI138" s="453" t="n"/>
      <c r="BJ138" s="453" t="n"/>
      <c r="BK138" s="453" t="n"/>
      <c r="BL138" s="453" t="n"/>
      <c r="BM138" s="453" t="n"/>
      <c r="BN138" s="453" t="n"/>
      <c r="BO138" s="454" t="n"/>
      <c r="BP138" s="407" t="n"/>
      <c r="BQ138" s="453" t="n"/>
      <c r="BR138" s="453" t="n"/>
      <c r="BS138" s="453" t="n"/>
      <c r="BT138" s="453" t="n"/>
      <c r="BU138" s="453" t="n"/>
      <c r="BV138" s="453" t="n"/>
      <c r="BW138" s="453" t="n"/>
      <c r="BX138" s="453" t="n"/>
      <c r="BY138" s="453" t="n"/>
      <c r="BZ138" s="453" t="n"/>
      <c r="CA138" s="453" t="n"/>
      <c r="CB138" s="453" t="n"/>
      <c r="CC138" s="454" t="n"/>
      <c r="CI138" s="481" t="n"/>
    </row>
    <row r="139" ht="12.95" customHeight="1">
      <c r="C139" s="66" t="n">
        <v>7</v>
      </c>
      <c r="D139" s="558">
        <f>IF(C139&lt;=$I$16, EDATE($D$6, C139-1), "")</f>
        <v/>
      </c>
      <c r="E139" s="453" t="n"/>
      <c r="F139" s="453" t="n"/>
      <c r="G139" s="453" t="n"/>
      <c r="H139" s="453" t="n"/>
      <c r="I139" s="453" t="n"/>
      <c r="J139" s="453" t="n"/>
      <c r="K139" s="453" t="n"/>
      <c r="L139" s="453" t="n"/>
      <c r="M139" s="454" t="n"/>
      <c r="N139" s="559">
        <f>IF(C139&lt;=$I$16, $I$17, "")</f>
        <v/>
      </c>
      <c r="O139" s="453" t="n"/>
      <c r="P139" s="453" t="n"/>
      <c r="Q139" s="453" t="n"/>
      <c r="R139" s="453" t="n"/>
      <c r="S139" s="453" t="n"/>
      <c r="T139" s="453" t="n"/>
      <c r="U139" s="453" t="n"/>
      <c r="V139" s="453" t="n"/>
      <c r="W139" s="453" t="n"/>
      <c r="X139" s="453" t="n"/>
      <c r="Y139" s="454" t="n"/>
      <c r="Z139" s="65" t="n"/>
      <c r="AA139" s="65" t="n"/>
      <c r="AB139" s="65" t="n"/>
      <c r="AC139" s="65" t="n"/>
      <c r="AD139" s="66" t="n">
        <v>7</v>
      </c>
      <c r="AE139" s="558">
        <f>D139</f>
        <v/>
      </c>
      <c r="AF139" s="453" t="n"/>
      <c r="AG139" s="453" t="n"/>
      <c r="AH139" s="453" t="n"/>
      <c r="AI139" s="453" t="n"/>
      <c r="AJ139" s="453" t="n"/>
      <c r="AK139" s="453" t="n"/>
      <c r="AL139" s="453" t="n"/>
      <c r="AM139" s="453" t="n"/>
      <c r="AN139" s="454" t="n"/>
      <c r="AO139" s="559">
        <f>AO138</f>
        <v/>
      </c>
      <c r="AP139" s="453" t="n"/>
      <c r="AQ139" s="453" t="n"/>
      <c r="AR139" s="453" t="n"/>
      <c r="AS139" s="453" t="n"/>
      <c r="AT139" s="453" t="n"/>
      <c r="AU139" s="453" t="n"/>
      <c r="AV139" s="453" t="n"/>
      <c r="AW139" s="453" t="n"/>
      <c r="AX139" s="453" t="n"/>
      <c r="AY139" s="453" t="n"/>
      <c r="AZ139" s="454" t="n"/>
      <c r="BA139" s="65" t="n"/>
      <c r="BB139" s="65" t="n"/>
      <c r="BC139" s="65" t="n"/>
      <c r="BD139" s="65" t="n"/>
      <c r="BE139" s="66" t="n">
        <v>7</v>
      </c>
      <c r="BF139" s="558">
        <f>AE139</f>
        <v/>
      </c>
      <c r="BG139" s="453" t="n"/>
      <c r="BH139" s="453" t="n"/>
      <c r="BI139" s="453" t="n"/>
      <c r="BJ139" s="453" t="n"/>
      <c r="BK139" s="453" t="n"/>
      <c r="BL139" s="453" t="n"/>
      <c r="BM139" s="453" t="n"/>
      <c r="BN139" s="453" t="n"/>
      <c r="BO139" s="454" t="n"/>
      <c r="BP139" s="407" t="n"/>
      <c r="BQ139" s="453" t="n"/>
      <c r="BR139" s="453" t="n"/>
      <c r="BS139" s="453" t="n"/>
      <c r="BT139" s="453" t="n"/>
      <c r="BU139" s="453" t="n"/>
      <c r="BV139" s="453" t="n"/>
      <c r="BW139" s="453" t="n"/>
      <c r="BX139" s="453" t="n"/>
      <c r="BY139" s="453" t="n"/>
      <c r="BZ139" s="453" t="n"/>
      <c r="CA139" s="453" t="n"/>
      <c r="CB139" s="453" t="n"/>
      <c r="CC139" s="454" t="n"/>
      <c r="CI139" s="481" t="n"/>
    </row>
    <row r="140" ht="12.95" customHeight="1">
      <c r="C140" s="66" t="n">
        <v>8</v>
      </c>
      <c r="D140" s="558">
        <f>IF(C140&lt;=$I$16, EDATE($D$6, C140-1), "")</f>
        <v/>
      </c>
      <c r="E140" s="453" t="n"/>
      <c r="F140" s="453" t="n"/>
      <c r="G140" s="453" t="n"/>
      <c r="H140" s="453" t="n"/>
      <c r="I140" s="453" t="n"/>
      <c r="J140" s="453" t="n"/>
      <c r="K140" s="453" t="n"/>
      <c r="L140" s="453" t="n"/>
      <c r="M140" s="454" t="n"/>
      <c r="N140" s="559">
        <f>IF(C140&lt;=$I$16, $I$17, "")</f>
        <v/>
      </c>
      <c r="O140" s="453" t="n"/>
      <c r="P140" s="453" t="n"/>
      <c r="Q140" s="453" t="n"/>
      <c r="R140" s="453" t="n"/>
      <c r="S140" s="453" t="n"/>
      <c r="T140" s="453" t="n"/>
      <c r="U140" s="453" t="n"/>
      <c r="V140" s="453" t="n"/>
      <c r="W140" s="453" t="n"/>
      <c r="X140" s="453" t="n"/>
      <c r="Y140" s="454" t="n"/>
      <c r="Z140" s="65" t="n"/>
      <c r="AA140" s="65" t="n"/>
      <c r="AB140" s="65" t="n"/>
      <c r="AC140" s="65" t="n"/>
      <c r="AD140" s="66" t="n">
        <v>8</v>
      </c>
      <c r="AE140" s="558">
        <f>D140</f>
        <v/>
      </c>
      <c r="AF140" s="453" t="n"/>
      <c r="AG140" s="453" t="n"/>
      <c r="AH140" s="453" t="n"/>
      <c r="AI140" s="453" t="n"/>
      <c r="AJ140" s="453" t="n"/>
      <c r="AK140" s="453" t="n"/>
      <c r="AL140" s="453" t="n"/>
      <c r="AM140" s="453" t="n"/>
      <c r="AN140" s="454" t="n"/>
      <c r="AO140" s="559">
        <f>AO139</f>
        <v/>
      </c>
      <c r="AP140" s="453" t="n"/>
      <c r="AQ140" s="453" t="n"/>
      <c r="AR140" s="453" t="n"/>
      <c r="AS140" s="453" t="n"/>
      <c r="AT140" s="453" t="n"/>
      <c r="AU140" s="453" t="n"/>
      <c r="AV140" s="453" t="n"/>
      <c r="AW140" s="453" t="n"/>
      <c r="AX140" s="453" t="n"/>
      <c r="AY140" s="453" t="n"/>
      <c r="AZ140" s="454" t="n"/>
      <c r="BA140" s="65" t="n"/>
      <c r="BB140" s="65" t="n"/>
      <c r="BC140" s="65" t="n"/>
      <c r="BD140" s="65" t="n"/>
      <c r="BE140" s="66" t="n">
        <v>8</v>
      </c>
      <c r="BF140" s="558">
        <f>AE140</f>
        <v/>
      </c>
      <c r="BG140" s="453" t="n"/>
      <c r="BH140" s="453" t="n"/>
      <c r="BI140" s="453" t="n"/>
      <c r="BJ140" s="453" t="n"/>
      <c r="BK140" s="453" t="n"/>
      <c r="BL140" s="453" t="n"/>
      <c r="BM140" s="453" t="n"/>
      <c r="BN140" s="453" t="n"/>
      <c r="BO140" s="454" t="n"/>
      <c r="BP140" s="407" t="n"/>
      <c r="BQ140" s="453" t="n"/>
      <c r="BR140" s="453" t="n"/>
      <c r="BS140" s="453" t="n"/>
      <c r="BT140" s="453" t="n"/>
      <c r="BU140" s="453" t="n"/>
      <c r="BV140" s="453" t="n"/>
      <c r="BW140" s="453" t="n"/>
      <c r="BX140" s="453" t="n"/>
      <c r="BY140" s="453" t="n"/>
      <c r="BZ140" s="453" t="n"/>
      <c r="CA140" s="453" t="n"/>
      <c r="CB140" s="453" t="n"/>
      <c r="CC140" s="454" t="n"/>
      <c r="CI140" s="481" t="n"/>
    </row>
    <row r="141" ht="12.95" customHeight="1">
      <c r="C141" s="66" t="n">
        <v>9</v>
      </c>
      <c r="D141" s="558">
        <f>IF(C141&lt;=$I$16, EDATE($D$6, C141-1), "")</f>
        <v/>
      </c>
      <c r="E141" s="453" t="n"/>
      <c r="F141" s="453" t="n"/>
      <c r="G141" s="453" t="n"/>
      <c r="H141" s="453" t="n"/>
      <c r="I141" s="453" t="n"/>
      <c r="J141" s="453" t="n"/>
      <c r="K141" s="453" t="n"/>
      <c r="L141" s="453" t="n"/>
      <c r="M141" s="454" t="n"/>
      <c r="N141" s="559">
        <f>IF(C141&lt;=$I$16, $I$17, "")</f>
        <v/>
      </c>
      <c r="O141" s="453" t="n"/>
      <c r="P141" s="453" t="n"/>
      <c r="Q141" s="453" t="n"/>
      <c r="R141" s="453" t="n"/>
      <c r="S141" s="453" t="n"/>
      <c r="T141" s="453" t="n"/>
      <c r="U141" s="453" t="n"/>
      <c r="V141" s="453" t="n"/>
      <c r="W141" s="453" t="n"/>
      <c r="X141" s="453" t="n"/>
      <c r="Y141" s="454" t="n"/>
      <c r="Z141" s="65" t="n"/>
      <c r="AA141" s="65" t="n"/>
      <c r="AB141" s="65" t="n"/>
      <c r="AC141" s="65" t="n"/>
      <c r="AD141" s="66" t="n">
        <v>9</v>
      </c>
      <c r="AE141" s="558">
        <f>D141</f>
        <v/>
      </c>
      <c r="AF141" s="453" t="n"/>
      <c r="AG141" s="453" t="n"/>
      <c r="AH141" s="453" t="n"/>
      <c r="AI141" s="453" t="n"/>
      <c r="AJ141" s="453" t="n"/>
      <c r="AK141" s="453" t="n"/>
      <c r="AL141" s="453" t="n"/>
      <c r="AM141" s="453" t="n"/>
      <c r="AN141" s="454" t="n"/>
      <c r="AO141" s="559">
        <f>AO140</f>
        <v/>
      </c>
      <c r="AP141" s="453" t="n"/>
      <c r="AQ141" s="453" t="n"/>
      <c r="AR141" s="453" t="n"/>
      <c r="AS141" s="453" t="n"/>
      <c r="AT141" s="453" t="n"/>
      <c r="AU141" s="453" t="n"/>
      <c r="AV141" s="453" t="n"/>
      <c r="AW141" s="453" t="n"/>
      <c r="AX141" s="453" t="n"/>
      <c r="AY141" s="453" t="n"/>
      <c r="AZ141" s="454" t="n"/>
      <c r="BA141" s="65" t="n"/>
      <c r="BB141" s="65" t="n"/>
      <c r="BC141" s="65" t="n"/>
      <c r="BD141" s="65" t="n"/>
      <c r="BE141" s="66" t="n">
        <v>9</v>
      </c>
      <c r="BF141" s="558">
        <f>AE141</f>
        <v/>
      </c>
      <c r="BG141" s="453" t="n"/>
      <c r="BH141" s="453" t="n"/>
      <c r="BI141" s="453" t="n"/>
      <c r="BJ141" s="453" t="n"/>
      <c r="BK141" s="453" t="n"/>
      <c r="BL141" s="453" t="n"/>
      <c r="BM141" s="453" t="n"/>
      <c r="BN141" s="453" t="n"/>
      <c r="BO141" s="454" t="n"/>
      <c r="BP141" s="407" t="n"/>
      <c r="BQ141" s="453" t="n"/>
      <c r="BR141" s="453" t="n"/>
      <c r="BS141" s="453" t="n"/>
      <c r="BT141" s="453" t="n"/>
      <c r="BU141" s="453" t="n"/>
      <c r="BV141" s="453" t="n"/>
      <c r="BW141" s="453" t="n"/>
      <c r="BX141" s="453" t="n"/>
      <c r="BY141" s="453" t="n"/>
      <c r="BZ141" s="453" t="n"/>
      <c r="CA141" s="453" t="n"/>
      <c r="CB141" s="453" t="n"/>
      <c r="CC141" s="454" t="n"/>
      <c r="CI141" s="481" t="n"/>
    </row>
    <row r="142" ht="12.95" customHeight="1">
      <c r="C142" s="66" t="n">
        <v>10</v>
      </c>
      <c r="D142" s="558">
        <f>IF(C142&lt;=$I$16, EDATE($D$6, C142-1), "")</f>
        <v/>
      </c>
      <c r="E142" s="453" t="n"/>
      <c r="F142" s="453" t="n"/>
      <c r="G142" s="453" t="n"/>
      <c r="H142" s="453" t="n"/>
      <c r="I142" s="453" t="n"/>
      <c r="J142" s="453" t="n"/>
      <c r="K142" s="453" t="n"/>
      <c r="L142" s="453" t="n"/>
      <c r="M142" s="454" t="n"/>
      <c r="N142" s="559">
        <f>IF(C142&lt;=$I$16, $I$17, "")</f>
        <v/>
      </c>
      <c r="O142" s="453" t="n"/>
      <c r="P142" s="453" t="n"/>
      <c r="Q142" s="453" t="n"/>
      <c r="R142" s="453" t="n"/>
      <c r="S142" s="453" t="n"/>
      <c r="T142" s="453" t="n"/>
      <c r="U142" s="453" t="n"/>
      <c r="V142" s="453" t="n"/>
      <c r="W142" s="453" t="n"/>
      <c r="X142" s="453" t="n"/>
      <c r="Y142" s="454" t="n"/>
      <c r="Z142" s="65" t="n"/>
      <c r="AA142" s="65" t="n"/>
      <c r="AB142" s="65" t="n"/>
      <c r="AC142" s="65" t="n"/>
      <c r="AD142" s="66" t="n">
        <v>10</v>
      </c>
      <c r="AE142" s="558">
        <f>D142</f>
        <v/>
      </c>
      <c r="AF142" s="453" t="n"/>
      <c r="AG142" s="453" t="n"/>
      <c r="AH142" s="453" t="n"/>
      <c r="AI142" s="453" t="n"/>
      <c r="AJ142" s="453" t="n"/>
      <c r="AK142" s="453" t="n"/>
      <c r="AL142" s="453" t="n"/>
      <c r="AM142" s="453" t="n"/>
      <c r="AN142" s="454" t="n"/>
      <c r="AO142" s="559">
        <f>AO141</f>
        <v/>
      </c>
      <c r="AP142" s="453" t="n"/>
      <c r="AQ142" s="453" t="n"/>
      <c r="AR142" s="453" t="n"/>
      <c r="AS142" s="453" t="n"/>
      <c r="AT142" s="453" t="n"/>
      <c r="AU142" s="453" t="n"/>
      <c r="AV142" s="453" t="n"/>
      <c r="AW142" s="453" t="n"/>
      <c r="AX142" s="453" t="n"/>
      <c r="AY142" s="453" t="n"/>
      <c r="AZ142" s="454" t="n"/>
      <c r="BA142" s="65" t="n"/>
      <c r="BB142" s="65" t="n"/>
      <c r="BC142" s="65" t="n"/>
      <c r="BD142" s="65" t="n"/>
      <c r="BE142" s="66" t="n">
        <v>10</v>
      </c>
      <c r="BF142" s="558">
        <f>AE142</f>
        <v/>
      </c>
      <c r="BG142" s="453" t="n"/>
      <c r="BH142" s="453" t="n"/>
      <c r="BI142" s="453" t="n"/>
      <c r="BJ142" s="453" t="n"/>
      <c r="BK142" s="453" t="n"/>
      <c r="BL142" s="453" t="n"/>
      <c r="BM142" s="453" t="n"/>
      <c r="BN142" s="453" t="n"/>
      <c r="BO142" s="454" t="n"/>
      <c r="BP142" s="407" t="n"/>
      <c r="BQ142" s="453" t="n"/>
      <c r="BR142" s="453" t="n"/>
      <c r="BS142" s="453" t="n"/>
      <c r="BT142" s="453" t="n"/>
      <c r="BU142" s="453" t="n"/>
      <c r="BV142" s="453" t="n"/>
      <c r="BW142" s="453" t="n"/>
      <c r="BX142" s="453" t="n"/>
      <c r="BY142" s="453" t="n"/>
      <c r="BZ142" s="453" t="n"/>
      <c r="CA142" s="453" t="n"/>
      <c r="CB142" s="453" t="n"/>
      <c r="CC142" s="454" t="n"/>
      <c r="CI142" s="481" t="n"/>
    </row>
    <row r="143" ht="12.95" customHeight="1">
      <c r="C143" s="66" t="n">
        <v>11</v>
      </c>
      <c r="D143" s="558">
        <f>IF(C143&lt;=$I$16, EDATE($D$6, C143-1), "")</f>
        <v/>
      </c>
      <c r="E143" s="453" t="n"/>
      <c r="F143" s="453" t="n"/>
      <c r="G143" s="453" t="n"/>
      <c r="H143" s="453" t="n"/>
      <c r="I143" s="453" t="n"/>
      <c r="J143" s="453" t="n"/>
      <c r="K143" s="453" t="n"/>
      <c r="L143" s="453" t="n"/>
      <c r="M143" s="454" t="n"/>
      <c r="N143" s="559">
        <f>IF(C143&lt;=$I$16, $I$17, "")</f>
        <v/>
      </c>
      <c r="O143" s="453" t="n"/>
      <c r="P143" s="453" t="n"/>
      <c r="Q143" s="453" t="n"/>
      <c r="R143" s="453" t="n"/>
      <c r="S143" s="453" t="n"/>
      <c r="T143" s="453" t="n"/>
      <c r="U143" s="453" t="n"/>
      <c r="V143" s="453" t="n"/>
      <c r="W143" s="453" t="n"/>
      <c r="X143" s="453" t="n"/>
      <c r="Y143" s="454" t="n"/>
      <c r="Z143" s="65" t="n"/>
      <c r="AA143" s="65" t="n"/>
      <c r="AB143" s="65" t="n"/>
      <c r="AC143" s="65" t="n"/>
      <c r="AD143" s="66" t="n">
        <v>11</v>
      </c>
      <c r="AE143" s="558">
        <f>D143</f>
        <v/>
      </c>
      <c r="AF143" s="453" t="n"/>
      <c r="AG143" s="453" t="n"/>
      <c r="AH143" s="453" t="n"/>
      <c r="AI143" s="453" t="n"/>
      <c r="AJ143" s="453" t="n"/>
      <c r="AK143" s="453" t="n"/>
      <c r="AL143" s="453" t="n"/>
      <c r="AM143" s="453" t="n"/>
      <c r="AN143" s="454" t="n"/>
      <c r="AO143" s="559">
        <f>AO142</f>
        <v/>
      </c>
      <c r="AP143" s="453" t="n"/>
      <c r="AQ143" s="453" t="n"/>
      <c r="AR143" s="453" t="n"/>
      <c r="AS143" s="453" t="n"/>
      <c r="AT143" s="453" t="n"/>
      <c r="AU143" s="453" t="n"/>
      <c r="AV143" s="453" t="n"/>
      <c r="AW143" s="453" t="n"/>
      <c r="AX143" s="453" t="n"/>
      <c r="AY143" s="453" t="n"/>
      <c r="AZ143" s="454" t="n"/>
      <c r="BA143" s="65" t="n"/>
      <c r="BB143" s="65" t="n"/>
      <c r="BC143" s="65" t="n"/>
      <c r="BD143" s="65" t="n"/>
      <c r="BE143" s="66" t="n">
        <v>11</v>
      </c>
      <c r="BF143" s="558">
        <f>AE143</f>
        <v/>
      </c>
      <c r="BG143" s="453" t="n"/>
      <c r="BH143" s="453" t="n"/>
      <c r="BI143" s="453" t="n"/>
      <c r="BJ143" s="453" t="n"/>
      <c r="BK143" s="453" t="n"/>
      <c r="BL143" s="453" t="n"/>
      <c r="BM143" s="453" t="n"/>
      <c r="BN143" s="453" t="n"/>
      <c r="BO143" s="454" t="n"/>
      <c r="BP143" s="407" t="n"/>
      <c r="BQ143" s="453" t="n"/>
      <c r="BR143" s="453" t="n"/>
      <c r="BS143" s="453" t="n"/>
      <c r="BT143" s="453" t="n"/>
      <c r="BU143" s="453" t="n"/>
      <c r="BV143" s="453" t="n"/>
      <c r="BW143" s="453" t="n"/>
      <c r="BX143" s="453" t="n"/>
      <c r="BY143" s="453" t="n"/>
      <c r="BZ143" s="453" t="n"/>
      <c r="CA143" s="453" t="n"/>
      <c r="CB143" s="453" t="n"/>
      <c r="CC143" s="454" t="n"/>
      <c r="CI143" s="481" t="n"/>
    </row>
    <row r="144" ht="12.95" customHeight="1">
      <c r="C144" s="66" t="n">
        <v>12</v>
      </c>
      <c r="D144" s="558">
        <f>IF(C144&lt;=$I$16, EDATE($D$6, C144-1), "")</f>
        <v/>
      </c>
      <c r="E144" s="453" t="n"/>
      <c r="F144" s="453" t="n"/>
      <c r="G144" s="453" t="n"/>
      <c r="H144" s="453" t="n"/>
      <c r="I144" s="453" t="n"/>
      <c r="J144" s="453" t="n"/>
      <c r="K144" s="453" t="n"/>
      <c r="L144" s="453" t="n"/>
      <c r="M144" s="454" t="n"/>
      <c r="N144" s="559">
        <f>IF(C144&lt;=$I$16, $I$17, "")</f>
        <v/>
      </c>
      <c r="O144" s="453" t="n"/>
      <c r="P144" s="453" t="n"/>
      <c r="Q144" s="453" t="n"/>
      <c r="R144" s="453" t="n"/>
      <c r="S144" s="453" t="n"/>
      <c r="T144" s="453" t="n"/>
      <c r="U144" s="453" t="n"/>
      <c r="V144" s="453" t="n"/>
      <c r="W144" s="453" t="n"/>
      <c r="X144" s="453" t="n"/>
      <c r="Y144" s="454" t="n"/>
      <c r="Z144" s="65" t="n"/>
      <c r="AA144" s="65" t="n"/>
      <c r="AB144" s="65" t="n"/>
      <c r="AC144" s="65" t="n"/>
      <c r="AD144" s="66" t="n">
        <v>12</v>
      </c>
      <c r="AE144" s="558">
        <f>D144</f>
        <v/>
      </c>
      <c r="AF144" s="453" t="n"/>
      <c r="AG144" s="453" t="n"/>
      <c r="AH144" s="453" t="n"/>
      <c r="AI144" s="453" t="n"/>
      <c r="AJ144" s="453" t="n"/>
      <c r="AK144" s="453" t="n"/>
      <c r="AL144" s="453" t="n"/>
      <c r="AM144" s="453" t="n"/>
      <c r="AN144" s="454" t="n"/>
      <c r="AO144" s="559">
        <f>AO143</f>
        <v/>
      </c>
      <c r="AP144" s="453" t="n"/>
      <c r="AQ144" s="453" t="n"/>
      <c r="AR144" s="453" t="n"/>
      <c r="AS144" s="453" t="n"/>
      <c r="AT144" s="453" t="n"/>
      <c r="AU144" s="453" t="n"/>
      <c r="AV144" s="453" t="n"/>
      <c r="AW144" s="453" t="n"/>
      <c r="AX144" s="453" t="n"/>
      <c r="AY144" s="453" t="n"/>
      <c r="AZ144" s="454" t="n"/>
      <c r="BA144" s="65" t="n"/>
      <c r="BB144" s="65" t="n"/>
      <c r="BC144" s="65" t="n"/>
      <c r="BD144" s="65" t="n"/>
      <c r="BE144" s="66" t="n">
        <v>12</v>
      </c>
      <c r="BF144" s="558">
        <f>AE144</f>
        <v/>
      </c>
      <c r="BG144" s="453" t="n"/>
      <c r="BH144" s="453" t="n"/>
      <c r="BI144" s="453" t="n"/>
      <c r="BJ144" s="453" t="n"/>
      <c r="BK144" s="453" t="n"/>
      <c r="BL144" s="453" t="n"/>
      <c r="BM144" s="453" t="n"/>
      <c r="BN144" s="453" t="n"/>
      <c r="BO144" s="454" t="n"/>
      <c r="BP144" s="407" t="n"/>
      <c r="BQ144" s="453" t="n"/>
      <c r="BR144" s="453" t="n"/>
      <c r="BS144" s="453" t="n"/>
      <c r="BT144" s="453" t="n"/>
      <c r="BU144" s="453" t="n"/>
      <c r="BV144" s="453" t="n"/>
      <c r="BW144" s="453" t="n"/>
      <c r="BX144" s="453" t="n"/>
      <c r="BY144" s="453" t="n"/>
      <c r="BZ144" s="453" t="n"/>
      <c r="CA144" s="453" t="n"/>
      <c r="CB144" s="453" t="n"/>
      <c r="CC144" s="454" t="n"/>
      <c r="CI144" s="481" t="n"/>
    </row>
    <row r="145" ht="12.95" customHeight="1">
      <c r="C145" s="66" t="n">
        <v>13</v>
      </c>
      <c r="D145" s="558">
        <f>IF(C145&lt;=$I$16, EDATE($D$6, C145-1), "")</f>
        <v/>
      </c>
      <c r="E145" s="453" t="n"/>
      <c r="F145" s="453" t="n"/>
      <c r="G145" s="453" t="n"/>
      <c r="H145" s="453" t="n"/>
      <c r="I145" s="453" t="n"/>
      <c r="J145" s="453" t="n"/>
      <c r="K145" s="453" t="n"/>
      <c r="L145" s="453" t="n"/>
      <c r="M145" s="454" t="n"/>
      <c r="N145" s="559">
        <f>IF(C145&lt;=$I$16, $I$17, "")</f>
        <v/>
      </c>
      <c r="O145" s="453" t="n"/>
      <c r="P145" s="453" t="n"/>
      <c r="Q145" s="453" t="n"/>
      <c r="R145" s="453" t="n"/>
      <c r="S145" s="453" t="n"/>
      <c r="T145" s="453" t="n"/>
      <c r="U145" s="453" t="n"/>
      <c r="V145" s="453" t="n"/>
      <c r="W145" s="453" t="n"/>
      <c r="X145" s="453" t="n"/>
      <c r="Y145" s="454" t="n"/>
      <c r="Z145" s="65" t="n"/>
      <c r="AA145" s="65" t="n"/>
      <c r="AB145" s="65" t="n"/>
      <c r="AC145" s="65" t="n"/>
      <c r="AD145" s="66" t="n">
        <v>13</v>
      </c>
      <c r="AE145" s="558">
        <f>D145</f>
        <v/>
      </c>
      <c r="AF145" s="453" t="n"/>
      <c r="AG145" s="453" t="n"/>
      <c r="AH145" s="453" t="n"/>
      <c r="AI145" s="453" t="n"/>
      <c r="AJ145" s="453" t="n"/>
      <c r="AK145" s="453" t="n"/>
      <c r="AL145" s="453" t="n"/>
      <c r="AM145" s="453" t="n"/>
      <c r="AN145" s="454" t="n"/>
      <c r="AO145" s="559">
        <f>AO144</f>
        <v/>
      </c>
      <c r="AP145" s="453" t="n"/>
      <c r="AQ145" s="453" t="n"/>
      <c r="AR145" s="453" t="n"/>
      <c r="AS145" s="453" t="n"/>
      <c r="AT145" s="453" t="n"/>
      <c r="AU145" s="453" t="n"/>
      <c r="AV145" s="453" t="n"/>
      <c r="AW145" s="453" t="n"/>
      <c r="AX145" s="453" t="n"/>
      <c r="AY145" s="453" t="n"/>
      <c r="AZ145" s="454" t="n"/>
      <c r="BA145" s="65" t="n"/>
      <c r="BB145" s="65" t="n"/>
      <c r="BC145" s="65" t="n"/>
      <c r="BD145" s="65" t="n"/>
      <c r="BE145" s="66" t="n">
        <v>13</v>
      </c>
      <c r="BF145" s="558">
        <f>AE145</f>
        <v/>
      </c>
      <c r="BG145" s="453" t="n"/>
      <c r="BH145" s="453" t="n"/>
      <c r="BI145" s="453" t="n"/>
      <c r="BJ145" s="453" t="n"/>
      <c r="BK145" s="453" t="n"/>
      <c r="BL145" s="453" t="n"/>
      <c r="BM145" s="453" t="n"/>
      <c r="BN145" s="453" t="n"/>
      <c r="BO145" s="454" t="n"/>
      <c r="BP145" s="407" t="n"/>
      <c r="BQ145" s="453" t="n"/>
      <c r="BR145" s="453" t="n"/>
      <c r="BS145" s="453" t="n"/>
      <c r="BT145" s="453" t="n"/>
      <c r="BU145" s="453" t="n"/>
      <c r="BV145" s="453" t="n"/>
      <c r="BW145" s="453" t="n"/>
      <c r="BX145" s="453" t="n"/>
      <c r="BY145" s="453" t="n"/>
      <c r="BZ145" s="453" t="n"/>
      <c r="CA145" s="453" t="n"/>
      <c r="CB145" s="453" t="n"/>
      <c r="CC145" s="454" t="n"/>
      <c r="CI145" s="481" t="n"/>
    </row>
    <row r="146" ht="12.95" customHeight="1">
      <c r="C146" s="66" t="n">
        <v>14</v>
      </c>
      <c r="D146" s="558">
        <f>IF(C146&lt;=$I$16, EDATE($D$6, C146-1), "")</f>
        <v/>
      </c>
      <c r="E146" s="453" t="n"/>
      <c r="F146" s="453" t="n"/>
      <c r="G146" s="453" t="n"/>
      <c r="H146" s="453" t="n"/>
      <c r="I146" s="453" t="n"/>
      <c r="J146" s="453" t="n"/>
      <c r="K146" s="453" t="n"/>
      <c r="L146" s="453" t="n"/>
      <c r="M146" s="454" t="n"/>
      <c r="N146" s="559">
        <f>IF(C146&lt;=$I$16, $I$17, "")</f>
        <v/>
      </c>
      <c r="O146" s="453" t="n"/>
      <c r="P146" s="453" t="n"/>
      <c r="Q146" s="453" t="n"/>
      <c r="R146" s="453" t="n"/>
      <c r="S146" s="453" t="n"/>
      <c r="T146" s="453" t="n"/>
      <c r="U146" s="453" t="n"/>
      <c r="V146" s="453" t="n"/>
      <c r="W146" s="453" t="n"/>
      <c r="X146" s="453" t="n"/>
      <c r="Y146" s="454" t="n"/>
      <c r="Z146" s="65" t="n"/>
      <c r="AA146" s="65" t="n"/>
      <c r="AB146" s="65" t="n"/>
      <c r="AC146" s="65" t="n"/>
      <c r="AD146" s="66" t="n">
        <v>14</v>
      </c>
      <c r="AE146" s="558">
        <f>D146</f>
        <v/>
      </c>
      <c r="AF146" s="453" t="n"/>
      <c r="AG146" s="453" t="n"/>
      <c r="AH146" s="453" t="n"/>
      <c r="AI146" s="453" t="n"/>
      <c r="AJ146" s="453" t="n"/>
      <c r="AK146" s="453" t="n"/>
      <c r="AL146" s="453" t="n"/>
      <c r="AM146" s="453" t="n"/>
      <c r="AN146" s="454" t="n"/>
      <c r="AO146" s="559">
        <f>AO145</f>
        <v/>
      </c>
      <c r="AP146" s="453" t="n"/>
      <c r="AQ146" s="453" t="n"/>
      <c r="AR146" s="453" t="n"/>
      <c r="AS146" s="453" t="n"/>
      <c r="AT146" s="453" t="n"/>
      <c r="AU146" s="453" t="n"/>
      <c r="AV146" s="453" t="n"/>
      <c r="AW146" s="453" t="n"/>
      <c r="AX146" s="453" t="n"/>
      <c r="AY146" s="453" t="n"/>
      <c r="AZ146" s="454" t="n"/>
      <c r="BA146" s="65" t="n"/>
      <c r="BB146" s="65" t="n"/>
      <c r="BC146" s="65" t="n"/>
      <c r="BD146" s="65" t="n"/>
      <c r="BE146" s="66" t="n">
        <v>14</v>
      </c>
      <c r="BF146" s="558">
        <f>AE146</f>
        <v/>
      </c>
      <c r="BG146" s="453" t="n"/>
      <c r="BH146" s="453" t="n"/>
      <c r="BI146" s="453" t="n"/>
      <c r="BJ146" s="453" t="n"/>
      <c r="BK146" s="453" t="n"/>
      <c r="BL146" s="453" t="n"/>
      <c r="BM146" s="453" t="n"/>
      <c r="BN146" s="453" t="n"/>
      <c r="BO146" s="454" t="n"/>
      <c r="BP146" s="407" t="n"/>
      <c r="BQ146" s="453" t="n"/>
      <c r="BR146" s="453" t="n"/>
      <c r="BS146" s="453" t="n"/>
      <c r="BT146" s="453" t="n"/>
      <c r="BU146" s="453" t="n"/>
      <c r="BV146" s="453" t="n"/>
      <c r="BW146" s="453" t="n"/>
      <c r="BX146" s="453" t="n"/>
      <c r="BY146" s="453" t="n"/>
      <c r="BZ146" s="453" t="n"/>
      <c r="CA146" s="453" t="n"/>
      <c r="CB146" s="453" t="n"/>
      <c r="CC146" s="454" t="n"/>
      <c r="CI146" s="481" t="n"/>
    </row>
    <row r="147" ht="12.95" customHeight="1">
      <c r="C147" s="66" t="n">
        <v>15</v>
      </c>
      <c r="D147" s="558">
        <f>IF(C147&lt;=$I$16, EDATE($D$6, C147-1), "")</f>
        <v/>
      </c>
      <c r="E147" s="453" t="n"/>
      <c r="F147" s="453" t="n"/>
      <c r="G147" s="453" t="n"/>
      <c r="H147" s="453" t="n"/>
      <c r="I147" s="453" t="n"/>
      <c r="J147" s="453" t="n"/>
      <c r="K147" s="453" t="n"/>
      <c r="L147" s="453" t="n"/>
      <c r="M147" s="454" t="n"/>
      <c r="N147" s="559">
        <f>IF(C147&lt;=$I$16, $I$17, "")</f>
        <v/>
      </c>
      <c r="O147" s="453" t="n"/>
      <c r="P147" s="453" t="n"/>
      <c r="Q147" s="453" t="n"/>
      <c r="R147" s="453" t="n"/>
      <c r="S147" s="453" t="n"/>
      <c r="T147" s="453" t="n"/>
      <c r="U147" s="453" t="n"/>
      <c r="V147" s="453" t="n"/>
      <c r="W147" s="453" t="n"/>
      <c r="X147" s="453" t="n"/>
      <c r="Y147" s="454" t="n"/>
      <c r="Z147" s="65" t="n"/>
      <c r="AA147" s="65" t="n"/>
      <c r="AB147" s="65" t="n"/>
      <c r="AC147" s="65" t="n"/>
      <c r="AD147" s="66" t="n">
        <v>15</v>
      </c>
      <c r="AE147" s="558">
        <f>D147</f>
        <v/>
      </c>
      <c r="AF147" s="453" t="n"/>
      <c r="AG147" s="453" t="n"/>
      <c r="AH147" s="453" t="n"/>
      <c r="AI147" s="453" t="n"/>
      <c r="AJ147" s="453" t="n"/>
      <c r="AK147" s="453" t="n"/>
      <c r="AL147" s="453" t="n"/>
      <c r="AM147" s="453" t="n"/>
      <c r="AN147" s="454" t="n"/>
      <c r="AO147" s="559">
        <f>AO146</f>
        <v/>
      </c>
      <c r="AP147" s="453" t="n"/>
      <c r="AQ147" s="453" t="n"/>
      <c r="AR147" s="453" t="n"/>
      <c r="AS147" s="453" t="n"/>
      <c r="AT147" s="453" t="n"/>
      <c r="AU147" s="453" t="n"/>
      <c r="AV147" s="453" t="n"/>
      <c r="AW147" s="453" t="n"/>
      <c r="AX147" s="453" t="n"/>
      <c r="AY147" s="453" t="n"/>
      <c r="AZ147" s="454" t="n"/>
      <c r="BA147" s="65" t="n"/>
      <c r="BB147" s="65" t="n"/>
      <c r="BC147" s="65" t="n"/>
      <c r="BD147" s="65" t="n"/>
      <c r="BE147" s="66" t="n">
        <v>15</v>
      </c>
      <c r="BF147" s="558">
        <f>AE147</f>
        <v/>
      </c>
      <c r="BG147" s="453" t="n"/>
      <c r="BH147" s="453" t="n"/>
      <c r="BI147" s="453" t="n"/>
      <c r="BJ147" s="453" t="n"/>
      <c r="BK147" s="453" t="n"/>
      <c r="BL147" s="453" t="n"/>
      <c r="BM147" s="453" t="n"/>
      <c r="BN147" s="453" t="n"/>
      <c r="BO147" s="454" t="n"/>
      <c r="BP147" s="407" t="n"/>
      <c r="BQ147" s="453" t="n"/>
      <c r="BR147" s="453" t="n"/>
      <c r="BS147" s="453" t="n"/>
      <c r="BT147" s="453" t="n"/>
      <c r="BU147" s="453" t="n"/>
      <c r="BV147" s="453" t="n"/>
      <c r="BW147" s="453" t="n"/>
      <c r="BX147" s="453" t="n"/>
      <c r="BY147" s="453" t="n"/>
      <c r="BZ147" s="453" t="n"/>
      <c r="CA147" s="453" t="n"/>
      <c r="CB147" s="453" t="n"/>
      <c r="CC147" s="454" t="n"/>
      <c r="CI147" s="481" t="n"/>
    </row>
    <row r="148" ht="12.95" customHeight="1">
      <c r="C148" s="66" t="n">
        <v>16</v>
      </c>
      <c r="D148" s="558">
        <f>IF(C148&lt;=$I$16, EDATE($D$6, C148-1), "")</f>
        <v/>
      </c>
      <c r="E148" s="453" t="n"/>
      <c r="F148" s="453" t="n"/>
      <c r="G148" s="453" t="n"/>
      <c r="H148" s="453" t="n"/>
      <c r="I148" s="453" t="n"/>
      <c r="J148" s="453" t="n"/>
      <c r="K148" s="453" t="n"/>
      <c r="L148" s="453" t="n"/>
      <c r="M148" s="454" t="n"/>
      <c r="N148" s="559">
        <f>IF(C148&lt;=$I$16, $I$17, "")</f>
        <v/>
      </c>
      <c r="O148" s="453" t="n"/>
      <c r="P148" s="453" t="n"/>
      <c r="Q148" s="453" t="n"/>
      <c r="R148" s="453" t="n"/>
      <c r="S148" s="453" t="n"/>
      <c r="T148" s="453" t="n"/>
      <c r="U148" s="453" t="n"/>
      <c r="V148" s="453" t="n"/>
      <c r="W148" s="453" t="n"/>
      <c r="X148" s="453" t="n"/>
      <c r="Y148" s="454" t="n"/>
      <c r="Z148" s="65" t="n"/>
      <c r="AA148" s="65" t="n"/>
      <c r="AB148" s="65" t="n"/>
      <c r="AC148" s="65" t="n"/>
      <c r="AD148" s="66" t="n">
        <v>16</v>
      </c>
      <c r="AE148" s="558">
        <f>D148</f>
        <v/>
      </c>
      <c r="AF148" s="453" t="n"/>
      <c r="AG148" s="453" t="n"/>
      <c r="AH148" s="453" t="n"/>
      <c r="AI148" s="453" t="n"/>
      <c r="AJ148" s="453" t="n"/>
      <c r="AK148" s="453" t="n"/>
      <c r="AL148" s="453" t="n"/>
      <c r="AM148" s="453" t="n"/>
      <c r="AN148" s="454" t="n"/>
      <c r="AO148" s="559">
        <f>AO147</f>
        <v/>
      </c>
      <c r="AP148" s="453" t="n"/>
      <c r="AQ148" s="453" t="n"/>
      <c r="AR148" s="453" t="n"/>
      <c r="AS148" s="453" t="n"/>
      <c r="AT148" s="453" t="n"/>
      <c r="AU148" s="453" t="n"/>
      <c r="AV148" s="453" t="n"/>
      <c r="AW148" s="453" t="n"/>
      <c r="AX148" s="453" t="n"/>
      <c r="AY148" s="453" t="n"/>
      <c r="AZ148" s="454" t="n"/>
      <c r="BA148" s="65" t="n"/>
      <c r="BB148" s="65" t="n"/>
      <c r="BC148" s="65" t="n"/>
      <c r="BD148" s="65" t="n"/>
      <c r="BE148" s="66" t="n">
        <v>16</v>
      </c>
      <c r="BF148" s="558">
        <f>AE148</f>
        <v/>
      </c>
      <c r="BG148" s="453" t="n"/>
      <c r="BH148" s="453" t="n"/>
      <c r="BI148" s="453" t="n"/>
      <c r="BJ148" s="453" t="n"/>
      <c r="BK148" s="453" t="n"/>
      <c r="BL148" s="453" t="n"/>
      <c r="BM148" s="453" t="n"/>
      <c r="BN148" s="453" t="n"/>
      <c r="BO148" s="454" t="n"/>
      <c r="BP148" s="407" t="n"/>
      <c r="BQ148" s="453" t="n"/>
      <c r="BR148" s="453" t="n"/>
      <c r="BS148" s="453" t="n"/>
      <c r="BT148" s="453" t="n"/>
      <c r="BU148" s="453" t="n"/>
      <c r="BV148" s="453" t="n"/>
      <c r="BW148" s="453" t="n"/>
      <c r="BX148" s="453" t="n"/>
      <c r="BY148" s="453" t="n"/>
      <c r="BZ148" s="453" t="n"/>
      <c r="CA148" s="453" t="n"/>
      <c r="CB148" s="453" t="n"/>
      <c r="CC148" s="454" t="n"/>
      <c r="CI148" s="481" t="n"/>
    </row>
    <row r="149" ht="12.95" customHeight="1">
      <c r="C149" s="66" t="n">
        <v>17</v>
      </c>
      <c r="D149" s="558">
        <f>IF(C149&lt;=$I$16, EDATE($D$6, C149-1), "")</f>
        <v/>
      </c>
      <c r="E149" s="453" t="n"/>
      <c r="F149" s="453" t="n"/>
      <c r="G149" s="453" t="n"/>
      <c r="H149" s="453" t="n"/>
      <c r="I149" s="453" t="n"/>
      <c r="J149" s="453" t="n"/>
      <c r="K149" s="453" t="n"/>
      <c r="L149" s="453" t="n"/>
      <c r="M149" s="454" t="n"/>
      <c r="N149" s="559">
        <f>IF(C149&lt;=$I$16, $I$17, "")</f>
        <v/>
      </c>
      <c r="O149" s="453" t="n"/>
      <c r="P149" s="453" t="n"/>
      <c r="Q149" s="453" t="n"/>
      <c r="R149" s="453" t="n"/>
      <c r="S149" s="453" t="n"/>
      <c r="T149" s="453" t="n"/>
      <c r="U149" s="453" t="n"/>
      <c r="V149" s="453" t="n"/>
      <c r="W149" s="453" t="n"/>
      <c r="X149" s="453" t="n"/>
      <c r="Y149" s="454" t="n"/>
      <c r="Z149" s="65" t="n"/>
      <c r="AA149" s="65" t="n"/>
      <c r="AB149" s="65" t="n"/>
      <c r="AC149" s="65" t="n"/>
      <c r="AD149" s="66" t="n">
        <v>17</v>
      </c>
      <c r="AE149" s="558">
        <f>D149</f>
        <v/>
      </c>
      <c r="AF149" s="453" t="n"/>
      <c r="AG149" s="453" t="n"/>
      <c r="AH149" s="453" t="n"/>
      <c r="AI149" s="453" t="n"/>
      <c r="AJ149" s="453" t="n"/>
      <c r="AK149" s="453" t="n"/>
      <c r="AL149" s="453" t="n"/>
      <c r="AM149" s="453" t="n"/>
      <c r="AN149" s="454" t="n"/>
      <c r="AO149" s="559">
        <f>AO148</f>
        <v/>
      </c>
      <c r="AP149" s="453" t="n"/>
      <c r="AQ149" s="453" t="n"/>
      <c r="AR149" s="453" t="n"/>
      <c r="AS149" s="453" t="n"/>
      <c r="AT149" s="453" t="n"/>
      <c r="AU149" s="453" t="n"/>
      <c r="AV149" s="453" t="n"/>
      <c r="AW149" s="453" t="n"/>
      <c r="AX149" s="453" t="n"/>
      <c r="AY149" s="453" t="n"/>
      <c r="AZ149" s="454" t="n"/>
      <c r="BA149" s="65" t="n"/>
      <c r="BB149" s="65" t="n"/>
      <c r="BC149" s="65" t="n"/>
      <c r="BD149" s="65" t="n"/>
      <c r="BE149" s="66" t="n">
        <v>17</v>
      </c>
      <c r="BF149" s="558">
        <f>AE149</f>
        <v/>
      </c>
      <c r="BG149" s="453" t="n"/>
      <c r="BH149" s="453" t="n"/>
      <c r="BI149" s="453" t="n"/>
      <c r="BJ149" s="453" t="n"/>
      <c r="BK149" s="453" t="n"/>
      <c r="BL149" s="453" t="n"/>
      <c r="BM149" s="453" t="n"/>
      <c r="BN149" s="453" t="n"/>
      <c r="BO149" s="454" t="n"/>
      <c r="BP149" s="407" t="n"/>
      <c r="BQ149" s="453" t="n"/>
      <c r="BR149" s="453" t="n"/>
      <c r="BS149" s="453" t="n"/>
      <c r="BT149" s="453" t="n"/>
      <c r="BU149" s="453" t="n"/>
      <c r="BV149" s="453" t="n"/>
      <c r="BW149" s="453" t="n"/>
      <c r="BX149" s="453" t="n"/>
      <c r="BY149" s="453" t="n"/>
      <c r="BZ149" s="453" t="n"/>
      <c r="CA149" s="453" t="n"/>
      <c r="CB149" s="453" t="n"/>
      <c r="CC149" s="454" t="n"/>
      <c r="CI149" s="481" t="n"/>
    </row>
    <row r="150" ht="12.95" customHeight="1">
      <c r="C150" s="66" t="n">
        <v>18</v>
      </c>
      <c r="D150" s="558">
        <f>IF(C150&lt;=$I$16, EDATE($D$6, C150-1), "")</f>
        <v/>
      </c>
      <c r="E150" s="453" t="n"/>
      <c r="F150" s="453" t="n"/>
      <c r="G150" s="453" t="n"/>
      <c r="H150" s="453" t="n"/>
      <c r="I150" s="453" t="n"/>
      <c r="J150" s="453" t="n"/>
      <c r="K150" s="453" t="n"/>
      <c r="L150" s="453" t="n"/>
      <c r="M150" s="454" t="n"/>
      <c r="N150" s="559">
        <f>IF(C150&lt;=$I$16, $I$17, "")</f>
        <v/>
      </c>
      <c r="O150" s="453" t="n"/>
      <c r="P150" s="453" t="n"/>
      <c r="Q150" s="453" t="n"/>
      <c r="R150" s="453" t="n"/>
      <c r="S150" s="453" t="n"/>
      <c r="T150" s="453" t="n"/>
      <c r="U150" s="453" t="n"/>
      <c r="V150" s="453" t="n"/>
      <c r="W150" s="453" t="n"/>
      <c r="X150" s="453" t="n"/>
      <c r="Y150" s="454" t="n"/>
      <c r="Z150" s="65" t="n"/>
      <c r="AA150" s="65" t="n"/>
      <c r="AB150" s="65" t="n"/>
      <c r="AC150" s="65" t="n"/>
      <c r="AD150" s="66" t="n">
        <v>18</v>
      </c>
      <c r="AE150" s="558">
        <f>D150</f>
        <v/>
      </c>
      <c r="AF150" s="453" t="n"/>
      <c r="AG150" s="453" t="n"/>
      <c r="AH150" s="453" t="n"/>
      <c r="AI150" s="453" t="n"/>
      <c r="AJ150" s="453" t="n"/>
      <c r="AK150" s="453" t="n"/>
      <c r="AL150" s="453" t="n"/>
      <c r="AM150" s="453" t="n"/>
      <c r="AN150" s="454" t="n"/>
      <c r="AO150" s="559">
        <f>AO149</f>
        <v/>
      </c>
      <c r="AP150" s="453" t="n"/>
      <c r="AQ150" s="453" t="n"/>
      <c r="AR150" s="453" t="n"/>
      <c r="AS150" s="453" t="n"/>
      <c r="AT150" s="453" t="n"/>
      <c r="AU150" s="453" t="n"/>
      <c r="AV150" s="453" t="n"/>
      <c r="AW150" s="453" t="n"/>
      <c r="AX150" s="453" t="n"/>
      <c r="AY150" s="453" t="n"/>
      <c r="AZ150" s="454" t="n"/>
      <c r="BA150" s="65" t="n"/>
      <c r="BB150" s="65" t="n"/>
      <c r="BC150" s="65" t="n"/>
      <c r="BD150" s="65" t="n"/>
      <c r="BE150" s="66" t="n">
        <v>18</v>
      </c>
      <c r="BF150" s="558">
        <f>AE150</f>
        <v/>
      </c>
      <c r="BG150" s="453" t="n"/>
      <c r="BH150" s="453" t="n"/>
      <c r="BI150" s="453" t="n"/>
      <c r="BJ150" s="453" t="n"/>
      <c r="BK150" s="453" t="n"/>
      <c r="BL150" s="453" t="n"/>
      <c r="BM150" s="453" t="n"/>
      <c r="BN150" s="453" t="n"/>
      <c r="BO150" s="454" t="n"/>
      <c r="BP150" s="407" t="n"/>
      <c r="BQ150" s="453" t="n"/>
      <c r="BR150" s="453" t="n"/>
      <c r="BS150" s="453" t="n"/>
      <c r="BT150" s="453" t="n"/>
      <c r="BU150" s="453" t="n"/>
      <c r="BV150" s="453" t="n"/>
      <c r="BW150" s="453" t="n"/>
      <c r="BX150" s="453" t="n"/>
      <c r="BY150" s="453" t="n"/>
      <c r="BZ150" s="453" t="n"/>
      <c r="CA150" s="453" t="n"/>
      <c r="CB150" s="453" t="n"/>
      <c r="CC150" s="454" t="n"/>
      <c r="CI150" s="481" t="n"/>
    </row>
    <row r="151" ht="12.95" customHeight="1">
      <c r="C151" s="66" t="n">
        <v>19</v>
      </c>
      <c r="D151" s="558">
        <f>IF(C151&lt;=$I$16, EDATE($D$6, C151-1), "")</f>
        <v/>
      </c>
      <c r="E151" s="453" t="n"/>
      <c r="F151" s="453" t="n"/>
      <c r="G151" s="453" t="n"/>
      <c r="H151" s="453" t="n"/>
      <c r="I151" s="453" t="n"/>
      <c r="J151" s="453" t="n"/>
      <c r="K151" s="453" t="n"/>
      <c r="L151" s="453" t="n"/>
      <c r="M151" s="454" t="n"/>
      <c r="N151" s="559">
        <f>IF(C151&lt;=$I$16, $I$17, "")</f>
        <v/>
      </c>
      <c r="O151" s="453" t="n"/>
      <c r="P151" s="453" t="n"/>
      <c r="Q151" s="453" t="n"/>
      <c r="R151" s="453" t="n"/>
      <c r="S151" s="453" t="n"/>
      <c r="T151" s="453" t="n"/>
      <c r="U151" s="453" t="n"/>
      <c r="V151" s="453" t="n"/>
      <c r="W151" s="453" t="n"/>
      <c r="X151" s="453" t="n"/>
      <c r="Y151" s="454" t="n"/>
      <c r="Z151" s="65" t="n"/>
      <c r="AA151" s="65" t="n"/>
      <c r="AB151" s="65" t="n"/>
      <c r="AC151" s="65" t="n"/>
      <c r="AD151" s="66" t="n">
        <v>19</v>
      </c>
      <c r="AE151" s="558">
        <f>D151</f>
        <v/>
      </c>
      <c r="AF151" s="453" t="n"/>
      <c r="AG151" s="453" t="n"/>
      <c r="AH151" s="453" t="n"/>
      <c r="AI151" s="453" t="n"/>
      <c r="AJ151" s="453" t="n"/>
      <c r="AK151" s="453" t="n"/>
      <c r="AL151" s="453" t="n"/>
      <c r="AM151" s="453" t="n"/>
      <c r="AN151" s="454" t="n"/>
      <c r="AO151" s="559">
        <f>AO150</f>
        <v/>
      </c>
      <c r="AP151" s="453" t="n"/>
      <c r="AQ151" s="453" t="n"/>
      <c r="AR151" s="453" t="n"/>
      <c r="AS151" s="453" t="n"/>
      <c r="AT151" s="453" t="n"/>
      <c r="AU151" s="453" t="n"/>
      <c r="AV151" s="453" t="n"/>
      <c r="AW151" s="453" t="n"/>
      <c r="AX151" s="453" t="n"/>
      <c r="AY151" s="453" t="n"/>
      <c r="AZ151" s="454" t="n"/>
      <c r="BA151" s="65" t="n"/>
      <c r="BB151" s="65" t="n"/>
      <c r="BC151" s="65" t="n"/>
      <c r="BD151" s="65" t="n"/>
      <c r="BE151" s="66" t="n">
        <v>19</v>
      </c>
      <c r="BF151" s="558">
        <f>AE151</f>
        <v/>
      </c>
      <c r="BG151" s="453" t="n"/>
      <c r="BH151" s="453" t="n"/>
      <c r="BI151" s="453" t="n"/>
      <c r="BJ151" s="453" t="n"/>
      <c r="BK151" s="453" t="n"/>
      <c r="BL151" s="453" t="n"/>
      <c r="BM151" s="453" t="n"/>
      <c r="BN151" s="453" t="n"/>
      <c r="BO151" s="454" t="n"/>
      <c r="BP151" s="407" t="n"/>
      <c r="BQ151" s="453" t="n"/>
      <c r="BR151" s="453" t="n"/>
      <c r="BS151" s="453" t="n"/>
      <c r="BT151" s="453" t="n"/>
      <c r="BU151" s="453" t="n"/>
      <c r="BV151" s="453" t="n"/>
      <c r="BW151" s="453" t="n"/>
      <c r="BX151" s="453" t="n"/>
      <c r="BY151" s="453" t="n"/>
      <c r="BZ151" s="453" t="n"/>
      <c r="CA151" s="453" t="n"/>
      <c r="CB151" s="453" t="n"/>
      <c r="CC151" s="454" t="n"/>
      <c r="CI151" s="481" t="n"/>
    </row>
    <row r="152" ht="12.95" customHeight="1">
      <c r="C152" s="66" t="n">
        <v>20</v>
      </c>
      <c r="D152" s="558">
        <f>IF(C152&lt;=$I$16, EDATE($D$6, C152-1), "")</f>
        <v/>
      </c>
      <c r="E152" s="453" t="n"/>
      <c r="F152" s="453" t="n"/>
      <c r="G152" s="453" t="n"/>
      <c r="H152" s="453" t="n"/>
      <c r="I152" s="453" t="n"/>
      <c r="J152" s="453" t="n"/>
      <c r="K152" s="453" t="n"/>
      <c r="L152" s="453" t="n"/>
      <c r="M152" s="454" t="n"/>
      <c r="N152" s="559">
        <f>IF(C152&lt;=$I$16, $I$17, "")</f>
        <v/>
      </c>
      <c r="O152" s="453" t="n"/>
      <c r="P152" s="453" t="n"/>
      <c r="Q152" s="453" t="n"/>
      <c r="R152" s="453" t="n"/>
      <c r="S152" s="453" t="n"/>
      <c r="T152" s="453" t="n"/>
      <c r="U152" s="453" t="n"/>
      <c r="V152" s="453" t="n"/>
      <c r="W152" s="453" t="n"/>
      <c r="X152" s="453" t="n"/>
      <c r="Y152" s="454" t="n"/>
      <c r="Z152" s="65" t="n"/>
      <c r="AA152" s="65" t="n"/>
      <c r="AB152" s="65" t="n"/>
      <c r="AC152" s="65" t="n"/>
      <c r="AD152" s="66" t="n">
        <v>20</v>
      </c>
      <c r="AE152" s="558">
        <f>D152</f>
        <v/>
      </c>
      <c r="AF152" s="453" t="n"/>
      <c r="AG152" s="453" t="n"/>
      <c r="AH152" s="453" t="n"/>
      <c r="AI152" s="453" t="n"/>
      <c r="AJ152" s="453" t="n"/>
      <c r="AK152" s="453" t="n"/>
      <c r="AL152" s="453" t="n"/>
      <c r="AM152" s="453" t="n"/>
      <c r="AN152" s="454" t="n"/>
      <c r="AO152" s="559">
        <f>AO151</f>
        <v/>
      </c>
      <c r="AP152" s="453" t="n"/>
      <c r="AQ152" s="453" t="n"/>
      <c r="AR152" s="453" t="n"/>
      <c r="AS152" s="453" t="n"/>
      <c r="AT152" s="453" t="n"/>
      <c r="AU152" s="453" t="n"/>
      <c r="AV152" s="453" t="n"/>
      <c r="AW152" s="453" t="n"/>
      <c r="AX152" s="453" t="n"/>
      <c r="AY152" s="453" t="n"/>
      <c r="AZ152" s="454" t="n"/>
      <c r="BA152" s="65" t="n"/>
      <c r="BB152" s="65" t="n"/>
      <c r="BC152" s="65" t="n"/>
      <c r="BD152" s="65" t="n"/>
      <c r="BE152" s="66" t="n">
        <v>20</v>
      </c>
      <c r="BF152" s="558">
        <f>AE152</f>
        <v/>
      </c>
      <c r="BG152" s="453" t="n"/>
      <c r="BH152" s="453" t="n"/>
      <c r="BI152" s="453" t="n"/>
      <c r="BJ152" s="453" t="n"/>
      <c r="BK152" s="453" t="n"/>
      <c r="BL152" s="453" t="n"/>
      <c r="BM152" s="453" t="n"/>
      <c r="BN152" s="453" t="n"/>
      <c r="BO152" s="454" t="n"/>
      <c r="BP152" s="407" t="n"/>
      <c r="BQ152" s="453" t="n"/>
      <c r="BR152" s="453" t="n"/>
      <c r="BS152" s="453" t="n"/>
      <c r="BT152" s="453" t="n"/>
      <c r="BU152" s="453" t="n"/>
      <c r="BV152" s="453" t="n"/>
      <c r="BW152" s="453" t="n"/>
      <c r="BX152" s="453" t="n"/>
      <c r="BY152" s="453" t="n"/>
      <c r="BZ152" s="453" t="n"/>
      <c r="CA152" s="453" t="n"/>
      <c r="CB152" s="453" t="n"/>
      <c r="CC152" s="454" t="n"/>
      <c r="CI152" s="481" t="n"/>
    </row>
    <row r="153" ht="12.95" customHeight="1">
      <c r="C153" s="66" t="n">
        <v>21</v>
      </c>
      <c r="D153" s="558">
        <f>IF(C153&lt;=$I$16, EDATE($D$6, C153-1), "")</f>
        <v/>
      </c>
      <c r="E153" s="453" t="n"/>
      <c r="F153" s="453" t="n"/>
      <c r="G153" s="453" t="n"/>
      <c r="H153" s="453" t="n"/>
      <c r="I153" s="453" t="n"/>
      <c r="J153" s="453" t="n"/>
      <c r="K153" s="453" t="n"/>
      <c r="L153" s="453" t="n"/>
      <c r="M153" s="454" t="n"/>
      <c r="N153" s="559">
        <f>IF(C153&lt;=$I$16, $I$17, "")</f>
        <v/>
      </c>
      <c r="O153" s="453" t="n"/>
      <c r="P153" s="453" t="n"/>
      <c r="Q153" s="453" t="n"/>
      <c r="R153" s="453" t="n"/>
      <c r="S153" s="453" t="n"/>
      <c r="T153" s="453" t="n"/>
      <c r="U153" s="453" t="n"/>
      <c r="V153" s="453" t="n"/>
      <c r="W153" s="453" t="n"/>
      <c r="X153" s="453" t="n"/>
      <c r="Y153" s="454" t="n"/>
      <c r="Z153" s="65" t="n"/>
      <c r="AA153" s="65" t="n"/>
      <c r="AB153" s="65" t="n"/>
      <c r="AC153" s="65" t="n"/>
      <c r="AD153" s="66" t="n">
        <v>21</v>
      </c>
      <c r="AE153" s="558">
        <f>D153</f>
        <v/>
      </c>
      <c r="AF153" s="453" t="n"/>
      <c r="AG153" s="453" t="n"/>
      <c r="AH153" s="453" t="n"/>
      <c r="AI153" s="453" t="n"/>
      <c r="AJ153" s="453" t="n"/>
      <c r="AK153" s="453" t="n"/>
      <c r="AL153" s="453" t="n"/>
      <c r="AM153" s="453" t="n"/>
      <c r="AN153" s="454" t="n"/>
      <c r="AO153" s="559">
        <f>AO152</f>
        <v/>
      </c>
      <c r="AP153" s="453" t="n"/>
      <c r="AQ153" s="453" t="n"/>
      <c r="AR153" s="453" t="n"/>
      <c r="AS153" s="453" t="n"/>
      <c r="AT153" s="453" t="n"/>
      <c r="AU153" s="453" t="n"/>
      <c r="AV153" s="453" t="n"/>
      <c r="AW153" s="453" t="n"/>
      <c r="AX153" s="453" t="n"/>
      <c r="AY153" s="453" t="n"/>
      <c r="AZ153" s="454" t="n"/>
      <c r="BA153" s="65" t="n"/>
      <c r="BB153" s="65" t="n"/>
      <c r="BC153" s="65" t="n"/>
      <c r="BD153" s="65" t="n"/>
      <c r="BE153" s="66" t="n">
        <v>21</v>
      </c>
      <c r="BF153" s="558">
        <f>AE153</f>
        <v/>
      </c>
      <c r="BG153" s="453" t="n"/>
      <c r="BH153" s="453" t="n"/>
      <c r="BI153" s="453" t="n"/>
      <c r="BJ153" s="453" t="n"/>
      <c r="BK153" s="453" t="n"/>
      <c r="BL153" s="453" t="n"/>
      <c r="BM153" s="453" t="n"/>
      <c r="BN153" s="453" t="n"/>
      <c r="BO153" s="454" t="n"/>
      <c r="BP153" s="407" t="n"/>
      <c r="BQ153" s="453" t="n"/>
      <c r="BR153" s="453" t="n"/>
      <c r="BS153" s="453" t="n"/>
      <c r="BT153" s="453" t="n"/>
      <c r="BU153" s="453" t="n"/>
      <c r="BV153" s="453" t="n"/>
      <c r="BW153" s="453" t="n"/>
      <c r="BX153" s="453" t="n"/>
      <c r="BY153" s="453" t="n"/>
      <c r="BZ153" s="453" t="n"/>
      <c r="CA153" s="453" t="n"/>
      <c r="CB153" s="453" t="n"/>
      <c r="CC153" s="454" t="n"/>
      <c r="CI153" s="481" t="n"/>
    </row>
    <row r="154" ht="12.95" customHeight="1">
      <c r="C154" s="66" t="n">
        <v>22</v>
      </c>
      <c r="D154" s="558">
        <f>IF(C154&lt;=$I$16, EDATE($D$6, C154-1), "")</f>
        <v/>
      </c>
      <c r="E154" s="453" t="n"/>
      <c r="F154" s="453" t="n"/>
      <c r="G154" s="453" t="n"/>
      <c r="H154" s="453" t="n"/>
      <c r="I154" s="453" t="n"/>
      <c r="J154" s="453" t="n"/>
      <c r="K154" s="453" t="n"/>
      <c r="L154" s="453" t="n"/>
      <c r="M154" s="454" t="n"/>
      <c r="N154" s="559">
        <f>IF(C154&lt;=$I$16, $I$17, "")</f>
        <v/>
      </c>
      <c r="O154" s="453" t="n"/>
      <c r="P154" s="453" t="n"/>
      <c r="Q154" s="453" t="n"/>
      <c r="R154" s="453" t="n"/>
      <c r="S154" s="453" t="n"/>
      <c r="T154" s="453" t="n"/>
      <c r="U154" s="453" t="n"/>
      <c r="V154" s="453" t="n"/>
      <c r="W154" s="453" t="n"/>
      <c r="X154" s="453" t="n"/>
      <c r="Y154" s="454" t="n"/>
      <c r="Z154" s="65" t="n"/>
      <c r="AA154" s="65" t="n"/>
      <c r="AB154" s="65" t="n"/>
      <c r="AC154" s="65" t="n"/>
      <c r="AD154" s="66" t="n">
        <v>22</v>
      </c>
      <c r="AE154" s="558">
        <f>D154</f>
        <v/>
      </c>
      <c r="AF154" s="453" t="n"/>
      <c r="AG154" s="453" t="n"/>
      <c r="AH154" s="453" t="n"/>
      <c r="AI154" s="453" t="n"/>
      <c r="AJ154" s="453" t="n"/>
      <c r="AK154" s="453" t="n"/>
      <c r="AL154" s="453" t="n"/>
      <c r="AM154" s="453" t="n"/>
      <c r="AN154" s="454" t="n"/>
      <c r="AO154" s="559">
        <f>AO153</f>
        <v/>
      </c>
      <c r="AP154" s="453" t="n"/>
      <c r="AQ154" s="453" t="n"/>
      <c r="AR154" s="453" t="n"/>
      <c r="AS154" s="453" t="n"/>
      <c r="AT154" s="453" t="n"/>
      <c r="AU154" s="453" t="n"/>
      <c r="AV154" s="453" t="n"/>
      <c r="AW154" s="453" t="n"/>
      <c r="AX154" s="453" t="n"/>
      <c r="AY154" s="453" t="n"/>
      <c r="AZ154" s="454" t="n"/>
      <c r="BA154" s="65" t="n"/>
      <c r="BB154" s="65" t="n"/>
      <c r="BC154" s="65" t="n"/>
      <c r="BD154" s="65" t="n"/>
      <c r="BE154" s="66" t="n">
        <v>22</v>
      </c>
      <c r="BF154" s="558">
        <f>AE154</f>
        <v/>
      </c>
      <c r="BG154" s="453" t="n"/>
      <c r="BH154" s="453" t="n"/>
      <c r="BI154" s="453" t="n"/>
      <c r="BJ154" s="453" t="n"/>
      <c r="BK154" s="453" t="n"/>
      <c r="BL154" s="453" t="n"/>
      <c r="BM154" s="453" t="n"/>
      <c r="BN154" s="453" t="n"/>
      <c r="BO154" s="454" t="n"/>
      <c r="BP154" s="407" t="n"/>
      <c r="BQ154" s="453" t="n"/>
      <c r="BR154" s="453" t="n"/>
      <c r="BS154" s="453" t="n"/>
      <c r="BT154" s="453" t="n"/>
      <c r="BU154" s="453" t="n"/>
      <c r="BV154" s="453" t="n"/>
      <c r="BW154" s="453" t="n"/>
      <c r="BX154" s="453" t="n"/>
      <c r="BY154" s="453" t="n"/>
      <c r="BZ154" s="453" t="n"/>
      <c r="CA154" s="453" t="n"/>
      <c r="CB154" s="453" t="n"/>
      <c r="CC154" s="454" t="n"/>
      <c r="CI154" s="481" t="n"/>
    </row>
    <row r="155" ht="12.95" customHeight="1">
      <c r="C155" s="66" t="n">
        <v>23</v>
      </c>
      <c r="D155" s="558">
        <f>IF(C155&lt;=$I$16, EDATE($D$6, C155-1), "")</f>
        <v/>
      </c>
      <c r="E155" s="453" t="n"/>
      <c r="F155" s="453" t="n"/>
      <c r="G155" s="453" t="n"/>
      <c r="H155" s="453" t="n"/>
      <c r="I155" s="453" t="n"/>
      <c r="J155" s="453" t="n"/>
      <c r="K155" s="453" t="n"/>
      <c r="L155" s="453" t="n"/>
      <c r="M155" s="454" t="n"/>
      <c r="N155" s="559">
        <f>IF(C155&lt;=$I$16, $I$17, "")</f>
        <v/>
      </c>
      <c r="O155" s="453" t="n"/>
      <c r="P155" s="453" t="n"/>
      <c r="Q155" s="453" t="n"/>
      <c r="R155" s="453" t="n"/>
      <c r="S155" s="453" t="n"/>
      <c r="T155" s="453" t="n"/>
      <c r="U155" s="453" t="n"/>
      <c r="V155" s="453" t="n"/>
      <c r="W155" s="453" t="n"/>
      <c r="X155" s="453" t="n"/>
      <c r="Y155" s="454" t="n"/>
      <c r="Z155" s="65" t="n"/>
      <c r="AA155" s="65" t="n"/>
      <c r="AB155" s="65" t="n"/>
      <c r="AC155" s="65" t="n"/>
      <c r="AD155" s="66" t="n">
        <v>23</v>
      </c>
      <c r="AE155" s="558">
        <f>D155</f>
        <v/>
      </c>
      <c r="AF155" s="453" t="n"/>
      <c r="AG155" s="453" t="n"/>
      <c r="AH155" s="453" t="n"/>
      <c r="AI155" s="453" t="n"/>
      <c r="AJ155" s="453" t="n"/>
      <c r="AK155" s="453" t="n"/>
      <c r="AL155" s="453" t="n"/>
      <c r="AM155" s="453" t="n"/>
      <c r="AN155" s="454" t="n"/>
      <c r="AO155" s="559">
        <f>AO154</f>
        <v/>
      </c>
      <c r="AP155" s="453" t="n"/>
      <c r="AQ155" s="453" t="n"/>
      <c r="AR155" s="453" t="n"/>
      <c r="AS155" s="453" t="n"/>
      <c r="AT155" s="453" t="n"/>
      <c r="AU155" s="453" t="n"/>
      <c r="AV155" s="453" t="n"/>
      <c r="AW155" s="453" t="n"/>
      <c r="AX155" s="453" t="n"/>
      <c r="AY155" s="453" t="n"/>
      <c r="AZ155" s="454" t="n"/>
      <c r="BA155" s="65" t="n"/>
      <c r="BB155" s="65" t="n"/>
      <c r="BC155" s="65" t="n"/>
      <c r="BD155" s="65" t="n"/>
      <c r="BE155" s="66" t="n">
        <v>23</v>
      </c>
      <c r="BF155" s="558">
        <f>AE155</f>
        <v/>
      </c>
      <c r="BG155" s="453" t="n"/>
      <c r="BH155" s="453" t="n"/>
      <c r="BI155" s="453" t="n"/>
      <c r="BJ155" s="453" t="n"/>
      <c r="BK155" s="453" t="n"/>
      <c r="BL155" s="453" t="n"/>
      <c r="BM155" s="453" t="n"/>
      <c r="BN155" s="453" t="n"/>
      <c r="BO155" s="454" t="n"/>
      <c r="BP155" s="407" t="n"/>
      <c r="BQ155" s="453" t="n"/>
      <c r="BR155" s="453" t="n"/>
      <c r="BS155" s="453" t="n"/>
      <c r="BT155" s="453" t="n"/>
      <c r="BU155" s="453" t="n"/>
      <c r="BV155" s="453" t="n"/>
      <c r="BW155" s="453" t="n"/>
      <c r="BX155" s="453" t="n"/>
      <c r="BY155" s="453" t="n"/>
      <c r="BZ155" s="453" t="n"/>
      <c r="CA155" s="453" t="n"/>
      <c r="CB155" s="453" t="n"/>
      <c r="CC155" s="454" t="n"/>
      <c r="CI155" s="481" t="n"/>
    </row>
    <row r="156" ht="12.95" customHeight="1">
      <c r="C156" s="66" t="n">
        <v>24</v>
      </c>
      <c r="D156" s="558">
        <f>IF(C156&lt;=$I$16, EDATE($D$6, C156-1), "")</f>
        <v/>
      </c>
      <c r="E156" s="453" t="n"/>
      <c r="F156" s="453" t="n"/>
      <c r="G156" s="453" t="n"/>
      <c r="H156" s="453" t="n"/>
      <c r="I156" s="453" t="n"/>
      <c r="J156" s="453" t="n"/>
      <c r="K156" s="453" t="n"/>
      <c r="L156" s="453" t="n"/>
      <c r="M156" s="454" t="n"/>
      <c r="N156" s="559">
        <f>IF(C156&lt;=$I$16, $I$17, "")</f>
        <v/>
      </c>
      <c r="O156" s="453" t="n"/>
      <c r="P156" s="453" t="n"/>
      <c r="Q156" s="453" t="n"/>
      <c r="R156" s="453" t="n"/>
      <c r="S156" s="453" t="n"/>
      <c r="T156" s="453" t="n"/>
      <c r="U156" s="453" t="n"/>
      <c r="V156" s="453" t="n"/>
      <c r="W156" s="453" t="n"/>
      <c r="X156" s="453" t="n"/>
      <c r="Y156" s="454" t="n"/>
      <c r="Z156" s="65" t="n"/>
      <c r="AA156" s="65" t="n"/>
      <c r="AB156" s="65" t="n"/>
      <c r="AC156" s="65" t="n"/>
      <c r="AD156" s="66" t="n">
        <v>24</v>
      </c>
      <c r="AE156" s="558">
        <f>D156</f>
        <v/>
      </c>
      <c r="AF156" s="453" t="n"/>
      <c r="AG156" s="453" t="n"/>
      <c r="AH156" s="453" t="n"/>
      <c r="AI156" s="453" t="n"/>
      <c r="AJ156" s="453" t="n"/>
      <c r="AK156" s="453" t="n"/>
      <c r="AL156" s="453" t="n"/>
      <c r="AM156" s="453" t="n"/>
      <c r="AN156" s="454" t="n"/>
      <c r="AO156" s="559">
        <f>AO155</f>
        <v/>
      </c>
      <c r="AP156" s="453" t="n"/>
      <c r="AQ156" s="453" t="n"/>
      <c r="AR156" s="453" t="n"/>
      <c r="AS156" s="453" t="n"/>
      <c r="AT156" s="453" t="n"/>
      <c r="AU156" s="453" t="n"/>
      <c r="AV156" s="453" t="n"/>
      <c r="AW156" s="453" t="n"/>
      <c r="AX156" s="453" t="n"/>
      <c r="AY156" s="453" t="n"/>
      <c r="AZ156" s="454" t="n"/>
      <c r="BA156" s="65" t="n"/>
      <c r="BB156" s="65" t="n"/>
      <c r="BC156" s="65" t="n"/>
      <c r="BD156" s="65" t="n"/>
      <c r="BE156" s="66" t="n">
        <v>24</v>
      </c>
      <c r="BF156" s="558">
        <f>AE156</f>
        <v/>
      </c>
      <c r="BG156" s="453" t="n"/>
      <c r="BH156" s="453" t="n"/>
      <c r="BI156" s="453" t="n"/>
      <c r="BJ156" s="453" t="n"/>
      <c r="BK156" s="453" t="n"/>
      <c r="BL156" s="453" t="n"/>
      <c r="BM156" s="453" t="n"/>
      <c r="BN156" s="453" t="n"/>
      <c r="BO156" s="454" t="n"/>
      <c r="BP156" s="407" t="n"/>
      <c r="BQ156" s="453" t="n"/>
      <c r="BR156" s="453" t="n"/>
      <c r="BS156" s="453" t="n"/>
      <c r="BT156" s="453" t="n"/>
      <c r="BU156" s="453" t="n"/>
      <c r="BV156" s="453" t="n"/>
      <c r="BW156" s="453" t="n"/>
      <c r="BX156" s="453" t="n"/>
      <c r="BY156" s="453" t="n"/>
      <c r="BZ156" s="453" t="n"/>
      <c r="CA156" s="453" t="n"/>
      <c r="CB156" s="453" t="n"/>
      <c r="CC156" s="454" t="n"/>
      <c r="CI156" s="481" t="n"/>
    </row>
    <row r="157">
      <c r="C157" s="66" t="n">
        <v>25</v>
      </c>
      <c r="D157" s="558">
        <f>IF(C157&lt;=$I$16, EDATE($D$6, C157-1), "")</f>
        <v/>
      </c>
      <c r="E157" s="453" t="n"/>
      <c r="F157" s="453" t="n"/>
      <c r="G157" s="453" t="n"/>
      <c r="H157" s="453" t="n"/>
      <c r="I157" s="453" t="n"/>
      <c r="J157" s="453" t="n"/>
      <c r="K157" s="453" t="n"/>
      <c r="L157" s="453" t="n"/>
      <c r="M157" s="454" t="n"/>
      <c r="N157" s="559">
        <f>IF(C157&lt;=$I$16, $I$17, "")</f>
        <v/>
      </c>
      <c r="O157" s="453" t="n"/>
      <c r="P157" s="453" t="n"/>
      <c r="Q157" s="453" t="n"/>
      <c r="R157" s="453" t="n"/>
      <c r="S157" s="453" t="n"/>
      <c r="T157" s="453" t="n"/>
      <c r="U157" s="453" t="n"/>
      <c r="V157" s="453" t="n"/>
      <c r="W157" s="453" t="n"/>
      <c r="X157" s="453" t="n"/>
      <c r="Y157" s="454" t="n"/>
      <c r="AD157" s="66" t="n">
        <v>25</v>
      </c>
      <c r="AE157" s="558">
        <f>D157</f>
        <v/>
      </c>
      <c r="AF157" s="453" t="n"/>
      <c r="AG157" s="453" t="n"/>
      <c r="AH157" s="453" t="n"/>
      <c r="AI157" s="453" t="n"/>
      <c r="AJ157" s="453" t="n"/>
      <c r="AK157" s="453" t="n"/>
      <c r="AL157" s="453" t="n"/>
      <c r="AM157" s="453" t="n"/>
      <c r="AN157" s="454" t="n"/>
      <c r="AO157" s="559">
        <f>AO156</f>
        <v/>
      </c>
      <c r="AP157" s="453" t="n"/>
      <c r="AQ157" s="453" t="n"/>
      <c r="AR157" s="453" t="n"/>
      <c r="AS157" s="453" t="n"/>
      <c r="AT157" s="453" t="n"/>
      <c r="AU157" s="453" t="n"/>
      <c r="AV157" s="453" t="n"/>
      <c r="AW157" s="453" t="n"/>
      <c r="AX157" s="453" t="n"/>
      <c r="AY157" s="453" t="n"/>
      <c r="AZ157" s="454" t="n"/>
      <c r="BE157" s="66" t="n">
        <v>25</v>
      </c>
      <c r="BF157" s="558">
        <f>AE157</f>
        <v/>
      </c>
      <c r="BG157" s="453" t="n"/>
      <c r="BH157" s="453" t="n"/>
      <c r="BI157" s="453" t="n"/>
      <c r="BJ157" s="453" t="n"/>
      <c r="BK157" s="453" t="n"/>
      <c r="BL157" s="453" t="n"/>
      <c r="BM157" s="453" t="n"/>
      <c r="BN157" s="453" t="n"/>
      <c r="BO157" s="454" t="n"/>
      <c r="BP157" s="407" t="n"/>
      <c r="BQ157" s="453" t="n"/>
      <c r="BR157" s="453" t="n"/>
      <c r="BS157" s="453" t="n"/>
      <c r="BT157" s="453" t="n"/>
      <c r="BU157" s="453" t="n"/>
      <c r="BV157" s="453" t="n"/>
      <c r="BW157" s="453" t="n"/>
      <c r="BX157" s="453" t="n"/>
      <c r="BY157" s="453" t="n"/>
      <c r="BZ157" s="453" t="n"/>
      <c r="CA157" s="453" t="n"/>
      <c r="CB157" s="453" t="n"/>
      <c r="CC157" s="454" t="n"/>
      <c r="CI157" s="481" t="n"/>
    </row>
    <row r="158">
      <c r="C158" s="66" t="n">
        <v>26</v>
      </c>
      <c r="D158" s="558">
        <f>IF(C158&lt;=$I$16, EDATE($D$6, C158-1), "")</f>
        <v/>
      </c>
      <c r="E158" s="453" t="n"/>
      <c r="F158" s="453" t="n"/>
      <c r="G158" s="453" t="n"/>
      <c r="H158" s="453" t="n"/>
      <c r="I158" s="453" t="n"/>
      <c r="J158" s="453" t="n"/>
      <c r="K158" s="453" t="n"/>
      <c r="L158" s="453" t="n"/>
      <c r="M158" s="454" t="n"/>
      <c r="N158" s="559">
        <f>IF(C158&lt;=$I$16, $I$17, "")</f>
        <v/>
      </c>
      <c r="O158" s="453" t="n"/>
      <c r="P158" s="453" t="n"/>
      <c r="Q158" s="453" t="n"/>
      <c r="R158" s="453" t="n"/>
      <c r="S158" s="453" t="n"/>
      <c r="T158" s="453" t="n"/>
      <c r="U158" s="453" t="n"/>
      <c r="V158" s="453" t="n"/>
      <c r="W158" s="453" t="n"/>
      <c r="X158" s="453" t="n"/>
      <c r="Y158" s="454" t="n"/>
      <c r="AD158" s="66" t="n">
        <v>26</v>
      </c>
      <c r="AE158" s="558">
        <f>D158</f>
        <v/>
      </c>
      <c r="AF158" s="453" t="n"/>
      <c r="AG158" s="453" t="n"/>
      <c r="AH158" s="453" t="n"/>
      <c r="AI158" s="453" t="n"/>
      <c r="AJ158" s="453" t="n"/>
      <c r="AK158" s="453" t="n"/>
      <c r="AL158" s="453" t="n"/>
      <c r="AM158" s="453" t="n"/>
      <c r="AN158" s="454" t="n"/>
      <c r="AO158" s="559">
        <f>AO157</f>
        <v/>
      </c>
      <c r="AP158" s="453" t="n"/>
      <c r="AQ158" s="453" t="n"/>
      <c r="AR158" s="453" t="n"/>
      <c r="AS158" s="453" t="n"/>
      <c r="AT158" s="453" t="n"/>
      <c r="AU158" s="453" t="n"/>
      <c r="AV158" s="453" t="n"/>
      <c r="AW158" s="453" t="n"/>
      <c r="AX158" s="453" t="n"/>
      <c r="AY158" s="453" t="n"/>
      <c r="AZ158" s="454" t="n"/>
      <c r="BE158" s="66" t="n">
        <v>26</v>
      </c>
      <c r="BF158" s="558">
        <f>AE158</f>
        <v/>
      </c>
      <c r="BG158" s="453" t="n"/>
      <c r="BH158" s="453" t="n"/>
      <c r="BI158" s="453" t="n"/>
      <c r="BJ158" s="453" t="n"/>
      <c r="BK158" s="453" t="n"/>
      <c r="BL158" s="453" t="n"/>
      <c r="BM158" s="453" t="n"/>
      <c r="BN158" s="453" t="n"/>
      <c r="BO158" s="454" t="n"/>
      <c r="BP158" s="407" t="n"/>
      <c r="BQ158" s="453" t="n"/>
      <c r="BR158" s="453" t="n"/>
      <c r="BS158" s="453" t="n"/>
      <c r="BT158" s="453" t="n"/>
      <c r="BU158" s="453" t="n"/>
      <c r="BV158" s="453" t="n"/>
      <c r="BW158" s="453" t="n"/>
      <c r="BX158" s="453" t="n"/>
      <c r="BY158" s="453" t="n"/>
      <c r="BZ158" s="453" t="n"/>
      <c r="CA158" s="453" t="n"/>
      <c r="CB158" s="453" t="n"/>
      <c r="CC158" s="454" t="n"/>
      <c r="CI158" s="481" t="n"/>
    </row>
    <row r="159">
      <c r="C159" s="66" t="n">
        <v>27</v>
      </c>
      <c r="D159" s="558">
        <f>IF(C159&lt;=$I$16, EDATE($D$6, C159-1), "")</f>
        <v/>
      </c>
      <c r="E159" s="453" t="n"/>
      <c r="F159" s="453" t="n"/>
      <c r="G159" s="453" t="n"/>
      <c r="H159" s="453" t="n"/>
      <c r="I159" s="453" t="n"/>
      <c r="J159" s="453" t="n"/>
      <c r="K159" s="453" t="n"/>
      <c r="L159" s="453" t="n"/>
      <c r="M159" s="454" t="n"/>
      <c r="N159" s="559">
        <f>IF(C159&lt;=$I$16, $I$17, "")</f>
        <v/>
      </c>
      <c r="O159" s="453" t="n"/>
      <c r="P159" s="453" t="n"/>
      <c r="Q159" s="453" t="n"/>
      <c r="R159" s="453" t="n"/>
      <c r="S159" s="453" t="n"/>
      <c r="T159" s="453" t="n"/>
      <c r="U159" s="453" t="n"/>
      <c r="V159" s="453" t="n"/>
      <c r="W159" s="453" t="n"/>
      <c r="X159" s="453" t="n"/>
      <c r="Y159" s="454" t="n"/>
      <c r="AD159" s="66" t="n">
        <v>27</v>
      </c>
      <c r="AE159" s="558">
        <f>D159</f>
        <v/>
      </c>
      <c r="AF159" s="453" t="n"/>
      <c r="AG159" s="453" t="n"/>
      <c r="AH159" s="453" t="n"/>
      <c r="AI159" s="453" t="n"/>
      <c r="AJ159" s="453" t="n"/>
      <c r="AK159" s="453" t="n"/>
      <c r="AL159" s="453" t="n"/>
      <c r="AM159" s="453" t="n"/>
      <c r="AN159" s="454" t="n"/>
      <c r="AO159" s="559">
        <f>AO158</f>
        <v/>
      </c>
      <c r="AP159" s="453" t="n"/>
      <c r="AQ159" s="453" t="n"/>
      <c r="AR159" s="453" t="n"/>
      <c r="AS159" s="453" t="n"/>
      <c r="AT159" s="453" t="n"/>
      <c r="AU159" s="453" t="n"/>
      <c r="AV159" s="453" t="n"/>
      <c r="AW159" s="453" t="n"/>
      <c r="AX159" s="453" t="n"/>
      <c r="AY159" s="453" t="n"/>
      <c r="AZ159" s="454" t="n"/>
      <c r="BE159" s="66" t="n">
        <v>27</v>
      </c>
      <c r="BF159" s="558">
        <f>AE159</f>
        <v/>
      </c>
      <c r="BG159" s="453" t="n"/>
      <c r="BH159" s="453" t="n"/>
      <c r="BI159" s="453" t="n"/>
      <c r="BJ159" s="453" t="n"/>
      <c r="BK159" s="453" t="n"/>
      <c r="BL159" s="453" t="n"/>
      <c r="BM159" s="453" t="n"/>
      <c r="BN159" s="453" t="n"/>
      <c r="BO159" s="454" t="n"/>
      <c r="BP159" s="407" t="n"/>
      <c r="BQ159" s="453" t="n"/>
      <c r="BR159" s="453" t="n"/>
      <c r="BS159" s="453" t="n"/>
      <c r="BT159" s="453" t="n"/>
      <c r="BU159" s="453" t="n"/>
      <c r="BV159" s="453" t="n"/>
      <c r="BW159" s="453" t="n"/>
      <c r="BX159" s="453" t="n"/>
      <c r="BY159" s="453" t="n"/>
      <c r="BZ159" s="453" t="n"/>
      <c r="CA159" s="453" t="n"/>
      <c r="CB159" s="453" t="n"/>
      <c r="CC159" s="454" t="n"/>
      <c r="CI159" s="481" t="n"/>
    </row>
    <row r="160">
      <c r="C160" s="66" t="n">
        <v>28</v>
      </c>
      <c r="D160" s="558">
        <f>IF(C160&lt;=$I$16, EDATE($D$6, C160-1), "")</f>
        <v/>
      </c>
      <c r="E160" s="453" t="n"/>
      <c r="F160" s="453" t="n"/>
      <c r="G160" s="453" t="n"/>
      <c r="H160" s="453" t="n"/>
      <c r="I160" s="453" t="n"/>
      <c r="J160" s="453" t="n"/>
      <c r="K160" s="453" t="n"/>
      <c r="L160" s="453" t="n"/>
      <c r="M160" s="454" t="n"/>
      <c r="N160" s="559">
        <f>IF(C160&lt;=$I$16, $I$17, "")</f>
        <v/>
      </c>
      <c r="O160" s="453" t="n"/>
      <c r="P160" s="453" t="n"/>
      <c r="Q160" s="453" t="n"/>
      <c r="R160" s="453" t="n"/>
      <c r="S160" s="453" t="n"/>
      <c r="T160" s="453" t="n"/>
      <c r="U160" s="453" t="n"/>
      <c r="V160" s="453" t="n"/>
      <c r="W160" s="453" t="n"/>
      <c r="X160" s="453" t="n"/>
      <c r="Y160" s="454" t="n"/>
      <c r="AD160" s="66" t="n">
        <v>28</v>
      </c>
      <c r="AE160" s="558">
        <f>D160</f>
        <v/>
      </c>
      <c r="AF160" s="453" t="n"/>
      <c r="AG160" s="453" t="n"/>
      <c r="AH160" s="453" t="n"/>
      <c r="AI160" s="453" t="n"/>
      <c r="AJ160" s="453" t="n"/>
      <c r="AK160" s="453" t="n"/>
      <c r="AL160" s="453" t="n"/>
      <c r="AM160" s="453" t="n"/>
      <c r="AN160" s="454" t="n"/>
      <c r="AO160" s="559">
        <f>AO159</f>
        <v/>
      </c>
      <c r="AP160" s="453" t="n"/>
      <c r="AQ160" s="453" t="n"/>
      <c r="AR160" s="453" t="n"/>
      <c r="AS160" s="453" t="n"/>
      <c r="AT160" s="453" t="n"/>
      <c r="AU160" s="453" t="n"/>
      <c r="AV160" s="453" t="n"/>
      <c r="AW160" s="453" t="n"/>
      <c r="AX160" s="453" t="n"/>
      <c r="AY160" s="453" t="n"/>
      <c r="AZ160" s="454" t="n"/>
      <c r="BE160" s="66" t="n">
        <v>28</v>
      </c>
      <c r="BF160" s="558">
        <f>AE160</f>
        <v/>
      </c>
      <c r="BG160" s="453" t="n"/>
      <c r="BH160" s="453" t="n"/>
      <c r="BI160" s="453" t="n"/>
      <c r="BJ160" s="453" t="n"/>
      <c r="BK160" s="453" t="n"/>
      <c r="BL160" s="453" t="n"/>
      <c r="BM160" s="453" t="n"/>
      <c r="BN160" s="453" t="n"/>
      <c r="BO160" s="454" t="n"/>
      <c r="BP160" s="407" t="n"/>
      <c r="BQ160" s="453" t="n"/>
      <c r="BR160" s="453" t="n"/>
      <c r="BS160" s="453" t="n"/>
      <c r="BT160" s="453" t="n"/>
      <c r="BU160" s="453" t="n"/>
      <c r="BV160" s="453" t="n"/>
      <c r="BW160" s="453" t="n"/>
      <c r="BX160" s="453" t="n"/>
      <c r="BY160" s="453" t="n"/>
      <c r="BZ160" s="453" t="n"/>
      <c r="CA160" s="453" t="n"/>
      <c r="CB160" s="453" t="n"/>
      <c r="CC160" s="454" t="n"/>
      <c r="CI160" s="481" t="n"/>
    </row>
    <row r="161">
      <c r="C161" s="66" t="n">
        <v>29</v>
      </c>
      <c r="D161" s="558">
        <f>IF(C161&lt;=$I$16, EDATE($D$6, C161-1), "")</f>
        <v/>
      </c>
      <c r="E161" s="453" t="n"/>
      <c r="F161" s="453" t="n"/>
      <c r="G161" s="453" t="n"/>
      <c r="H161" s="453" t="n"/>
      <c r="I161" s="453" t="n"/>
      <c r="J161" s="453" t="n"/>
      <c r="K161" s="453" t="n"/>
      <c r="L161" s="453" t="n"/>
      <c r="M161" s="454" t="n"/>
      <c r="N161" s="559">
        <f>IF(C161&lt;=$I$16, $I$17, "")</f>
        <v/>
      </c>
      <c r="O161" s="453" t="n"/>
      <c r="P161" s="453" t="n"/>
      <c r="Q161" s="453" t="n"/>
      <c r="R161" s="453" t="n"/>
      <c r="S161" s="453" t="n"/>
      <c r="T161" s="453" t="n"/>
      <c r="U161" s="453" t="n"/>
      <c r="V161" s="453" t="n"/>
      <c r="W161" s="453" t="n"/>
      <c r="X161" s="453" t="n"/>
      <c r="Y161" s="454" t="n"/>
      <c r="AD161" s="66" t="n">
        <v>29</v>
      </c>
      <c r="AE161" s="558">
        <f>D161</f>
        <v/>
      </c>
      <c r="AF161" s="453" t="n"/>
      <c r="AG161" s="453" t="n"/>
      <c r="AH161" s="453" t="n"/>
      <c r="AI161" s="453" t="n"/>
      <c r="AJ161" s="453" t="n"/>
      <c r="AK161" s="453" t="n"/>
      <c r="AL161" s="453" t="n"/>
      <c r="AM161" s="453" t="n"/>
      <c r="AN161" s="454" t="n"/>
      <c r="AO161" s="559">
        <f>AO160</f>
        <v/>
      </c>
      <c r="AP161" s="453" t="n"/>
      <c r="AQ161" s="453" t="n"/>
      <c r="AR161" s="453" t="n"/>
      <c r="AS161" s="453" t="n"/>
      <c r="AT161" s="453" t="n"/>
      <c r="AU161" s="453" t="n"/>
      <c r="AV161" s="453" t="n"/>
      <c r="AW161" s="453" t="n"/>
      <c r="AX161" s="453" t="n"/>
      <c r="AY161" s="453" t="n"/>
      <c r="AZ161" s="454" t="n"/>
      <c r="BE161" s="66" t="n">
        <v>29</v>
      </c>
      <c r="BF161" s="558">
        <f>AE161</f>
        <v/>
      </c>
      <c r="BG161" s="453" t="n"/>
      <c r="BH161" s="453" t="n"/>
      <c r="BI161" s="453" t="n"/>
      <c r="BJ161" s="453" t="n"/>
      <c r="BK161" s="453" t="n"/>
      <c r="BL161" s="453" t="n"/>
      <c r="BM161" s="453" t="n"/>
      <c r="BN161" s="453" t="n"/>
      <c r="BO161" s="454" t="n"/>
      <c r="BP161" s="407" t="n"/>
      <c r="BQ161" s="453" t="n"/>
      <c r="BR161" s="453" t="n"/>
      <c r="BS161" s="453" t="n"/>
      <c r="BT161" s="453" t="n"/>
      <c r="BU161" s="453" t="n"/>
      <c r="BV161" s="453" t="n"/>
      <c r="BW161" s="453" t="n"/>
      <c r="BX161" s="453" t="n"/>
      <c r="BY161" s="453" t="n"/>
      <c r="BZ161" s="453" t="n"/>
      <c r="CA161" s="453" t="n"/>
      <c r="CB161" s="453" t="n"/>
      <c r="CC161" s="454" t="n"/>
      <c r="CI161" s="481" t="n"/>
    </row>
    <row r="162">
      <c r="C162" s="66" t="n">
        <v>30</v>
      </c>
      <c r="D162" s="558">
        <f>IF(C162&lt;=$I$16, EDATE($D$6, C162-1), "")</f>
        <v/>
      </c>
      <c r="E162" s="453" t="n"/>
      <c r="F162" s="453" t="n"/>
      <c r="G162" s="453" t="n"/>
      <c r="H162" s="453" t="n"/>
      <c r="I162" s="453" t="n"/>
      <c r="J162" s="453" t="n"/>
      <c r="K162" s="453" t="n"/>
      <c r="L162" s="453" t="n"/>
      <c r="M162" s="454" t="n"/>
      <c r="N162" s="559">
        <f>IF(C162&lt;=$I$16, $I$17, "")</f>
        <v/>
      </c>
      <c r="O162" s="453" t="n"/>
      <c r="P162" s="453" t="n"/>
      <c r="Q162" s="453" t="n"/>
      <c r="R162" s="453" t="n"/>
      <c r="S162" s="453" t="n"/>
      <c r="T162" s="453" t="n"/>
      <c r="U162" s="453" t="n"/>
      <c r="V162" s="453" t="n"/>
      <c r="W162" s="453" t="n"/>
      <c r="X162" s="453" t="n"/>
      <c r="Y162" s="454" t="n"/>
      <c r="AD162" s="66" t="n">
        <v>30</v>
      </c>
      <c r="AE162" s="558">
        <f>D162</f>
        <v/>
      </c>
      <c r="AF162" s="453" t="n"/>
      <c r="AG162" s="453" t="n"/>
      <c r="AH162" s="453" t="n"/>
      <c r="AI162" s="453" t="n"/>
      <c r="AJ162" s="453" t="n"/>
      <c r="AK162" s="453" t="n"/>
      <c r="AL162" s="453" t="n"/>
      <c r="AM162" s="453" t="n"/>
      <c r="AN162" s="454" t="n"/>
      <c r="AO162" s="559">
        <f>AO161</f>
        <v/>
      </c>
      <c r="AP162" s="453" t="n"/>
      <c r="AQ162" s="453" t="n"/>
      <c r="AR162" s="453" t="n"/>
      <c r="AS162" s="453" t="n"/>
      <c r="AT162" s="453" t="n"/>
      <c r="AU162" s="453" t="n"/>
      <c r="AV162" s="453" t="n"/>
      <c r="AW162" s="453" t="n"/>
      <c r="AX162" s="453" t="n"/>
      <c r="AY162" s="453" t="n"/>
      <c r="AZ162" s="454" t="n"/>
      <c r="BE162" s="66" t="n">
        <v>30</v>
      </c>
      <c r="BF162" s="558">
        <f>AE162</f>
        <v/>
      </c>
      <c r="BG162" s="453" t="n"/>
      <c r="BH162" s="453" t="n"/>
      <c r="BI162" s="453" t="n"/>
      <c r="BJ162" s="453" t="n"/>
      <c r="BK162" s="453" t="n"/>
      <c r="BL162" s="453" t="n"/>
      <c r="BM162" s="453" t="n"/>
      <c r="BN162" s="453" t="n"/>
      <c r="BO162" s="454" t="n"/>
      <c r="BP162" s="407" t="n"/>
      <c r="BQ162" s="453" t="n"/>
      <c r="BR162" s="453" t="n"/>
      <c r="BS162" s="453" t="n"/>
      <c r="BT162" s="453" t="n"/>
      <c r="BU162" s="453" t="n"/>
      <c r="BV162" s="453" t="n"/>
      <c r="BW162" s="453" t="n"/>
      <c r="BX162" s="453" t="n"/>
      <c r="BY162" s="453" t="n"/>
      <c r="BZ162" s="453" t="n"/>
      <c r="CA162" s="453" t="n"/>
      <c r="CB162" s="453" t="n"/>
      <c r="CC162" s="454" t="n"/>
      <c r="CI162" s="481" t="n"/>
    </row>
    <row r="163">
      <c r="C163" s="66" t="n">
        <v>31</v>
      </c>
      <c r="D163" s="558">
        <f>IF(C163&lt;=$I$16, EDATE($D$6, C163-1), "")</f>
        <v/>
      </c>
      <c r="E163" s="453" t="n"/>
      <c r="F163" s="453" t="n"/>
      <c r="G163" s="453" t="n"/>
      <c r="H163" s="453" t="n"/>
      <c r="I163" s="453" t="n"/>
      <c r="J163" s="453" t="n"/>
      <c r="K163" s="453" t="n"/>
      <c r="L163" s="453" t="n"/>
      <c r="M163" s="454" t="n"/>
      <c r="N163" s="559">
        <f>IF(C163&lt;=$I$16, $I$17, "")</f>
        <v/>
      </c>
      <c r="O163" s="453" t="n"/>
      <c r="P163" s="453" t="n"/>
      <c r="Q163" s="453" t="n"/>
      <c r="R163" s="453" t="n"/>
      <c r="S163" s="453" t="n"/>
      <c r="T163" s="453" t="n"/>
      <c r="U163" s="453" t="n"/>
      <c r="V163" s="453" t="n"/>
      <c r="W163" s="453" t="n"/>
      <c r="X163" s="453" t="n"/>
      <c r="Y163" s="454" t="n"/>
      <c r="AD163" s="66" t="n">
        <v>31</v>
      </c>
      <c r="AE163" s="558">
        <f>D163</f>
        <v/>
      </c>
      <c r="AF163" s="453" t="n"/>
      <c r="AG163" s="453" t="n"/>
      <c r="AH163" s="453" t="n"/>
      <c r="AI163" s="453" t="n"/>
      <c r="AJ163" s="453" t="n"/>
      <c r="AK163" s="453" t="n"/>
      <c r="AL163" s="453" t="n"/>
      <c r="AM163" s="453" t="n"/>
      <c r="AN163" s="454" t="n"/>
      <c r="AO163" s="559">
        <f>AO162</f>
        <v/>
      </c>
      <c r="AP163" s="453" t="n"/>
      <c r="AQ163" s="453" t="n"/>
      <c r="AR163" s="453" t="n"/>
      <c r="AS163" s="453" t="n"/>
      <c r="AT163" s="453" t="n"/>
      <c r="AU163" s="453" t="n"/>
      <c r="AV163" s="453" t="n"/>
      <c r="AW163" s="453" t="n"/>
      <c r="AX163" s="453" t="n"/>
      <c r="AY163" s="453" t="n"/>
      <c r="AZ163" s="454" t="n"/>
      <c r="BE163" s="66" t="n">
        <v>31</v>
      </c>
      <c r="BF163" s="558">
        <f>AE163</f>
        <v/>
      </c>
      <c r="BG163" s="453" t="n"/>
      <c r="BH163" s="453" t="n"/>
      <c r="BI163" s="453" t="n"/>
      <c r="BJ163" s="453" t="n"/>
      <c r="BK163" s="453" t="n"/>
      <c r="BL163" s="453" t="n"/>
      <c r="BM163" s="453" t="n"/>
      <c r="BN163" s="453" t="n"/>
      <c r="BO163" s="454" t="n"/>
      <c r="BP163" s="407" t="n"/>
      <c r="BQ163" s="453" t="n"/>
      <c r="BR163" s="453" t="n"/>
      <c r="BS163" s="453" t="n"/>
      <c r="BT163" s="453" t="n"/>
      <c r="BU163" s="453" t="n"/>
      <c r="BV163" s="453" t="n"/>
      <c r="BW163" s="453" t="n"/>
      <c r="BX163" s="453" t="n"/>
      <c r="BY163" s="453" t="n"/>
      <c r="BZ163" s="453" t="n"/>
      <c r="CA163" s="453" t="n"/>
      <c r="CB163" s="453" t="n"/>
      <c r="CC163" s="454" t="n"/>
      <c r="CI163" s="481" t="n"/>
    </row>
    <row r="164">
      <c r="C164" s="66" t="n">
        <v>32</v>
      </c>
      <c r="D164" s="558">
        <f>IF(C164&lt;=$I$16, EDATE($D$6, C164-1), "")</f>
        <v/>
      </c>
      <c r="E164" s="453" t="n"/>
      <c r="F164" s="453" t="n"/>
      <c r="G164" s="453" t="n"/>
      <c r="H164" s="453" t="n"/>
      <c r="I164" s="453" t="n"/>
      <c r="J164" s="453" t="n"/>
      <c r="K164" s="453" t="n"/>
      <c r="L164" s="453" t="n"/>
      <c r="M164" s="454" t="n"/>
      <c r="N164" s="559">
        <f>IF(C164&lt;=$I$16, $I$17, "")</f>
        <v/>
      </c>
      <c r="O164" s="453" t="n"/>
      <c r="P164" s="453" t="n"/>
      <c r="Q164" s="453" t="n"/>
      <c r="R164" s="453" t="n"/>
      <c r="S164" s="453" t="n"/>
      <c r="T164" s="453" t="n"/>
      <c r="U164" s="453" t="n"/>
      <c r="V164" s="453" t="n"/>
      <c r="W164" s="453" t="n"/>
      <c r="X164" s="453" t="n"/>
      <c r="Y164" s="454" t="n"/>
      <c r="AD164" s="66" t="n">
        <v>32</v>
      </c>
      <c r="AE164" s="558">
        <f>D164</f>
        <v/>
      </c>
      <c r="AF164" s="453" t="n"/>
      <c r="AG164" s="453" t="n"/>
      <c r="AH164" s="453" t="n"/>
      <c r="AI164" s="453" t="n"/>
      <c r="AJ164" s="453" t="n"/>
      <c r="AK164" s="453" t="n"/>
      <c r="AL164" s="453" t="n"/>
      <c r="AM164" s="453" t="n"/>
      <c r="AN164" s="454" t="n"/>
      <c r="AO164" s="559">
        <f>AO163</f>
        <v/>
      </c>
      <c r="AP164" s="453" t="n"/>
      <c r="AQ164" s="453" t="n"/>
      <c r="AR164" s="453" t="n"/>
      <c r="AS164" s="453" t="n"/>
      <c r="AT164" s="453" t="n"/>
      <c r="AU164" s="453" t="n"/>
      <c r="AV164" s="453" t="n"/>
      <c r="AW164" s="453" t="n"/>
      <c r="AX164" s="453" t="n"/>
      <c r="AY164" s="453" t="n"/>
      <c r="AZ164" s="454" t="n"/>
      <c r="BE164" s="66" t="n">
        <v>32</v>
      </c>
      <c r="BF164" s="558">
        <f>AE164</f>
        <v/>
      </c>
      <c r="BG164" s="453" t="n"/>
      <c r="BH164" s="453" t="n"/>
      <c r="BI164" s="453" t="n"/>
      <c r="BJ164" s="453" t="n"/>
      <c r="BK164" s="453" t="n"/>
      <c r="BL164" s="453" t="n"/>
      <c r="BM164" s="453" t="n"/>
      <c r="BN164" s="453" t="n"/>
      <c r="BO164" s="454" t="n"/>
      <c r="BP164" s="407" t="n"/>
      <c r="BQ164" s="453" t="n"/>
      <c r="BR164" s="453" t="n"/>
      <c r="BS164" s="453" t="n"/>
      <c r="BT164" s="453" t="n"/>
      <c r="BU164" s="453" t="n"/>
      <c r="BV164" s="453" t="n"/>
      <c r="BW164" s="453" t="n"/>
      <c r="BX164" s="453" t="n"/>
      <c r="BY164" s="453" t="n"/>
      <c r="BZ164" s="453" t="n"/>
      <c r="CA164" s="453" t="n"/>
      <c r="CB164" s="453" t="n"/>
      <c r="CC164" s="454" t="n"/>
      <c r="CI164" s="481" t="n"/>
    </row>
    <row r="165">
      <c r="C165" s="66" t="n">
        <v>33</v>
      </c>
      <c r="D165" s="558">
        <f>IF(C165&lt;=$I$16, EDATE($D$6, C165-1), "")</f>
        <v/>
      </c>
      <c r="E165" s="453" t="n"/>
      <c r="F165" s="453" t="n"/>
      <c r="G165" s="453" t="n"/>
      <c r="H165" s="453" t="n"/>
      <c r="I165" s="453" t="n"/>
      <c r="J165" s="453" t="n"/>
      <c r="K165" s="453" t="n"/>
      <c r="L165" s="453" t="n"/>
      <c r="M165" s="454" t="n"/>
      <c r="N165" s="559">
        <f>IF(C165&lt;=$I$16, $I$17, "")</f>
        <v/>
      </c>
      <c r="O165" s="453" t="n"/>
      <c r="P165" s="453" t="n"/>
      <c r="Q165" s="453" t="n"/>
      <c r="R165" s="453" t="n"/>
      <c r="S165" s="453" t="n"/>
      <c r="T165" s="453" t="n"/>
      <c r="U165" s="453" t="n"/>
      <c r="V165" s="453" t="n"/>
      <c r="W165" s="453" t="n"/>
      <c r="X165" s="453" t="n"/>
      <c r="Y165" s="454" t="n"/>
      <c r="AD165" s="66" t="n">
        <v>33</v>
      </c>
      <c r="AE165" s="558">
        <f>D165</f>
        <v/>
      </c>
      <c r="AF165" s="453" t="n"/>
      <c r="AG165" s="453" t="n"/>
      <c r="AH165" s="453" t="n"/>
      <c r="AI165" s="453" t="n"/>
      <c r="AJ165" s="453" t="n"/>
      <c r="AK165" s="453" t="n"/>
      <c r="AL165" s="453" t="n"/>
      <c r="AM165" s="453" t="n"/>
      <c r="AN165" s="454" t="n"/>
      <c r="AO165" s="559">
        <f>AO164</f>
        <v/>
      </c>
      <c r="AP165" s="453" t="n"/>
      <c r="AQ165" s="453" t="n"/>
      <c r="AR165" s="453" t="n"/>
      <c r="AS165" s="453" t="n"/>
      <c r="AT165" s="453" t="n"/>
      <c r="AU165" s="453" t="n"/>
      <c r="AV165" s="453" t="n"/>
      <c r="AW165" s="453" t="n"/>
      <c r="AX165" s="453" t="n"/>
      <c r="AY165" s="453" t="n"/>
      <c r="AZ165" s="454" t="n"/>
      <c r="BE165" s="66" t="n">
        <v>33</v>
      </c>
      <c r="BF165" s="558">
        <f>AE165</f>
        <v/>
      </c>
      <c r="BG165" s="453" t="n"/>
      <c r="BH165" s="453" t="n"/>
      <c r="BI165" s="453" t="n"/>
      <c r="BJ165" s="453" t="n"/>
      <c r="BK165" s="453" t="n"/>
      <c r="BL165" s="453" t="n"/>
      <c r="BM165" s="453" t="n"/>
      <c r="BN165" s="453" t="n"/>
      <c r="BO165" s="454" t="n"/>
      <c r="BP165" s="407" t="n"/>
      <c r="BQ165" s="453" t="n"/>
      <c r="BR165" s="453" t="n"/>
      <c r="BS165" s="453" t="n"/>
      <c r="BT165" s="453" t="n"/>
      <c r="BU165" s="453" t="n"/>
      <c r="BV165" s="453" t="n"/>
      <c r="BW165" s="453" t="n"/>
      <c r="BX165" s="453" t="n"/>
      <c r="BY165" s="453" t="n"/>
      <c r="BZ165" s="453" t="n"/>
      <c r="CA165" s="453" t="n"/>
      <c r="CB165" s="453" t="n"/>
      <c r="CC165" s="454" t="n"/>
      <c r="CI165" s="481" t="n"/>
    </row>
    <row r="166">
      <c r="C166" s="66" t="n">
        <v>34</v>
      </c>
      <c r="D166" s="558">
        <f>IF(C166&lt;=$I$16, EDATE($D$6, C166-1), "")</f>
        <v/>
      </c>
      <c r="E166" s="453" t="n"/>
      <c r="F166" s="453" t="n"/>
      <c r="G166" s="453" t="n"/>
      <c r="H166" s="453" t="n"/>
      <c r="I166" s="453" t="n"/>
      <c r="J166" s="453" t="n"/>
      <c r="K166" s="453" t="n"/>
      <c r="L166" s="453" t="n"/>
      <c r="M166" s="454" t="n"/>
      <c r="N166" s="559">
        <f>IF(C166&lt;=$I$16, $I$17, "")</f>
        <v/>
      </c>
      <c r="O166" s="453" t="n"/>
      <c r="P166" s="453" t="n"/>
      <c r="Q166" s="453" t="n"/>
      <c r="R166" s="453" t="n"/>
      <c r="S166" s="453" t="n"/>
      <c r="T166" s="453" t="n"/>
      <c r="U166" s="453" t="n"/>
      <c r="V166" s="453" t="n"/>
      <c r="W166" s="453" t="n"/>
      <c r="X166" s="453" t="n"/>
      <c r="Y166" s="454" t="n"/>
      <c r="AD166" s="66" t="n">
        <v>34</v>
      </c>
      <c r="AE166" s="558">
        <f>D166</f>
        <v/>
      </c>
      <c r="AF166" s="453" t="n"/>
      <c r="AG166" s="453" t="n"/>
      <c r="AH166" s="453" t="n"/>
      <c r="AI166" s="453" t="n"/>
      <c r="AJ166" s="453" t="n"/>
      <c r="AK166" s="453" t="n"/>
      <c r="AL166" s="453" t="n"/>
      <c r="AM166" s="453" t="n"/>
      <c r="AN166" s="454" t="n"/>
      <c r="AO166" s="559">
        <f>AO165</f>
        <v/>
      </c>
      <c r="AP166" s="453" t="n"/>
      <c r="AQ166" s="453" t="n"/>
      <c r="AR166" s="453" t="n"/>
      <c r="AS166" s="453" t="n"/>
      <c r="AT166" s="453" t="n"/>
      <c r="AU166" s="453" t="n"/>
      <c r="AV166" s="453" t="n"/>
      <c r="AW166" s="453" t="n"/>
      <c r="AX166" s="453" t="n"/>
      <c r="AY166" s="453" t="n"/>
      <c r="AZ166" s="454" t="n"/>
      <c r="BE166" s="66" t="n">
        <v>34</v>
      </c>
      <c r="BF166" s="558">
        <f>AE166</f>
        <v/>
      </c>
      <c r="BG166" s="453" t="n"/>
      <c r="BH166" s="453" t="n"/>
      <c r="BI166" s="453" t="n"/>
      <c r="BJ166" s="453" t="n"/>
      <c r="BK166" s="453" t="n"/>
      <c r="BL166" s="453" t="n"/>
      <c r="BM166" s="453" t="n"/>
      <c r="BN166" s="453" t="n"/>
      <c r="BO166" s="454" t="n"/>
      <c r="BP166" s="407" t="n"/>
      <c r="BQ166" s="453" t="n"/>
      <c r="BR166" s="453" t="n"/>
      <c r="BS166" s="453" t="n"/>
      <c r="BT166" s="453" t="n"/>
      <c r="BU166" s="453" t="n"/>
      <c r="BV166" s="453" t="n"/>
      <c r="BW166" s="453" t="n"/>
      <c r="BX166" s="453" t="n"/>
      <c r="BY166" s="453" t="n"/>
      <c r="BZ166" s="453" t="n"/>
      <c r="CA166" s="453" t="n"/>
      <c r="CB166" s="453" t="n"/>
      <c r="CC166" s="454" t="n"/>
      <c r="CI166" s="481" t="n"/>
    </row>
    <row r="167">
      <c r="C167" s="66" t="n">
        <v>35</v>
      </c>
      <c r="D167" s="558">
        <f>IF(C167&lt;=$I$16, EDATE($D$6, C167-1), "")</f>
        <v/>
      </c>
      <c r="E167" s="453" t="n"/>
      <c r="F167" s="453" t="n"/>
      <c r="G167" s="453" t="n"/>
      <c r="H167" s="453" t="n"/>
      <c r="I167" s="453" t="n"/>
      <c r="J167" s="453" t="n"/>
      <c r="K167" s="453" t="n"/>
      <c r="L167" s="453" t="n"/>
      <c r="M167" s="454" t="n"/>
      <c r="N167" s="559">
        <f>IF(C167&lt;=$I$16, $I$17, "")</f>
        <v/>
      </c>
      <c r="O167" s="453" t="n"/>
      <c r="P167" s="453" t="n"/>
      <c r="Q167" s="453" t="n"/>
      <c r="R167" s="453" t="n"/>
      <c r="S167" s="453" t="n"/>
      <c r="T167" s="453" t="n"/>
      <c r="U167" s="453" t="n"/>
      <c r="V167" s="453" t="n"/>
      <c r="W167" s="453" t="n"/>
      <c r="X167" s="453" t="n"/>
      <c r="Y167" s="454" t="n"/>
      <c r="AD167" s="66" t="n">
        <v>35</v>
      </c>
      <c r="AE167" s="558">
        <f>D167</f>
        <v/>
      </c>
      <c r="AF167" s="453" t="n"/>
      <c r="AG167" s="453" t="n"/>
      <c r="AH167" s="453" t="n"/>
      <c r="AI167" s="453" t="n"/>
      <c r="AJ167" s="453" t="n"/>
      <c r="AK167" s="453" t="n"/>
      <c r="AL167" s="453" t="n"/>
      <c r="AM167" s="453" t="n"/>
      <c r="AN167" s="454" t="n"/>
      <c r="AO167" s="559">
        <f>AO166</f>
        <v/>
      </c>
      <c r="AP167" s="453" t="n"/>
      <c r="AQ167" s="453" t="n"/>
      <c r="AR167" s="453" t="n"/>
      <c r="AS167" s="453" t="n"/>
      <c r="AT167" s="453" t="n"/>
      <c r="AU167" s="453" t="n"/>
      <c r="AV167" s="453" t="n"/>
      <c r="AW167" s="453" t="n"/>
      <c r="AX167" s="453" t="n"/>
      <c r="AY167" s="453" t="n"/>
      <c r="AZ167" s="454" t="n"/>
      <c r="BE167" s="66" t="n">
        <v>35</v>
      </c>
      <c r="BF167" s="558">
        <f>AE167</f>
        <v/>
      </c>
      <c r="BG167" s="453" t="n"/>
      <c r="BH167" s="453" t="n"/>
      <c r="BI167" s="453" t="n"/>
      <c r="BJ167" s="453" t="n"/>
      <c r="BK167" s="453" t="n"/>
      <c r="BL167" s="453" t="n"/>
      <c r="BM167" s="453" t="n"/>
      <c r="BN167" s="453" t="n"/>
      <c r="BO167" s="454" t="n"/>
      <c r="BP167" s="407" t="n"/>
      <c r="BQ167" s="453" t="n"/>
      <c r="BR167" s="453" t="n"/>
      <c r="BS167" s="453" t="n"/>
      <c r="BT167" s="453" t="n"/>
      <c r="BU167" s="453" t="n"/>
      <c r="BV167" s="453" t="n"/>
      <c r="BW167" s="453" t="n"/>
      <c r="BX167" s="453" t="n"/>
      <c r="BY167" s="453" t="n"/>
      <c r="BZ167" s="453" t="n"/>
      <c r="CA167" s="453" t="n"/>
      <c r="CB167" s="453" t="n"/>
      <c r="CC167" s="454" t="n"/>
    </row>
    <row r="168">
      <c r="C168" s="66" t="n">
        <v>36</v>
      </c>
      <c r="D168" s="558">
        <f>IF(C168&lt;=$I$16, EDATE($D$6, C168-1), "")</f>
        <v/>
      </c>
      <c r="E168" s="453" t="n"/>
      <c r="F168" s="453" t="n"/>
      <c r="G168" s="453" t="n"/>
      <c r="H168" s="453" t="n"/>
      <c r="I168" s="453" t="n"/>
      <c r="J168" s="453" t="n"/>
      <c r="K168" s="453" t="n"/>
      <c r="L168" s="453" t="n"/>
      <c r="M168" s="454" t="n"/>
      <c r="N168" s="559">
        <f>IF(C168&lt;=$I$16, $I$17, "")</f>
        <v/>
      </c>
      <c r="O168" s="453" t="n"/>
      <c r="P168" s="453" t="n"/>
      <c r="Q168" s="453" t="n"/>
      <c r="R168" s="453" t="n"/>
      <c r="S168" s="453" t="n"/>
      <c r="T168" s="453" t="n"/>
      <c r="U168" s="453" t="n"/>
      <c r="V168" s="453" t="n"/>
      <c r="W168" s="453" t="n"/>
      <c r="X168" s="453" t="n"/>
      <c r="Y168" s="454" t="n"/>
      <c r="AD168" s="66" t="n">
        <v>36</v>
      </c>
      <c r="AE168" s="558">
        <f>D168</f>
        <v/>
      </c>
      <c r="AF168" s="453" t="n"/>
      <c r="AG168" s="453" t="n"/>
      <c r="AH168" s="453" t="n"/>
      <c r="AI168" s="453" t="n"/>
      <c r="AJ168" s="453" t="n"/>
      <c r="AK168" s="453" t="n"/>
      <c r="AL168" s="453" t="n"/>
      <c r="AM168" s="453" t="n"/>
      <c r="AN168" s="454" t="n"/>
      <c r="AO168" s="559">
        <f>AO167</f>
        <v/>
      </c>
      <c r="AP168" s="453" t="n"/>
      <c r="AQ168" s="453" t="n"/>
      <c r="AR168" s="453" t="n"/>
      <c r="AS168" s="453" t="n"/>
      <c r="AT168" s="453" t="n"/>
      <c r="AU168" s="453" t="n"/>
      <c r="AV168" s="453" t="n"/>
      <c r="AW168" s="453" t="n"/>
      <c r="AX168" s="453" t="n"/>
      <c r="AY168" s="453" t="n"/>
      <c r="AZ168" s="454" t="n"/>
      <c r="BE168" s="66" t="n">
        <v>36</v>
      </c>
      <c r="BF168" s="558">
        <f>AE168</f>
        <v/>
      </c>
      <c r="BG168" s="453" t="n"/>
      <c r="BH168" s="453" t="n"/>
      <c r="BI168" s="453" t="n"/>
      <c r="BJ168" s="453" t="n"/>
      <c r="BK168" s="453" t="n"/>
      <c r="BL168" s="453" t="n"/>
      <c r="BM168" s="453" t="n"/>
      <c r="BN168" s="453" t="n"/>
      <c r="BO168" s="454" t="n"/>
      <c r="BP168" s="407" t="n"/>
      <c r="BQ168" s="453" t="n"/>
      <c r="BR168" s="453" t="n"/>
      <c r="BS168" s="453" t="n"/>
      <c r="BT168" s="453" t="n"/>
      <c r="BU168" s="453" t="n"/>
      <c r="BV168" s="453" t="n"/>
      <c r="BW168" s="453" t="n"/>
      <c r="BX168" s="453" t="n"/>
      <c r="BY168" s="453" t="n"/>
      <c r="BZ168" s="453" t="n"/>
      <c r="CA168" s="453" t="n"/>
      <c r="CB168" s="453" t="n"/>
      <c r="CC168" s="454" t="n"/>
    </row>
    <row r="169">
      <c r="C169" s="66" t="n">
        <v>37</v>
      </c>
      <c r="D169" s="558">
        <f>IF(C169&lt;=$I$16, EDATE($D$6, C169-1), "")</f>
        <v/>
      </c>
      <c r="E169" s="453" t="n"/>
      <c r="F169" s="453" t="n"/>
      <c r="G169" s="453" t="n"/>
      <c r="H169" s="453" t="n"/>
      <c r="I169" s="453" t="n"/>
      <c r="J169" s="453" t="n"/>
      <c r="K169" s="453" t="n"/>
      <c r="L169" s="453" t="n"/>
      <c r="M169" s="454" t="n"/>
      <c r="N169" s="559">
        <f>IF(C169&lt;=$I$16, $I$17, "")</f>
        <v/>
      </c>
      <c r="O169" s="453" t="n"/>
      <c r="P169" s="453" t="n"/>
      <c r="Q169" s="453" t="n"/>
      <c r="R169" s="453" t="n"/>
      <c r="S169" s="453" t="n"/>
      <c r="T169" s="453" t="n"/>
      <c r="U169" s="453" t="n"/>
      <c r="V169" s="453" t="n"/>
      <c r="W169" s="453" t="n"/>
      <c r="X169" s="453" t="n"/>
      <c r="Y169" s="454" t="n"/>
      <c r="AD169" s="66" t="n">
        <v>37</v>
      </c>
      <c r="AE169" s="558">
        <f>D169</f>
        <v/>
      </c>
      <c r="AF169" s="453" t="n"/>
      <c r="AG169" s="453" t="n"/>
      <c r="AH169" s="453" t="n"/>
      <c r="AI169" s="453" t="n"/>
      <c r="AJ169" s="453" t="n"/>
      <c r="AK169" s="453" t="n"/>
      <c r="AL169" s="453" t="n"/>
      <c r="AM169" s="453" t="n"/>
      <c r="AN169" s="454" t="n"/>
      <c r="AO169" s="559">
        <f>AO168</f>
        <v/>
      </c>
      <c r="AP169" s="453" t="n"/>
      <c r="AQ169" s="453" t="n"/>
      <c r="AR169" s="453" t="n"/>
      <c r="AS169" s="453" t="n"/>
      <c r="AT169" s="453" t="n"/>
      <c r="AU169" s="453" t="n"/>
      <c r="AV169" s="453" t="n"/>
      <c r="AW169" s="453" t="n"/>
      <c r="AX169" s="453" t="n"/>
      <c r="AY169" s="453" t="n"/>
      <c r="AZ169" s="454" t="n"/>
      <c r="BE169" s="66" t="n">
        <v>37</v>
      </c>
      <c r="BF169" s="558">
        <f>AE169</f>
        <v/>
      </c>
      <c r="BG169" s="453" t="n"/>
      <c r="BH169" s="453" t="n"/>
      <c r="BI169" s="453" t="n"/>
      <c r="BJ169" s="453" t="n"/>
      <c r="BK169" s="453" t="n"/>
      <c r="BL169" s="453" t="n"/>
      <c r="BM169" s="453" t="n"/>
      <c r="BN169" s="453" t="n"/>
      <c r="BO169" s="454" t="n"/>
      <c r="BP169" s="407" t="n"/>
      <c r="BQ169" s="453" t="n"/>
      <c r="BR169" s="453" t="n"/>
      <c r="BS169" s="453" t="n"/>
      <c r="BT169" s="453" t="n"/>
      <c r="BU169" s="453" t="n"/>
      <c r="BV169" s="453" t="n"/>
      <c r="BW169" s="453" t="n"/>
      <c r="BX169" s="453" t="n"/>
      <c r="BY169" s="453" t="n"/>
      <c r="BZ169" s="453" t="n"/>
      <c r="CA169" s="453" t="n"/>
      <c r="CB169" s="453" t="n"/>
      <c r="CC169" s="454" t="n"/>
    </row>
    <row r="170">
      <c r="C170" s="66" t="n">
        <v>38</v>
      </c>
      <c r="D170" s="558">
        <f>IF(C170&lt;=$I$16, EDATE($D$6, C170-1), "")</f>
        <v/>
      </c>
      <c r="E170" s="453" t="n"/>
      <c r="F170" s="453" t="n"/>
      <c r="G170" s="453" t="n"/>
      <c r="H170" s="453" t="n"/>
      <c r="I170" s="453" t="n"/>
      <c r="J170" s="453" t="n"/>
      <c r="K170" s="453" t="n"/>
      <c r="L170" s="453" t="n"/>
      <c r="M170" s="454" t="n"/>
      <c r="N170" s="559">
        <f>IF(C170&lt;=$I$16, $I$17, "")</f>
        <v/>
      </c>
      <c r="O170" s="453" t="n"/>
      <c r="P170" s="453" t="n"/>
      <c r="Q170" s="453" t="n"/>
      <c r="R170" s="453" t="n"/>
      <c r="S170" s="453" t="n"/>
      <c r="T170" s="453" t="n"/>
      <c r="U170" s="453" t="n"/>
      <c r="V170" s="453" t="n"/>
      <c r="W170" s="453" t="n"/>
      <c r="X170" s="453" t="n"/>
      <c r="Y170" s="454" t="n"/>
      <c r="AD170" s="66" t="n">
        <v>38</v>
      </c>
      <c r="AE170" s="558">
        <f>D170</f>
        <v/>
      </c>
      <c r="AF170" s="453" t="n"/>
      <c r="AG170" s="453" t="n"/>
      <c r="AH170" s="453" t="n"/>
      <c r="AI170" s="453" t="n"/>
      <c r="AJ170" s="453" t="n"/>
      <c r="AK170" s="453" t="n"/>
      <c r="AL170" s="453" t="n"/>
      <c r="AM170" s="453" t="n"/>
      <c r="AN170" s="454" t="n"/>
      <c r="AO170" s="559">
        <f>AO169</f>
        <v/>
      </c>
      <c r="AP170" s="453" t="n"/>
      <c r="AQ170" s="453" t="n"/>
      <c r="AR170" s="453" t="n"/>
      <c r="AS170" s="453" t="n"/>
      <c r="AT170" s="453" t="n"/>
      <c r="AU170" s="453" t="n"/>
      <c r="AV170" s="453" t="n"/>
      <c r="AW170" s="453" t="n"/>
      <c r="AX170" s="453" t="n"/>
      <c r="AY170" s="453" t="n"/>
      <c r="AZ170" s="454" t="n"/>
      <c r="BE170" s="66" t="n">
        <v>38</v>
      </c>
      <c r="BF170" s="558">
        <f>AE170</f>
        <v/>
      </c>
      <c r="BG170" s="453" t="n"/>
      <c r="BH170" s="453" t="n"/>
      <c r="BI170" s="453" t="n"/>
      <c r="BJ170" s="453" t="n"/>
      <c r="BK170" s="453" t="n"/>
      <c r="BL170" s="453" t="n"/>
      <c r="BM170" s="453" t="n"/>
      <c r="BN170" s="453" t="n"/>
      <c r="BO170" s="454" t="n"/>
      <c r="BP170" s="407" t="n"/>
      <c r="BQ170" s="453" t="n"/>
      <c r="BR170" s="453" t="n"/>
      <c r="BS170" s="453" t="n"/>
      <c r="BT170" s="453" t="n"/>
      <c r="BU170" s="453" t="n"/>
      <c r="BV170" s="453" t="n"/>
      <c r="BW170" s="453" t="n"/>
      <c r="BX170" s="453" t="n"/>
      <c r="BY170" s="453" t="n"/>
      <c r="BZ170" s="453" t="n"/>
      <c r="CA170" s="453" t="n"/>
      <c r="CB170" s="453" t="n"/>
      <c r="CC170" s="454" t="n"/>
    </row>
    <row r="171">
      <c r="C171" s="66" t="n">
        <v>39</v>
      </c>
      <c r="D171" s="558">
        <f>IF(C171&lt;=$I$16, EDATE($D$6, C171-1), "")</f>
        <v/>
      </c>
      <c r="E171" s="453" t="n"/>
      <c r="F171" s="453" t="n"/>
      <c r="G171" s="453" t="n"/>
      <c r="H171" s="453" t="n"/>
      <c r="I171" s="453" t="n"/>
      <c r="J171" s="453" t="n"/>
      <c r="K171" s="453" t="n"/>
      <c r="L171" s="453" t="n"/>
      <c r="M171" s="454" t="n"/>
      <c r="N171" s="559">
        <f>IF(C171&lt;=$I$16, $I$17, "")</f>
        <v/>
      </c>
      <c r="O171" s="453" t="n"/>
      <c r="P171" s="453" t="n"/>
      <c r="Q171" s="453" t="n"/>
      <c r="R171" s="453" t="n"/>
      <c r="S171" s="453" t="n"/>
      <c r="T171" s="453" t="n"/>
      <c r="U171" s="453" t="n"/>
      <c r="V171" s="453" t="n"/>
      <c r="W171" s="453" t="n"/>
      <c r="X171" s="453" t="n"/>
      <c r="Y171" s="454" t="n"/>
      <c r="AD171" s="66" t="n">
        <v>39</v>
      </c>
      <c r="AE171" s="558">
        <f>D171</f>
        <v/>
      </c>
      <c r="AF171" s="453" t="n"/>
      <c r="AG171" s="453" t="n"/>
      <c r="AH171" s="453" t="n"/>
      <c r="AI171" s="453" t="n"/>
      <c r="AJ171" s="453" t="n"/>
      <c r="AK171" s="453" t="n"/>
      <c r="AL171" s="453" t="n"/>
      <c r="AM171" s="453" t="n"/>
      <c r="AN171" s="454" t="n"/>
      <c r="AO171" s="559">
        <f>AO170</f>
        <v/>
      </c>
      <c r="AP171" s="453" t="n"/>
      <c r="AQ171" s="453" t="n"/>
      <c r="AR171" s="453" t="n"/>
      <c r="AS171" s="453" t="n"/>
      <c r="AT171" s="453" t="n"/>
      <c r="AU171" s="453" t="n"/>
      <c r="AV171" s="453" t="n"/>
      <c r="AW171" s="453" t="n"/>
      <c r="AX171" s="453" t="n"/>
      <c r="AY171" s="453" t="n"/>
      <c r="AZ171" s="454" t="n"/>
      <c r="BE171" s="66" t="n">
        <v>39</v>
      </c>
      <c r="BF171" s="558">
        <f>AE171</f>
        <v/>
      </c>
      <c r="BG171" s="453" t="n"/>
      <c r="BH171" s="453" t="n"/>
      <c r="BI171" s="453" t="n"/>
      <c r="BJ171" s="453" t="n"/>
      <c r="BK171" s="453" t="n"/>
      <c r="BL171" s="453" t="n"/>
      <c r="BM171" s="453" t="n"/>
      <c r="BN171" s="453" t="n"/>
      <c r="BO171" s="454" t="n"/>
      <c r="BP171" s="407" t="n"/>
      <c r="BQ171" s="453" t="n"/>
      <c r="BR171" s="453" t="n"/>
      <c r="BS171" s="453" t="n"/>
      <c r="BT171" s="453" t="n"/>
      <c r="BU171" s="453" t="n"/>
      <c r="BV171" s="453" t="n"/>
      <c r="BW171" s="453" t="n"/>
      <c r="BX171" s="453" t="n"/>
      <c r="BY171" s="453" t="n"/>
      <c r="BZ171" s="453" t="n"/>
      <c r="CA171" s="453" t="n"/>
      <c r="CB171" s="453" t="n"/>
      <c r="CC171" s="454" t="n"/>
    </row>
    <row r="172">
      <c r="C172" s="66" t="n">
        <v>40</v>
      </c>
      <c r="D172" s="558">
        <f>IF(C172&lt;=$I$16, EDATE($D$6, C172-1), "")</f>
        <v/>
      </c>
      <c r="E172" s="453" t="n"/>
      <c r="F172" s="453" t="n"/>
      <c r="G172" s="453" t="n"/>
      <c r="H172" s="453" t="n"/>
      <c r="I172" s="453" t="n"/>
      <c r="J172" s="453" t="n"/>
      <c r="K172" s="453" t="n"/>
      <c r="L172" s="453" t="n"/>
      <c r="M172" s="454" t="n"/>
      <c r="N172" s="559">
        <f>IF(C172&lt;=$I$16, $I$17, "")</f>
        <v/>
      </c>
      <c r="O172" s="453" t="n"/>
      <c r="P172" s="453" t="n"/>
      <c r="Q172" s="453" t="n"/>
      <c r="R172" s="453" t="n"/>
      <c r="S172" s="453" t="n"/>
      <c r="T172" s="453" t="n"/>
      <c r="U172" s="453" t="n"/>
      <c r="V172" s="453" t="n"/>
      <c r="W172" s="453" t="n"/>
      <c r="X172" s="453" t="n"/>
      <c r="Y172" s="454" t="n"/>
      <c r="AD172" s="66" t="n">
        <v>40</v>
      </c>
      <c r="AE172" s="558">
        <f>D172</f>
        <v/>
      </c>
      <c r="AF172" s="453" t="n"/>
      <c r="AG172" s="453" t="n"/>
      <c r="AH172" s="453" t="n"/>
      <c r="AI172" s="453" t="n"/>
      <c r="AJ172" s="453" t="n"/>
      <c r="AK172" s="453" t="n"/>
      <c r="AL172" s="453" t="n"/>
      <c r="AM172" s="453" t="n"/>
      <c r="AN172" s="454" t="n"/>
      <c r="AO172" s="559">
        <f>AO171</f>
        <v/>
      </c>
      <c r="AP172" s="453" t="n"/>
      <c r="AQ172" s="453" t="n"/>
      <c r="AR172" s="453" t="n"/>
      <c r="AS172" s="453" t="n"/>
      <c r="AT172" s="453" t="n"/>
      <c r="AU172" s="453" t="n"/>
      <c r="AV172" s="453" t="n"/>
      <c r="AW172" s="453" t="n"/>
      <c r="AX172" s="453" t="n"/>
      <c r="AY172" s="453" t="n"/>
      <c r="AZ172" s="454" t="n"/>
      <c r="BE172" s="66" t="n">
        <v>40</v>
      </c>
      <c r="BF172" s="558">
        <f>AE172</f>
        <v/>
      </c>
      <c r="BG172" s="453" t="n"/>
      <c r="BH172" s="453" t="n"/>
      <c r="BI172" s="453" t="n"/>
      <c r="BJ172" s="453" t="n"/>
      <c r="BK172" s="453" t="n"/>
      <c r="BL172" s="453" t="n"/>
      <c r="BM172" s="453" t="n"/>
      <c r="BN172" s="453" t="n"/>
      <c r="BO172" s="454" t="n"/>
      <c r="BP172" s="407" t="n"/>
      <c r="BQ172" s="453" t="n"/>
      <c r="BR172" s="453" t="n"/>
      <c r="BS172" s="453" t="n"/>
      <c r="BT172" s="453" t="n"/>
      <c r="BU172" s="453" t="n"/>
      <c r="BV172" s="453" t="n"/>
      <c r="BW172" s="453" t="n"/>
      <c r="BX172" s="453" t="n"/>
      <c r="BY172" s="453" t="n"/>
      <c r="BZ172" s="453" t="n"/>
      <c r="CA172" s="453" t="n"/>
      <c r="CB172" s="453" t="n"/>
      <c r="CC172" s="454" t="n"/>
    </row>
    <row r="173">
      <c r="C173" s="66" t="n">
        <v>41</v>
      </c>
      <c r="D173" s="558">
        <f>IF(C173&lt;=$I$16, EDATE($D$6, C173-1), "")</f>
        <v/>
      </c>
      <c r="E173" s="453" t="n"/>
      <c r="F173" s="453" t="n"/>
      <c r="G173" s="453" t="n"/>
      <c r="H173" s="453" t="n"/>
      <c r="I173" s="453" t="n"/>
      <c r="J173" s="453" t="n"/>
      <c r="K173" s="453" t="n"/>
      <c r="L173" s="453" t="n"/>
      <c r="M173" s="454" t="n"/>
      <c r="N173" s="559">
        <f>IF(C173&lt;=$I$16, $I$17, "")</f>
        <v/>
      </c>
      <c r="O173" s="453" t="n"/>
      <c r="P173" s="453" t="n"/>
      <c r="Q173" s="453" t="n"/>
      <c r="R173" s="453" t="n"/>
      <c r="S173" s="453" t="n"/>
      <c r="T173" s="453" t="n"/>
      <c r="U173" s="453" t="n"/>
      <c r="V173" s="453" t="n"/>
      <c r="W173" s="453" t="n"/>
      <c r="X173" s="453" t="n"/>
      <c r="Y173" s="454" t="n"/>
      <c r="AD173" s="66" t="n">
        <v>41</v>
      </c>
      <c r="AE173" s="558">
        <f>D173</f>
        <v/>
      </c>
      <c r="AF173" s="453" t="n"/>
      <c r="AG173" s="453" t="n"/>
      <c r="AH173" s="453" t="n"/>
      <c r="AI173" s="453" t="n"/>
      <c r="AJ173" s="453" t="n"/>
      <c r="AK173" s="453" t="n"/>
      <c r="AL173" s="453" t="n"/>
      <c r="AM173" s="453" t="n"/>
      <c r="AN173" s="454" t="n"/>
      <c r="AO173" s="559">
        <f>AO172</f>
        <v/>
      </c>
      <c r="AP173" s="453" t="n"/>
      <c r="AQ173" s="453" t="n"/>
      <c r="AR173" s="453" t="n"/>
      <c r="AS173" s="453" t="n"/>
      <c r="AT173" s="453" t="n"/>
      <c r="AU173" s="453" t="n"/>
      <c r="AV173" s="453" t="n"/>
      <c r="AW173" s="453" t="n"/>
      <c r="AX173" s="453" t="n"/>
      <c r="AY173" s="453" t="n"/>
      <c r="AZ173" s="454" t="n"/>
      <c r="BE173" s="66" t="n">
        <v>41</v>
      </c>
      <c r="BF173" s="558">
        <f>AE173</f>
        <v/>
      </c>
      <c r="BG173" s="453" t="n"/>
      <c r="BH173" s="453" t="n"/>
      <c r="BI173" s="453" t="n"/>
      <c r="BJ173" s="453" t="n"/>
      <c r="BK173" s="453" t="n"/>
      <c r="BL173" s="453" t="n"/>
      <c r="BM173" s="453" t="n"/>
      <c r="BN173" s="453" t="n"/>
      <c r="BO173" s="454" t="n"/>
      <c r="BP173" s="407" t="n"/>
      <c r="BQ173" s="453" t="n"/>
      <c r="BR173" s="453" t="n"/>
      <c r="BS173" s="453" t="n"/>
      <c r="BT173" s="453" t="n"/>
      <c r="BU173" s="453" t="n"/>
      <c r="BV173" s="453" t="n"/>
      <c r="BW173" s="453" t="n"/>
      <c r="BX173" s="453" t="n"/>
      <c r="BY173" s="453" t="n"/>
      <c r="BZ173" s="453" t="n"/>
      <c r="CA173" s="453" t="n"/>
      <c r="CB173" s="453" t="n"/>
      <c r="CC173" s="454" t="n"/>
    </row>
    <row r="174">
      <c r="C174" s="66" t="n">
        <v>42</v>
      </c>
      <c r="D174" s="558">
        <f>IF(C174&lt;=$I$16, EDATE($D$6, C174-1), "")</f>
        <v/>
      </c>
      <c r="E174" s="453" t="n"/>
      <c r="F174" s="453" t="n"/>
      <c r="G174" s="453" t="n"/>
      <c r="H174" s="453" t="n"/>
      <c r="I174" s="453" t="n"/>
      <c r="J174" s="453" t="n"/>
      <c r="K174" s="453" t="n"/>
      <c r="L174" s="453" t="n"/>
      <c r="M174" s="454" t="n"/>
      <c r="N174" s="559">
        <f>IF(C174&lt;=$I$16, $I$17, "")</f>
        <v/>
      </c>
      <c r="O174" s="453" t="n"/>
      <c r="P174" s="453" t="n"/>
      <c r="Q174" s="453" t="n"/>
      <c r="R174" s="453" t="n"/>
      <c r="S174" s="453" t="n"/>
      <c r="T174" s="453" t="n"/>
      <c r="U174" s="453" t="n"/>
      <c r="V174" s="453" t="n"/>
      <c r="W174" s="453" t="n"/>
      <c r="X174" s="453" t="n"/>
      <c r="Y174" s="454" t="n"/>
      <c r="AD174" s="66" t="n">
        <v>42</v>
      </c>
      <c r="AE174" s="558">
        <f>D174</f>
        <v/>
      </c>
      <c r="AF174" s="453" t="n"/>
      <c r="AG174" s="453" t="n"/>
      <c r="AH174" s="453" t="n"/>
      <c r="AI174" s="453" t="n"/>
      <c r="AJ174" s="453" t="n"/>
      <c r="AK174" s="453" t="n"/>
      <c r="AL174" s="453" t="n"/>
      <c r="AM174" s="453" t="n"/>
      <c r="AN174" s="454" t="n"/>
      <c r="AO174" s="559">
        <f>AO173</f>
        <v/>
      </c>
      <c r="AP174" s="453" t="n"/>
      <c r="AQ174" s="453" t="n"/>
      <c r="AR174" s="453" t="n"/>
      <c r="AS174" s="453" t="n"/>
      <c r="AT174" s="453" t="n"/>
      <c r="AU174" s="453" t="n"/>
      <c r="AV174" s="453" t="n"/>
      <c r="AW174" s="453" t="n"/>
      <c r="AX174" s="453" t="n"/>
      <c r="AY174" s="453" t="n"/>
      <c r="AZ174" s="454" t="n"/>
      <c r="BE174" s="66" t="n">
        <v>42</v>
      </c>
      <c r="BF174" s="558">
        <f>AE174</f>
        <v/>
      </c>
      <c r="BG174" s="453" t="n"/>
      <c r="BH174" s="453" t="n"/>
      <c r="BI174" s="453" t="n"/>
      <c r="BJ174" s="453" t="n"/>
      <c r="BK174" s="453" t="n"/>
      <c r="BL174" s="453" t="n"/>
      <c r="BM174" s="453" t="n"/>
      <c r="BN174" s="453" t="n"/>
      <c r="BO174" s="454" t="n"/>
      <c r="BP174" s="407" t="n"/>
      <c r="BQ174" s="453" t="n"/>
      <c r="BR174" s="453" t="n"/>
      <c r="BS174" s="453" t="n"/>
      <c r="BT174" s="453" t="n"/>
      <c r="BU174" s="453" t="n"/>
      <c r="BV174" s="453" t="n"/>
      <c r="BW174" s="453" t="n"/>
      <c r="BX174" s="453" t="n"/>
      <c r="BY174" s="453" t="n"/>
      <c r="BZ174" s="453" t="n"/>
      <c r="CA174" s="453" t="n"/>
      <c r="CB174" s="453" t="n"/>
      <c r="CC174" s="454" t="n"/>
    </row>
    <row r="175">
      <c r="C175" s="66" t="n">
        <v>43</v>
      </c>
      <c r="D175" s="558">
        <f>IF(C175&lt;=$I$16, EDATE($D$6, C175-1), "")</f>
        <v/>
      </c>
      <c r="E175" s="453" t="n"/>
      <c r="F175" s="453" t="n"/>
      <c r="G175" s="453" t="n"/>
      <c r="H175" s="453" t="n"/>
      <c r="I175" s="453" t="n"/>
      <c r="J175" s="453" t="n"/>
      <c r="K175" s="453" t="n"/>
      <c r="L175" s="453" t="n"/>
      <c r="M175" s="454" t="n"/>
      <c r="N175" s="559">
        <f>IF(C175&lt;=$I$16, $I$17, "")</f>
        <v/>
      </c>
      <c r="O175" s="453" t="n"/>
      <c r="P175" s="453" t="n"/>
      <c r="Q175" s="453" t="n"/>
      <c r="R175" s="453" t="n"/>
      <c r="S175" s="453" t="n"/>
      <c r="T175" s="453" t="n"/>
      <c r="U175" s="453" t="n"/>
      <c r="V175" s="453" t="n"/>
      <c r="W175" s="453" t="n"/>
      <c r="X175" s="453" t="n"/>
      <c r="Y175" s="454" t="n"/>
      <c r="AD175" s="66" t="n">
        <v>43</v>
      </c>
      <c r="AE175" s="558">
        <f>D175</f>
        <v/>
      </c>
      <c r="AF175" s="453" t="n"/>
      <c r="AG175" s="453" t="n"/>
      <c r="AH175" s="453" t="n"/>
      <c r="AI175" s="453" t="n"/>
      <c r="AJ175" s="453" t="n"/>
      <c r="AK175" s="453" t="n"/>
      <c r="AL175" s="453" t="n"/>
      <c r="AM175" s="453" t="n"/>
      <c r="AN175" s="454" t="n"/>
      <c r="AO175" s="559">
        <f>AO174</f>
        <v/>
      </c>
      <c r="AP175" s="453" t="n"/>
      <c r="AQ175" s="453" t="n"/>
      <c r="AR175" s="453" t="n"/>
      <c r="AS175" s="453" t="n"/>
      <c r="AT175" s="453" t="n"/>
      <c r="AU175" s="453" t="n"/>
      <c r="AV175" s="453" t="n"/>
      <c r="AW175" s="453" t="n"/>
      <c r="AX175" s="453" t="n"/>
      <c r="AY175" s="453" t="n"/>
      <c r="AZ175" s="454" t="n"/>
      <c r="BE175" s="66" t="n">
        <v>43</v>
      </c>
      <c r="BF175" s="558">
        <f>AE175</f>
        <v/>
      </c>
      <c r="BG175" s="453" t="n"/>
      <c r="BH175" s="453" t="n"/>
      <c r="BI175" s="453" t="n"/>
      <c r="BJ175" s="453" t="n"/>
      <c r="BK175" s="453" t="n"/>
      <c r="BL175" s="453" t="n"/>
      <c r="BM175" s="453" t="n"/>
      <c r="BN175" s="453" t="n"/>
      <c r="BO175" s="454" t="n"/>
      <c r="BP175" s="407" t="n"/>
      <c r="BQ175" s="453" t="n"/>
      <c r="BR175" s="453" t="n"/>
      <c r="BS175" s="453" t="n"/>
      <c r="BT175" s="453" t="n"/>
      <c r="BU175" s="453" t="n"/>
      <c r="BV175" s="453" t="n"/>
      <c r="BW175" s="453" t="n"/>
      <c r="BX175" s="453" t="n"/>
      <c r="BY175" s="453" t="n"/>
      <c r="BZ175" s="453" t="n"/>
      <c r="CA175" s="453" t="n"/>
      <c r="CB175" s="453" t="n"/>
      <c r="CC175" s="454" t="n"/>
    </row>
    <row r="176">
      <c r="C176" s="66" t="n">
        <v>44</v>
      </c>
      <c r="D176" s="558">
        <f>IF(C176&lt;=$I$16, EDATE($D$6, C176-1), "")</f>
        <v/>
      </c>
      <c r="E176" s="453" t="n"/>
      <c r="F176" s="453" t="n"/>
      <c r="G176" s="453" t="n"/>
      <c r="H176" s="453" t="n"/>
      <c r="I176" s="453" t="n"/>
      <c r="J176" s="453" t="n"/>
      <c r="K176" s="453" t="n"/>
      <c r="L176" s="453" t="n"/>
      <c r="M176" s="454" t="n"/>
      <c r="N176" s="559">
        <f>IF(C176&lt;=$I$16, $I$17, "")</f>
        <v/>
      </c>
      <c r="O176" s="453" t="n"/>
      <c r="P176" s="453" t="n"/>
      <c r="Q176" s="453" t="n"/>
      <c r="R176" s="453" t="n"/>
      <c r="S176" s="453" t="n"/>
      <c r="T176" s="453" t="n"/>
      <c r="U176" s="453" t="n"/>
      <c r="V176" s="453" t="n"/>
      <c r="W176" s="453" t="n"/>
      <c r="X176" s="453" t="n"/>
      <c r="Y176" s="454" t="n"/>
      <c r="AD176" s="66" t="n">
        <v>44</v>
      </c>
      <c r="AE176" s="558">
        <f>D176</f>
        <v/>
      </c>
      <c r="AF176" s="453" t="n"/>
      <c r="AG176" s="453" t="n"/>
      <c r="AH176" s="453" t="n"/>
      <c r="AI176" s="453" t="n"/>
      <c r="AJ176" s="453" t="n"/>
      <c r="AK176" s="453" t="n"/>
      <c r="AL176" s="453" t="n"/>
      <c r="AM176" s="453" t="n"/>
      <c r="AN176" s="454" t="n"/>
      <c r="AO176" s="559">
        <f>AO175</f>
        <v/>
      </c>
      <c r="AP176" s="453" t="n"/>
      <c r="AQ176" s="453" t="n"/>
      <c r="AR176" s="453" t="n"/>
      <c r="AS176" s="453" t="n"/>
      <c r="AT176" s="453" t="n"/>
      <c r="AU176" s="453" t="n"/>
      <c r="AV176" s="453" t="n"/>
      <c r="AW176" s="453" t="n"/>
      <c r="AX176" s="453" t="n"/>
      <c r="AY176" s="453" t="n"/>
      <c r="AZ176" s="454" t="n"/>
      <c r="BE176" s="66" t="n">
        <v>44</v>
      </c>
      <c r="BF176" s="558">
        <f>AE176</f>
        <v/>
      </c>
      <c r="BG176" s="453" t="n"/>
      <c r="BH176" s="453" t="n"/>
      <c r="BI176" s="453" t="n"/>
      <c r="BJ176" s="453" t="n"/>
      <c r="BK176" s="453" t="n"/>
      <c r="BL176" s="453" t="n"/>
      <c r="BM176" s="453" t="n"/>
      <c r="BN176" s="453" t="n"/>
      <c r="BO176" s="454" t="n"/>
      <c r="BP176" s="407" t="n"/>
      <c r="BQ176" s="453" t="n"/>
      <c r="BR176" s="453" t="n"/>
      <c r="BS176" s="453" t="n"/>
      <c r="BT176" s="453" t="n"/>
      <c r="BU176" s="453" t="n"/>
      <c r="BV176" s="453" t="n"/>
      <c r="BW176" s="453" t="n"/>
      <c r="BX176" s="453" t="n"/>
      <c r="BY176" s="453" t="n"/>
      <c r="BZ176" s="453" t="n"/>
      <c r="CA176" s="453" t="n"/>
      <c r="CB176" s="453" t="n"/>
      <c r="CC176" s="454" t="n"/>
    </row>
    <row r="177">
      <c r="C177" s="66" t="n">
        <v>45</v>
      </c>
      <c r="D177" s="558">
        <f>IF(C177&lt;=$I$16, EDATE($D$6, C177-1), "")</f>
        <v/>
      </c>
      <c r="E177" s="453" t="n"/>
      <c r="F177" s="453" t="n"/>
      <c r="G177" s="453" t="n"/>
      <c r="H177" s="453" t="n"/>
      <c r="I177" s="453" t="n"/>
      <c r="J177" s="453" t="n"/>
      <c r="K177" s="453" t="n"/>
      <c r="L177" s="453" t="n"/>
      <c r="M177" s="454" t="n"/>
      <c r="N177" s="559">
        <f>IF(C177&lt;=$I$16, $I$17, "")</f>
        <v/>
      </c>
      <c r="O177" s="453" t="n"/>
      <c r="P177" s="453" t="n"/>
      <c r="Q177" s="453" t="n"/>
      <c r="R177" s="453" t="n"/>
      <c r="S177" s="453" t="n"/>
      <c r="T177" s="453" t="n"/>
      <c r="U177" s="453" t="n"/>
      <c r="V177" s="453" t="n"/>
      <c r="W177" s="453" t="n"/>
      <c r="X177" s="453" t="n"/>
      <c r="Y177" s="454" t="n"/>
      <c r="AD177" s="66" t="n">
        <v>45</v>
      </c>
      <c r="AE177" s="558">
        <f>D177</f>
        <v/>
      </c>
      <c r="AF177" s="453" t="n"/>
      <c r="AG177" s="453" t="n"/>
      <c r="AH177" s="453" t="n"/>
      <c r="AI177" s="453" t="n"/>
      <c r="AJ177" s="453" t="n"/>
      <c r="AK177" s="453" t="n"/>
      <c r="AL177" s="453" t="n"/>
      <c r="AM177" s="453" t="n"/>
      <c r="AN177" s="454" t="n"/>
      <c r="AO177" s="559">
        <f>AO176</f>
        <v/>
      </c>
      <c r="AP177" s="453" t="n"/>
      <c r="AQ177" s="453" t="n"/>
      <c r="AR177" s="453" t="n"/>
      <c r="AS177" s="453" t="n"/>
      <c r="AT177" s="453" t="n"/>
      <c r="AU177" s="453" t="n"/>
      <c r="AV177" s="453" t="n"/>
      <c r="AW177" s="453" t="n"/>
      <c r="AX177" s="453" t="n"/>
      <c r="AY177" s="453" t="n"/>
      <c r="AZ177" s="454" t="n"/>
      <c r="BE177" s="66" t="n">
        <v>45</v>
      </c>
      <c r="BF177" s="558">
        <f>AE177</f>
        <v/>
      </c>
      <c r="BG177" s="453" t="n"/>
      <c r="BH177" s="453" t="n"/>
      <c r="BI177" s="453" t="n"/>
      <c r="BJ177" s="453" t="n"/>
      <c r="BK177" s="453" t="n"/>
      <c r="BL177" s="453" t="n"/>
      <c r="BM177" s="453" t="n"/>
      <c r="BN177" s="453" t="n"/>
      <c r="BO177" s="454" t="n"/>
      <c r="BP177" s="407" t="n"/>
      <c r="BQ177" s="453" t="n"/>
      <c r="BR177" s="453" t="n"/>
      <c r="BS177" s="453" t="n"/>
      <c r="BT177" s="453" t="n"/>
      <c r="BU177" s="453" t="n"/>
      <c r="BV177" s="453" t="n"/>
      <c r="BW177" s="453" t="n"/>
      <c r="BX177" s="453" t="n"/>
      <c r="BY177" s="453" t="n"/>
      <c r="BZ177" s="453" t="n"/>
      <c r="CA177" s="453" t="n"/>
      <c r="CB177" s="453" t="n"/>
      <c r="CC177" s="454" t="n"/>
    </row>
    <row r="178">
      <c r="C178" s="66" t="n">
        <v>46</v>
      </c>
      <c r="D178" s="558">
        <f>IF(C178&lt;=$I$16, EDATE($D$6, C178-1), "")</f>
        <v/>
      </c>
      <c r="E178" s="453" t="n"/>
      <c r="F178" s="453" t="n"/>
      <c r="G178" s="453" t="n"/>
      <c r="H178" s="453" t="n"/>
      <c r="I178" s="453" t="n"/>
      <c r="J178" s="453" t="n"/>
      <c r="K178" s="453" t="n"/>
      <c r="L178" s="453" t="n"/>
      <c r="M178" s="454" t="n"/>
      <c r="N178" s="559">
        <f>IF(C178&lt;=$I$16, $I$17, "")</f>
        <v/>
      </c>
      <c r="O178" s="453" t="n"/>
      <c r="P178" s="453" t="n"/>
      <c r="Q178" s="453" t="n"/>
      <c r="R178" s="453" t="n"/>
      <c r="S178" s="453" t="n"/>
      <c r="T178" s="453" t="n"/>
      <c r="U178" s="453" t="n"/>
      <c r="V178" s="453" t="n"/>
      <c r="W178" s="453" t="n"/>
      <c r="X178" s="453" t="n"/>
      <c r="Y178" s="454" t="n"/>
      <c r="AD178" s="66" t="n">
        <v>46</v>
      </c>
      <c r="AE178" s="558">
        <f>D178</f>
        <v/>
      </c>
      <c r="AF178" s="453" t="n"/>
      <c r="AG178" s="453" t="n"/>
      <c r="AH178" s="453" t="n"/>
      <c r="AI178" s="453" t="n"/>
      <c r="AJ178" s="453" t="n"/>
      <c r="AK178" s="453" t="n"/>
      <c r="AL178" s="453" t="n"/>
      <c r="AM178" s="453" t="n"/>
      <c r="AN178" s="454" t="n"/>
      <c r="AO178" s="559">
        <f>AO177</f>
        <v/>
      </c>
      <c r="AP178" s="453" t="n"/>
      <c r="AQ178" s="453" t="n"/>
      <c r="AR178" s="453" t="n"/>
      <c r="AS178" s="453" t="n"/>
      <c r="AT178" s="453" t="n"/>
      <c r="AU178" s="453" t="n"/>
      <c r="AV178" s="453" t="n"/>
      <c r="AW178" s="453" t="n"/>
      <c r="AX178" s="453" t="n"/>
      <c r="AY178" s="453" t="n"/>
      <c r="AZ178" s="454" t="n"/>
      <c r="BE178" s="66" t="n">
        <v>46</v>
      </c>
      <c r="BF178" s="558">
        <f>AE178</f>
        <v/>
      </c>
      <c r="BG178" s="453" t="n"/>
      <c r="BH178" s="453" t="n"/>
      <c r="BI178" s="453" t="n"/>
      <c r="BJ178" s="453" t="n"/>
      <c r="BK178" s="453" t="n"/>
      <c r="BL178" s="453" t="n"/>
      <c r="BM178" s="453" t="n"/>
      <c r="BN178" s="453" t="n"/>
      <c r="BO178" s="454" t="n"/>
      <c r="BP178" s="407" t="n"/>
      <c r="BQ178" s="453" t="n"/>
      <c r="BR178" s="453" t="n"/>
      <c r="BS178" s="453" t="n"/>
      <c r="BT178" s="453" t="n"/>
      <c r="BU178" s="453" t="n"/>
      <c r="BV178" s="453" t="n"/>
      <c r="BW178" s="453" t="n"/>
      <c r="BX178" s="453" t="n"/>
      <c r="BY178" s="453" t="n"/>
      <c r="BZ178" s="453" t="n"/>
      <c r="CA178" s="453" t="n"/>
      <c r="CB178" s="453" t="n"/>
      <c r="CC178" s="454" t="n"/>
    </row>
    <row r="179">
      <c r="C179" s="66" t="n">
        <v>47</v>
      </c>
      <c r="D179" s="558">
        <f>IF(C179&lt;=$I$16, EDATE($D$6, C179-1), "")</f>
        <v/>
      </c>
      <c r="E179" s="453" t="n"/>
      <c r="F179" s="453" t="n"/>
      <c r="G179" s="453" t="n"/>
      <c r="H179" s="453" t="n"/>
      <c r="I179" s="453" t="n"/>
      <c r="J179" s="453" t="n"/>
      <c r="K179" s="453" t="n"/>
      <c r="L179" s="453" t="n"/>
      <c r="M179" s="454" t="n"/>
      <c r="N179" s="559">
        <f>IF(C179&lt;=$I$16, $I$17, "")</f>
        <v/>
      </c>
      <c r="O179" s="453" t="n"/>
      <c r="P179" s="453" t="n"/>
      <c r="Q179" s="453" t="n"/>
      <c r="R179" s="453" t="n"/>
      <c r="S179" s="453" t="n"/>
      <c r="T179" s="453" t="n"/>
      <c r="U179" s="453" t="n"/>
      <c r="V179" s="453" t="n"/>
      <c r="W179" s="453" t="n"/>
      <c r="X179" s="453" t="n"/>
      <c r="Y179" s="454" t="n"/>
      <c r="AD179" s="66" t="n">
        <v>47</v>
      </c>
      <c r="AE179" s="558">
        <f>D179</f>
        <v/>
      </c>
      <c r="AF179" s="453" t="n"/>
      <c r="AG179" s="453" t="n"/>
      <c r="AH179" s="453" t="n"/>
      <c r="AI179" s="453" t="n"/>
      <c r="AJ179" s="453" t="n"/>
      <c r="AK179" s="453" t="n"/>
      <c r="AL179" s="453" t="n"/>
      <c r="AM179" s="453" t="n"/>
      <c r="AN179" s="454" t="n"/>
      <c r="AO179" s="559">
        <f>AO178</f>
        <v/>
      </c>
      <c r="AP179" s="453" t="n"/>
      <c r="AQ179" s="453" t="n"/>
      <c r="AR179" s="453" t="n"/>
      <c r="AS179" s="453" t="n"/>
      <c r="AT179" s="453" t="n"/>
      <c r="AU179" s="453" t="n"/>
      <c r="AV179" s="453" t="n"/>
      <c r="AW179" s="453" t="n"/>
      <c r="AX179" s="453" t="n"/>
      <c r="AY179" s="453" t="n"/>
      <c r="AZ179" s="454" t="n"/>
      <c r="BE179" s="66" t="n">
        <v>47</v>
      </c>
      <c r="BF179" s="558">
        <f>AE179</f>
        <v/>
      </c>
      <c r="BG179" s="453" t="n"/>
      <c r="BH179" s="453" t="n"/>
      <c r="BI179" s="453" t="n"/>
      <c r="BJ179" s="453" t="n"/>
      <c r="BK179" s="453" t="n"/>
      <c r="BL179" s="453" t="n"/>
      <c r="BM179" s="453" t="n"/>
      <c r="BN179" s="453" t="n"/>
      <c r="BO179" s="454" t="n"/>
      <c r="BP179" s="407" t="n"/>
      <c r="BQ179" s="453" t="n"/>
      <c r="BR179" s="453" t="n"/>
      <c r="BS179" s="453" t="n"/>
      <c r="BT179" s="453" t="n"/>
      <c r="BU179" s="453" t="n"/>
      <c r="BV179" s="453" t="n"/>
      <c r="BW179" s="453" t="n"/>
      <c r="BX179" s="453" t="n"/>
      <c r="BY179" s="453" t="n"/>
      <c r="BZ179" s="453" t="n"/>
      <c r="CA179" s="453" t="n"/>
      <c r="CB179" s="453" t="n"/>
      <c r="CC179" s="454" t="n"/>
    </row>
    <row r="180">
      <c r="C180" s="66" t="n">
        <v>48</v>
      </c>
      <c r="D180" s="558">
        <f>IF(C180&lt;=$I$16, EDATE($D$6, C180-1), "")</f>
        <v/>
      </c>
      <c r="E180" s="453" t="n"/>
      <c r="F180" s="453" t="n"/>
      <c r="G180" s="453" t="n"/>
      <c r="H180" s="453" t="n"/>
      <c r="I180" s="453" t="n"/>
      <c r="J180" s="453" t="n"/>
      <c r="K180" s="453" t="n"/>
      <c r="L180" s="453" t="n"/>
      <c r="M180" s="454" t="n"/>
      <c r="N180" s="559">
        <f>IF(C180&lt;=$I$16, $I$17, "")</f>
        <v/>
      </c>
      <c r="O180" s="453" t="n"/>
      <c r="P180" s="453" t="n"/>
      <c r="Q180" s="453" t="n"/>
      <c r="R180" s="453" t="n"/>
      <c r="S180" s="453" t="n"/>
      <c r="T180" s="453" t="n"/>
      <c r="U180" s="453" t="n"/>
      <c r="V180" s="453" t="n"/>
      <c r="W180" s="453" t="n"/>
      <c r="X180" s="453" t="n"/>
      <c r="Y180" s="454" t="n"/>
      <c r="AD180" s="66" t="n">
        <v>48</v>
      </c>
      <c r="AE180" s="558">
        <f>D180</f>
        <v/>
      </c>
      <c r="AF180" s="453" t="n"/>
      <c r="AG180" s="453" t="n"/>
      <c r="AH180" s="453" t="n"/>
      <c r="AI180" s="453" t="n"/>
      <c r="AJ180" s="453" t="n"/>
      <c r="AK180" s="453" t="n"/>
      <c r="AL180" s="453" t="n"/>
      <c r="AM180" s="453" t="n"/>
      <c r="AN180" s="454" t="n"/>
      <c r="AO180" s="559">
        <f>AO179</f>
        <v/>
      </c>
      <c r="AP180" s="453" t="n"/>
      <c r="AQ180" s="453" t="n"/>
      <c r="AR180" s="453" t="n"/>
      <c r="AS180" s="453" t="n"/>
      <c r="AT180" s="453" t="n"/>
      <c r="AU180" s="453" t="n"/>
      <c r="AV180" s="453" t="n"/>
      <c r="AW180" s="453" t="n"/>
      <c r="AX180" s="453" t="n"/>
      <c r="AY180" s="453" t="n"/>
      <c r="AZ180" s="454" t="n"/>
      <c r="BE180" s="66" t="n">
        <v>48</v>
      </c>
      <c r="BF180" s="558">
        <f>AE180</f>
        <v/>
      </c>
      <c r="BG180" s="453" t="n"/>
      <c r="BH180" s="453" t="n"/>
      <c r="BI180" s="453" t="n"/>
      <c r="BJ180" s="453" t="n"/>
      <c r="BK180" s="453" t="n"/>
      <c r="BL180" s="453" t="n"/>
      <c r="BM180" s="453" t="n"/>
      <c r="BN180" s="453" t="n"/>
      <c r="BO180" s="454" t="n"/>
      <c r="BP180" s="407" t="n"/>
      <c r="BQ180" s="453" t="n"/>
      <c r="BR180" s="453" t="n"/>
      <c r="BS180" s="453" t="n"/>
      <c r="BT180" s="453" t="n"/>
      <c r="BU180" s="453" t="n"/>
      <c r="BV180" s="453" t="n"/>
      <c r="BW180" s="453" t="n"/>
      <c r="BX180" s="453" t="n"/>
      <c r="BY180" s="453" t="n"/>
      <c r="BZ180" s="453" t="n"/>
      <c r="CA180" s="453" t="n"/>
      <c r="CB180" s="453" t="n"/>
      <c r="CC180" s="454" t="n"/>
    </row>
    <row r="181">
      <c r="C181" s="66" t="n">
        <v>49</v>
      </c>
      <c r="D181" s="558">
        <f>IF(C181&lt;=$I$16, EDATE($D$6, C181-1), "")</f>
        <v/>
      </c>
      <c r="E181" s="453" t="n"/>
      <c r="F181" s="453" t="n"/>
      <c r="G181" s="453" t="n"/>
      <c r="H181" s="453" t="n"/>
      <c r="I181" s="453" t="n"/>
      <c r="J181" s="453" t="n"/>
      <c r="K181" s="453" t="n"/>
      <c r="L181" s="453" t="n"/>
      <c r="M181" s="454" t="n"/>
      <c r="N181" s="559">
        <f>IF(C181&lt;=$I$16, $I$17, "")</f>
        <v/>
      </c>
      <c r="O181" s="453" t="n"/>
      <c r="P181" s="453" t="n"/>
      <c r="Q181" s="453" t="n"/>
      <c r="R181" s="453" t="n"/>
      <c r="S181" s="453" t="n"/>
      <c r="T181" s="453" t="n"/>
      <c r="U181" s="453" t="n"/>
      <c r="V181" s="453" t="n"/>
      <c r="W181" s="453" t="n"/>
      <c r="X181" s="453" t="n"/>
      <c r="Y181" s="454" t="n"/>
      <c r="AD181" s="66" t="n">
        <v>49</v>
      </c>
      <c r="AE181" s="558">
        <f>D181</f>
        <v/>
      </c>
      <c r="AF181" s="453" t="n"/>
      <c r="AG181" s="453" t="n"/>
      <c r="AH181" s="453" t="n"/>
      <c r="AI181" s="453" t="n"/>
      <c r="AJ181" s="453" t="n"/>
      <c r="AK181" s="453" t="n"/>
      <c r="AL181" s="453" t="n"/>
      <c r="AM181" s="453" t="n"/>
      <c r="AN181" s="454" t="n"/>
      <c r="AO181" s="559">
        <f>AO180</f>
        <v/>
      </c>
      <c r="AP181" s="453" t="n"/>
      <c r="AQ181" s="453" t="n"/>
      <c r="AR181" s="453" t="n"/>
      <c r="AS181" s="453" t="n"/>
      <c r="AT181" s="453" t="n"/>
      <c r="AU181" s="453" t="n"/>
      <c r="AV181" s="453" t="n"/>
      <c r="AW181" s="453" t="n"/>
      <c r="AX181" s="453" t="n"/>
      <c r="AY181" s="453" t="n"/>
      <c r="AZ181" s="454" t="n"/>
      <c r="BE181" s="66" t="n">
        <v>49</v>
      </c>
      <c r="BF181" s="558">
        <f>AE181</f>
        <v/>
      </c>
      <c r="BG181" s="453" t="n"/>
      <c r="BH181" s="453" t="n"/>
      <c r="BI181" s="453" t="n"/>
      <c r="BJ181" s="453" t="n"/>
      <c r="BK181" s="453" t="n"/>
      <c r="BL181" s="453" t="n"/>
      <c r="BM181" s="453" t="n"/>
      <c r="BN181" s="453" t="n"/>
      <c r="BO181" s="454" t="n"/>
      <c r="BP181" s="407" t="n"/>
      <c r="BQ181" s="453" t="n"/>
      <c r="BR181" s="453" t="n"/>
      <c r="BS181" s="453" t="n"/>
      <c r="BT181" s="453" t="n"/>
      <c r="BU181" s="453" t="n"/>
      <c r="BV181" s="453" t="n"/>
      <c r="BW181" s="453" t="n"/>
      <c r="BX181" s="453" t="n"/>
      <c r="BY181" s="453" t="n"/>
      <c r="BZ181" s="453" t="n"/>
      <c r="CA181" s="453" t="n"/>
      <c r="CB181" s="453" t="n"/>
      <c r="CC181" s="454" t="n"/>
    </row>
    <row r="182">
      <c r="C182" s="66" t="n">
        <v>50</v>
      </c>
      <c r="D182" s="558">
        <f>IF(C182&lt;=$I$16, EDATE($D$6, C182-1), "")</f>
        <v/>
      </c>
      <c r="E182" s="453" t="n"/>
      <c r="F182" s="453" t="n"/>
      <c r="G182" s="453" t="n"/>
      <c r="H182" s="453" t="n"/>
      <c r="I182" s="453" t="n"/>
      <c r="J182" s="453" t="n"/>
      <c r="K182" s="453" t="n"/>
      <c r="L182" s="453" t="n"/>
      <c r="M182" s="454" t="n"/>
      <c r="N182" s="559">
        <f>IF(C182&lt;=$I$16, $I$17, "")</f>
        <v/>
      </c>
      <c r="O182" s="453" t="n"/>
      <c r="P182" s="453" t="n"/>
      <c r="Q182" s="453" t="n"/>
      <c r="R182" s="453" t="n"/>
      <c r="S182" s="453" t="n"/>
      <c r="T182" s="453" t="n"/>
      <c r="U182" s="453" t="n"/>
      <c r="V182" s="453" t="n"/>
      <c r="W182" s="453" t="n"/>
      <c r="X182" s="453" t="n"/>
      <c r="Y182" s="454" t="n"/>
      <c r="AD182" s="66" t="n">
        <v>50</v>
      </c>
      <c r="AE182" s="558">
        <f>D182</f>
        <v/>
      </c>
      <c r="AF182" s="453" t="n"/>
      <c r="AG182" s="453" t="n"/>
      <c r="AH182" s="453" t="n"/>
      <c r="AI182" s="453" t="n"/>
      <c r="AJ182" s="453" t="n"/>
      <c r="AK182" s="453" t="n"/>
      <c r="AL182" s="453" t="n"/>
      <c r="AM182" s="453" t="n"/>
      <c r="AN182" s="454" t="n"/>
      <c r="AO182" s="559">
        <f>AO181</f>
        <v/>
      </c>
      <c r="AP182" s="453" t="n"/>
      <c r="AQ182" s="453" t="n"/>
      <c r="AR182" s="453" t="n"/>
      <c r="AS182" s="453" t="n"/>
      <c r="AT182" s="453" t="n"/>
      <c r="AU182" s="453" t="n"/>
      <c r="AV182" s="453" t="n"/>
      <c r="AW182" s="453" t="n"/>
      <c r="AX182" s="453" t="n"/>
      <c r="AY182" s="453" t="n"/>
      <c r="AZ182" s="454" t="n"/>
      <c r="BE182" s="66" t="n">
        <v>50</v>
      </c>
      <c r="BF182" s="558">
        <f>AE182</f>
        <v/>
      </c>
      <c r="BG182" s="453" t="n"/>
      <c r="BH182" s="453" t="n"/>
      <c r="BI182" s="453" t="n"/>
      <c r="BJ182" s="453" t="n"/>
      <c r="BK182" s="453" t="n"/>
      <c r="BL182" s="453" t="n"/>
      <c r="BM182" s="453" t="n"/>
      <c r="BN182" s="453" t="n"/>
      <c r="BO182" s="454" t="n"/>
      <c r="BP182" s="407" t="n"/>
      <c r="BQ182" s="453" t="n"/>
      <c r="BR182" s="453" t="n"/>
      <c r="BS182" s="453" t="n"/>
      <c r="BT182" s="453" t="n"/>
      <c r="BU182" s="453" t="n"/>
      <c r="BV182" s="453" t="n"/>
      <c r="BW182" s="453" t="n"/>
      <c r="BX182" s="453" t="n"/>
      <c r="BY182" s="453" t="n"/>
      <c r="BZ182" s="453" t="n"/>
      <c r="CA182" s="453" t="n"/>
      <c r="CB182" s="453" t="n"/>
      <c r="CC182" s="454" t="n"/>
    </row>
    <row r="183">
      <c r="C183" s="66" t="n">
        <v>51</v>
      </c>
      <c r="D183" s="558">
        <f>IF(C183&lt;=$I$16, EDATE($D$6, C183-1), "")</f>
        <v/>
      </c>
      <c r="E183" s="453" t="n"/>
      <c r="F183" s="453" t="n"/>
      <c r="G183" s="453" t="n"/>
      <c r="H183" s="453" t="n"/>
      <c r="I183" s="453" t="n"/>
      <c r="J183" s="453" t="n"/>
      <c r="K183" s="453" t="n"/>
      <c r="L183" s="453" t="n"/>
      <c r="M183" s="454" t="n"/>
      <c r="N183" s="559">
        <f>IF(C183&lt;=$I$16, $I$17, "")</f>
        <v/>
      </c>
      <c r="O183" s="453" t="n"/>
      <c r="P183" s="453" t="n"/>
      <c r="Q183" s="453" t="n"/>
      <c r="R183" s="453" t="n"/>
      <c r="S183" s="453" t="n"/>
      <c r="T183" s="453" t="n"/>
      <c r="U183" s="453" t="n"/>
      <c r="V183" s="453" t="n"/>
      <c r="W183" s="453" t="n"/>
      <c r="X183" s="453" t="n"/>
      <c r="Y183" s="454" t="n"/>
      <c r="AD183" s="66" t="n">
        <v>51</v>
      </c>
      <c r="AE183" s="558">
        <f>D183</f>
        <v/>
      </c>
      <c r="AF183" s="453" t="n"/>
      <c r="AG183" s="453" t="n"/>
      <c r="AH183" s="453" t="n"/>
      <c r="AI183" s="453" t="n"/>
      <c r="AJ183" s="453" t="n"/>
      <c r="AK183" s="453" t="n"/>
      <c r="AL183" s="453" t="n"/>
      <c r="AM183" s="453" t="n"/>
      <c r="AN183" s="454" t="n"/>
      <c r="AO183" s="559">
        <f>AO182</f>
        <v/>
      </c>
      <c r="AP183" s="453" t="n"/>
      <c r="AQ183" s="453" t="n"/>
      <c r="AR183" s="453" t="n"/>
      <c r="AS183" s="453" t="n"/>
      <c r="AT183" s="453" t="n"/>
      <c r="AU183" s="453" t="n"/>
      <c r="AV183" s="453" t="n"/>
      <c r="AW183" s="453" t="n"/>
      <c r="AX183" s="453" t="n"/>
      <c r="AY183" s="453" t="n"/>
      <c r="AZ183" s="454" t="n"/>
      <c r="BE183" s="66" t="n">
        <v>51</v>
      </c>
      <c r="BF183" s="558">
        <f>AE183</f>
        <v/>
      </c>
      <c r="BG183" s="453" t="n"/>
      <c r="BH183" s="453" t="n"/>
      <c r="BI183" s="453" t="n"/>
      <c r="BJ183" s="453" t="n"/>
      <c r="BK183" s="453" t="n"/>
      <c r="BL183" s="453" t="n"/>
      <c r="BM183" s="453" t="n"/>
      <c r="BN183" s="453" t="n"/>
      <c r="BO183" s="454" t="n"/>
      <c r="BP183" s="407" t="n"/>
      <c r="BQ183" s="453" t="n"/>
      <c r="BR183" s="453" t="n"/>
      <c r="BS183" s="453" t="n"/>
      <c r="BT183" s="453" t="n"/>
      <c r="BU183" s="453" t="n"/>
      <c r="BV183" s="453" t="n"/>
      <c r="BW183" s="453" t="n"/>
      <c r="BX183" s="453" t="n"/>
      <c r="BY183" s="453" t="n"/>
      <c r="BZ183" s="453" t="n"/>
      <c r="CA183" s="453" t="n"/>
      <c r="CB183" s="453" t="n"/>
      <c r="CC183" s="454" t="n"/>
    </row>
    <row r="184">
      <c r="C184" s="66" t="n">
        <v>52</v>
      </c>
      <c r="D184" s="558">
        <f>IF(C184&lt;=$I$16, EDATE($D$6, C184-1), "")</f>
        <v/>
      </c>
      <c r="E184" s="453" t="n"/>
      <c r="F184" s="453" t="n"/>
      <c r="G184" s="453" t="n"/>
      <c r="H184" s="453" t="n"/>
      <c r="I184" s="453" t="n"/>
      <c r="J184" s="453" t="n"/>
      <c r="K184" s="453" t="n"/>
      <c r="L184" s="453" t="n"/>
      <c r="M184" s="454" t="n"/>
      <c r="N184" s="559">
        <f>IF(C184&lt;=$I$16, $I$17, "")</f>
        <v/>
      </c>
      <c r="O184" s="453" t="n"/>
      <c r="P184" s="453" t="n"/>
      <c r="Q184" s="453" t="n"/>
      <c r="R184" s="453" t="n"/>
      <c r="S184" s="453" t="n"/>
      <c r="T184" s="453" t="n"/>
      <c r="U184" s="453" t="n"/>
      <c r="V184" s="453" t="n"/>
      <c r="W184" s="453" t="n"/>
      <c r="X184" s="453" t="n"/>
      <c r="Y184" s="454" t="n"/>
      <c r="AD184" s="66" t="n">
        <v>52</v>
      </c>
      <c r="AE184" s="558">
        <f>D184</f>
        <v/>
      </c>
      <c r="AF184" s="453" t="n"/>
      <c r="AG184" s="453" t="n"/>
      <c r="AH184" s="453" t="n"/>
      <c r="AI184" s="453" t="n"/>
      <c r="AJ184" s="453" t="n"/>
      <c r="AK184" s="453" t="n"/>
      <c r="AL184" s="453" t="n"/>
      <c r="AM184" s="453" t="n"/>
      <c r="AN184" s="454" t="n"/>
      <c r="AO184" s="559">
        <f>AO183</f>
        <v/>
      </c>
      <c r="AP184" s="453" t="n"/>
      <c r="AQ184" s="453" t="n"/>
      <c r="AR184" s="453" t="n"/>
      <c r="AS184" s="453" t="n"/>
      <c r="AT184" s="453" t="n"/>
      <c r="AU184" s="453" t="n"/>
      <c r="AV184" s="453" t="n"/>
      <c r="AW184" s="453" t="n"/>
      <c r="AX184" s="453" t="n"/>
      <c r="AY184" s="453" t="n"/>
      <c r="AZ184" s="454" t="n"/>
      <c r="BE184" s="66" t="n">
        <v>52</v>
      </c>
      <c r="BF184" s="558">
        <f>AE184</f>
        <v/>
      </c>
      <c r="BG184" s="453" t="n"/>
      <c r="BH184" s="453" t="n"/>
      <c r="BI184" s="453" t="n"/>
      <c r="BJ184" s="453" t="n"/>
      <c r="BK184" s="453" t="n"/>
      <c r="BL184" s="453" t="n"/>
      <c r="BM184" s="453" t="n"/>
      <c r="BN184" s="453" t="n"/>
      <c r="BO184" s="454" t="n"/>
      <c r="BP184" s="407" t="n"/>
      <c r="BQ184" s="453" t="n"/>
      <c r="BR184" s="453" t="n"/>
      <c r="BS184" s="453" t="n"/>
      <c r="BT184" s="453" t="n"/>
      <c r="BU184" s="453" t="n"/>
      <c r="BV184" s="453" t="n"/>
      <c r="BW184" s="453" t="n"/>
      <c r="BX184" s="453" t="n"/>
      <c r="BY184" s="453" t="n"/>
      <c r="BZ184" s="453" t="n"/>
      <c r="CA184" s="453" t="n"/>
      <c r="CB184" s="453" t="n"/>
      <c r="CC184" s="454" t="n"/>
    </row>
    <row r="185">
      <c r="C185" s="66" t="n">
        <v>53</v>
      </c>
      <c r="D185" s="558">
        <f>IF(C185&lt;=$I$16, EDATE($D$6, C185-1), "")</f>
        <v/>
      </c>
      <c r="E185" s="453" t="n"/>
      <c r="F185" s="453" t="n"/>
      <c r="G185" s="453" t="n"/>
      <c r="H185" s="453" t="n"/>
      <c r="I185" s="453" t="n"/>
      <c r="J185" s="453" t="n"/>
      <c r="K185" s="453" t="n"/>
      <c r="L185" s="453" t="n"/>
      <c r="M185" s="454" t="n"/>
      <c r="N185" s="559">
        <f>IF(C185&lt;=$I$16, $I$17, "")</f>
        <v/>
      </c>
      <c r="O185" s="453" t="n"/>
      <c r="P185" s="453" t="n"/>
      <c r="Q185" s="453" t="n"/>
      <c r="R185" s="453" t="n"/>
      <c r="S185" s="453" t="n"/>
      <c r="T185" s="453" t="n"/>
      <c r="U185" s="453" t="n"/>
      <c r="V185" s="453" t="n"/>
      <c r="W185" s="453" t="n"/>
      <c r="X185" s="453" t="n"/>
      <c r="Y185" s="454" t="n"/>
      <c r="AD185" s="66" t="n">
        <v>53</v>
      </c>
      <c r="AE185" s="558">
        <f>D185</f>
        <v/>
      </c>
      <c r="AF185" s="453" t="n"/>
      <c r="AG185" s="453" t="n"/>
      <c r="AH185" s="453" t="n"/>
      <c r="AI185" s="453" t="n"/>
      <c r="AJ185" s="453" t="n"/>
      <c r="AK185" s="453" t="n"/>
      <c r="AL185" s="453" t="n"/>
      <c r="AM185" s="453" t="n"/>
      <c r="AN185" s="454" t="n"/>
      <c r="AO185" s="559">
        <f>AO184</f>
        <v/>
      </c>
      <c r="AP185" s="453" t="n"/>
      <c r="AQ185" s="453" t="n"/>
      <c r="AR185" s="453" t="n"/>
      <c r="AS185" s="453" t="n"/>
      <c r="AT185" s="453" t="n"/>
      <c r="AU185" s="453" t="n"/>
      <c r="AV185" s="453" t="n"/>
      <c r="AW185" s="453" t="n"/>
      <c r="AX185" s="453" t="n"/>
      <c r="AY185" s="453" t="n"/>
      <c r="AZ185" s="454" t="n"/>
      <c r="BE185" s="66" t="n">
        <v>53</v>
      </c>
      <c r="BF185" s="558">
        <f>AE185</f>
        <v/>
      </c>
      <c r="BG185" s="453" t="n"/>
      <c r="BH185" s="453" t="n"/>
      <c r="BI185" s="453" t="n"/>
      <c r="BJ185" s="453" t="n"/>
      <c r="BK185" s="453" t="n"/>
      <c r="BL185" s="453" t="n"/>
      <c r="BM185" s="453" t="n"/>
      <c r="BN185" s="453" t="n"/>
      <c r="BO185" s="454" t="n"/>
      <c r="BP185" s="407" t="n"/>
      <c r="BQ185" s="453" t="n"/>
      <c r="BR185" s="453" t="n"/>
      <c r="BS185" s="453" t="n"/>
      <c r="BT185" s="453" t="n"/>
      <c r="BU185" s="453" t="n"/>
      <c r="BV185" s="453" t="n"/>
      <c r="BW185" s="453" t="n"/>
      <c r="BX185" s="453" t="n"/>
      <c r="BY185" s="453" t="n"/>
      <c r="BZ185" s="453" t="n"/>
      <c r="CA185" s="453" t="n"/>
      <c r="CB185" s="453" t="n"/>
      <c r="CC185" s="454" t="n"/>
    </row>
    <row r="186">
      <c r="C186" s="66" t="n">
        <v>54</v>
      </c>
      <c r="D186" s="558">
        <f>IF(C186&lt;=$I$16, EDATE($D$6, C186-1), "")</f>
        <v/>
      </c>
      <c r="E186" s="453" t="n"/>
      <c r="F186" s="453" t="n"/>
      <c r="G186" s="453" t="n"/>
      <c r="H186" s="453" t="n"/>
      <c r="I186" s="453" t="n"/>
      <c r="J186" s="453" t="n"/>
      <c r="K186" s="453" t="n"/>
      <c r="L186" s="453" t="n"/>
      <c r="M186" s="454" t="n"/>
      <c r="N186" s="559">
        <f>IF(C186&lt;=$I$16, $I$17, "")</f>
        <v/>
      </c>
      <c r="O186" s="453" t="n"/>
      <c r="P186" s="453" t="n"/>
      <c r="Q186" s="453" t="n"/>
      <c r="R186" s="453" t="n"/>
      <c r="S186" s="453" t="n"/>
      <c r="T186" s="453" t="n"/>
      <c r="U186" s="453" t="n"/>
      <c r="V186" s="453" t="n"/>
      <c r="W186" s="453" t="n"/>
      <c r="X186" s="453" t="n"/>
      <c r="Y186" s="454" t="n"/>
      <c r="AD186" s="66" t="n">
        <v>54</v>
      </c>
      <c r="AE186" s="558">
        <f>D186</f>
        <v/>
      </c>
      <c r="AF186" s="453" t="n"/>
      <c r="AG186" s="453" t="n"/>
      <c r="AH186" s="453" t="n"/>
      <c r="AI186" s="453" t="n"/>
      <c r="AJ186" s="453" t="n"/>
      <c r="AK186" s="453" t="n"/>
      <c r="AL186" s="453" t="n"/>
      <c r="AM186" s="453" t="n"/>
      <c r="AN186" s="454" t="n"/>
      <c r="AO186" s="559">
        <f>AO185</f>
        <v/>
      </c>
      <c r="AP186" s="453" t="n"/>
      <c r="AQ186" s="453" t="n"/>
      <c r="AR186" s="453" t="n"/>
      <c r="AS186" s="453" t="n"/>
      <c r="AT186" s="453" t="n"/>
      <c r="AU186" s="453" t="n"/>
      <c r="AV186" s="453" t="n"/>
      <c r="AW186" s="453" t="n"/>
      <c r="AX186" s="453" t="n"/>
      <c r="AY186" s="453" t="n"/>
      <c r="AZ186" s="454" t="n"/>
      <c r="BE186" s="66" t="n">
        <v>54</v>
      </c>
      <c r="BF186" s="558">
        <f>AE186</f>
        <v/>
      </c>
      <c r="BG186" s="453" t="n"/>
      <c r="BH186" s="453" t="n"/>
      <c r="BI186" s="453" t="n"/>
      <c r="BJ186" s="453" t="n"/>
      <c r="BK186" s="453" t="n"/>
      <c r="BL186" s="453" t="n"/>
      <c r="BM186" s="453" t="n"/>
      <c r="BN186" s="453" t="n"/>
      <c r="BO186" s="454" t="n"/>
      <c r="BP186" s="407" t="n"/>
      <c r="BQ186" s="453" t="n"/>
      <c r="BR186" s="453" t="n"/>
      <c r="BS186" s="453" t="n"/>
      <c r="BT186" s="453" t="n"/>
      <c r="BU186" s="453" t="n"/>
      <c r="BV186" s="453" t="n"/>
      <c r="BW186" s="453" t="n"/>
      <c r="BX186" s="453" t="n"/>
      <c r="BY186" s="453" t="n"/>
      <c r="BZ186" s="453" t="n"/>
      <c r="CA186" s="453" t="n"/>
      <c r="CB186" s="453" t="n"/>
      <c r="CC186" s="454" t="n"/>
    </row>
    <row r="187">
      <c r="C187" s="66" t="n">
        <v>55</v>
      </c>
      <c r="D187" s="558">
        <f>IF(C187&lt;=$I$16, EDATE($D$6, C187-1), "")</f>
        <v/>
      </c>
      <c r="E187" s="453" t="n"/>
      <c r="F187" s="453" t="n"/>
      <c r="G187" s="453" t="n"/>
      <c r="H187" s="453" t="n"/>
      <c r="I187" s="453" t="n"/>
      <c r="J187" s="453" t="n"/>
      <c r="K187" s="453" t="n"/>
      <c r="L187" s="453" t="n"/>
      <c r="M187" s="454" t="n"/>
      <c r="N187" s="559">
        <f>IF(C187&lt;=$I$16, $I$17, "")</f>
        <v/>
      </c>
      <c r="O187" s="453" t="n"/>
      <c r="P187" s="453" t="n"/>
      <c r="Q187" s="453" t="n"/>
      <c r="R187" s="453" t="n"/>
      <c r="S187" s="453" t="n"/>
      <c r="T187" s="453" t="n"/>
      <c r="U187" s="453" t="n"/>
      <c r="V187" s="453" t="n"/>
      <c r="W187" s="453" t="n"/>
      <c r="X187" s="453" t="n"/>
      <c r="Y187" s="454" t="n"/>
      <c r="AD187" s="66" t="n">
        <v>55</v>
      </c>
      <c r="AE187" s="558">
        <f>D187</f>
        <v/>
      </c>
      <c r="AF187" s="453" t="n"/>
      <c r="AG187" s="453" t="n"/>
      <c r="AH187" s="453" t="n"/>
      <c r="AI187" s="453" t="n"/>
      <c r="AJ187" s="453" t="n"/>
      <c r="AK187" s="453" t="n"/>
      <c r="AL187" s="453" t="n"/>
      <c r="AM187" s="453" t="n"/>
      <c r="AN187" s="454" t="n"/>
      <c r="AO187" s="559">
        <f>AO186</f>
        <v/>
      </c>
      <c r="AP187" s="453" t="n"/>
      <c r="AQ187" s="453" t="n"/>
      <c r="AR187" s="453" t="n"/>
      <c r="AS187" s="453" t="n"/>
      <c r="AT187" s="453" t="n"/>
      <c r="AU187" s="453" t="n"/>
      <c r="AV187" s="453" t="n"/>
      <c r="AW187" s="453" t="n"/>
      <c r="AX187" s="453" t="n"/>
      <c r="AY187" s="453" t="n"/>
      <c r="AZ187" s="454" t="n"/>
      <c r="BE187" s="66" t="n">
        <v>55</v>
      </c>
      <c r="BF187" s="558">
        <f>AE187</f>
        <v/>
      </c>
      <c r="BG187" s="453" t="n"/>
      <c r="BH187" s="453" t="n"/>
      <c r="BI187" s="453" t="n"/>
      <c r="BJ187" s="453" t="n"/>
      <c r="BK187" s="453" t="n"/>
      <c r="BL187" s="453" t="n"/>
      <c r="BM187" s="453" t="n"/>
      <c r="BN187" s="453" t="n"/>
      <c r="BO187" s="454" t="n"/>
      <c r="BP187" s="407" t="n"/>
      <c r="BQ187" s="453" t="n"/>
      <c r="BR187" s="453" t="n"/>
      <c r="BS187" s="453" t="n"/>
      <c r="BT187" s="453" t="n"/>
      <c r="BU187" s="453" t="n"/>
      <c r="BV187" s="453" t="n"/>
      <c r="BW187" s="453" t="n"/>
      <c r="BX187" s="453" t="n"/>
      <c r="BY187" s="453" t="n"/>
      <c r="BZ187" s="453" t="n"/>
      <c r="CA187" s="453" t="n"/>
      <c r="CB187" s="453" t="n"/>
      <c r="CC187" s="454" t="n"/>
    </row>
    <row r="188">
      <c r="C188" s="66" t="n">
        <v>56</v>
      </c>
      <c r="D188" s="558">
        <f>IF(C188&lt;=$I$16, EDATE($D$6, C188-1), "")</f>
        <v/>
      </c>
      <c r="E188" s="453" t="n"/>
      <c r="F188" s="453" t="n"/>
      <c r="G188" s="453" t="n"/>
      <c r="H188" s="453" t="n"/>
      <c r="I188" s="453" t="n"/>
      <c r="J188" s="453" t="n"/>
      <c r="K188" s="453" t="n"/>
      <c r="L188" s="453" t="n"/>
      <c r="M188" s="454" t="n"/>
      <c r="N188" s="559">
        <f>IF(C188&lt;=$I$16, $I$17, "")</f>
        <v/>
      </c>
      <c r="O188" s="453" t="n"/>
      <c r="P188" s="453" t="n"/>
      <c r="Q188" s="453" t="n"/>
      <c r="R188" s="453" t="n"/>
      <c r="S188" s="453" t="n"/>
      <c r="T188" s="453" t="n"/>
      <c r="U188" s="453" t="n"/>
      <c r="V188" s="453" t="n"/>
      <c r="W188" s="453" t="n"/>
      <c r="X188" s="453" t="n"/>
      <c r="Y188" s="454" t="n"/>
      <c r="AD188" s="66" t="n">
        <v>56</v>
      </c>
      <c r="AE188" s="558">
        <f>D188</f>
        <v/>
      </c>
      <c r="AF188" s="453" t="n"/>
      <c r="AG188" s="453" t="n"/>
      <c r="AH188" s="453" t="n"/>
      <c r="AI188" s="453" t="n"/>
      <c r="AJ188" s="453" t="n"/>
      <c r="AK188" s="453" t="n"/>
      <c r="AL188" s="453" t="n"/>
      <c r="AM188" s="453" t="n"/>
      <c r="AN188" s="454" t="n"/>
      <c r="AO188" s="559">
        <f>AO187</f>
        <v/>
      </c>
      <c r="AP188" s="453" t="n"/>
      <c r="AQ188" s="453" t="n"/>
      <c r="AR188" s="453" t="n"/>
      <c r="AS188" s="453" t="n"/>
      <c r="AT188" s="453" t="n"/>
      <c r="AU188" s="453" t="n"/>
      <c r="AV188" s="453" t="n"/>
      <c r="AW188" s="453" t="n"/>
      <c r="AX188" s="453" t="n"/>
      <c r="AY188" s="453" t="n"/>
      <c r="AZ188" s="454" t="n"/>
      <c r="BE188" s="66" t="n">
        <v>56</v>
      </c>
      <c r="BF188" s="558">
        <f>AE188</f>
        <v/>
      </c>
      <c r="BG188" s="453" t="n"/>
      <c r="BH188" s="453" t="n"/>
      <c r="BI188" s="453" t="n"/>
      <c r="BJ188" s="453" t="n"/>
      <c r="BK188" s="453" t="n"/>
      <c r="BL188" s="453" t="n"/>
      <c r="BM188" s="453" t="n"/>
      <c r="BN188" s="453" t="n"/>
      <c r="BO188" s="454" t="n"/>
      <c r="BP188" s="407" t="n"/>
      <c r="BQ188" s="453" t="n"/>
      <c r="BR188" s="453" t="n"/>
      <c r="BS188" s="453" t="n"/>
      <c r="BT188" s="453" t="n"/>
      <c r="BU188" s="453" t="n"/>
      <c r="BV188" s="453" t="n"/>
      <c r="BW188" s="453" t="n"/>
      <c r="BX188" s="453" t="n"/>
      <c r="BY188" s="453" t="n"/>
      <c r="BZ188" s="453" t="n"/>
      <c r="CA188" s="453" t="n"/>
      <c r="CB188" s="453" t="n"/>
      <c r="CC188" s="454" t="n"/>
    </row>
    <row r="189">
      <c r="C189" s="66" t="n">
        <v>57</v>
      </c>
      <c r="D189" s="558">
        <f>IF(C189&lt;=$I$16, EDATE($D$6, C189-1), "")</f>
        <v/>
      </c>
      <c r="E189" s="453" t="n"/>
      <c r="F189" s="453" t="n"/>
      <c r="G189" s="453" t="n"/>
      <c r="H189" s="453" t="n"/>
      <c r="I189" s="453" t="n"/>
      <c r="J189" s="453" t="n"/>
      <c r="K189" s="453" t="n"/>
      <c r="L189" s="453" t="n"/>
      <c r="M189" s="454" t="n"/>
      <c r="N189" s="559">
        <f>IF(C189&lt;=$I$16, $I$17, "")</f>
        <v/>
      </c>
      <c r="O189" s="453" t="n"/>
      <c r="P189" s="453" t="n"/>
      <c r="Q189" s="453" t="n"/>
      <c r="R189" s="453" t="n"/>
      <c r="S189" s="453" t="n"/>
      <c r="T189" s="453" t="n"/>
      <c r="U189" s="453" t="n"/>
      <c r="V189" s="453" t="n"/>
      <c r="W189" s="453" t="n"/>
      <c r="X189" s="453" t="n"/>
      <c r="Y189" s="454" t="n"/>
      <c r="AD189" s="66" t="n">
        <v>57</v>
      </c>
      <c r="AE189" s="558">
        <f>D189</f>
        <v/>
      </c>
      <c r="AF189" s="453" t="n"/>
      <c r="AG189" s="453" t="n"/>
      <c r="AH189" s="453" t="n"/>
      <c r="AI189" s="453" t="n"/>
      <c r="AJ189" s="453" t="n"/>
      <c r="AK189" s="453" t="n"/>
      <c r="AL189" s="453" t="n"/>
      <c r="AM189" s="453" t="n"/>
      <c r="AN189" s="454" t="n"/>
      <c r="AO189" s="559">
        <f>AO188</f>
        <v/>
      </c>
      <c r="AP189" s="453" t="n"/>
      <c r="AQ189" s="453" t="n"/>
      <c r="AR189" s="453" t="n"/>
      <c r="AS189" s="453" t="n"/>
      <c r="AT189" s="453" t="n"/>
      <c r="AU189" s="453" t="n"/>
      <c r="AV189" s="453" t="n"/>
      <c r="AW189" s="453" t="n"/>
      <c r="AX189" s="453" t="n"/>
      <c r="AY189" s="453" t="n"/>
      <c r="AZ189" s="454" t="n"/>
      <c r="BE189" s="66" t="n">
        <v>57</v>
      </c>
      <c r="BF189" s="558">
        <f>AE189</f>
        <v/>
      </c>
      <c r="BG189" s="453" t="n"/>
      <c r="BH189" s="453" t="n"/>
      <c r="BI189" s="453" t="n"/>
      <c r="BJ189" s="453" t="n"/>
      <c r="BK189" s="453" t="n"/>
      <c r="BL189" s="453" t="n"/>
      <c r="BM189" s="453" t="n"/>
      <c r="BN189" s="453" t="n"/>
      <c r="BO189" s="454" t="n"/>
      <c r="BP189" s="407" t="n"/>
      <c r="BQ189" s="453" t="n"/>
      <c r="BR189" s="453" t="n"/>
      <c r="BS189" s="453" t="n"/>
      <c r="BT189" s="453" t="n"/>
      <c r="BU189" s="453" t="n"/>
      <c r="BV189" s="453" t="n"/>
      <c r="BW189" s="453" t="n"/>
      <c r="BX189" s="453" t="n"/>
      <c r="BY189" s="453" t="n"/>
      <c r="BZ189" s="453" t="n"/>
      <c r="CA189" s="453" t="n"/>
      <c r="CB189" s="453" t="n"/>
      <c r="CC189" s="454" t="n"/>
    </row>
    <row r="190">
      <c r="C190" s="66" t="n">
        <v>58</v>
      </c>
      <c r="D190" s="558">
        <f>IF(C190&lt;=$I$16, EDATE($D$6, C190-1), "")</f>
        <v/>
      </c>
      <c r="E190" s="453" t="n"/>
      <c r="F190" s="453" t="n"/>
      <c r="G190" s="453" t="n"/>
      <c r="H190" s="453" t="n"/>
      <c r="I190" s="453" t="n"/>
      <c r="J190" s="453" t="n"/>
      <c r="K190" s="453" t="n"/>
      <c r="L190" s="453" t="n"/>
      <c r="M190" s="454" t="n"/>
      <c r="N190" s="559">
        <f>IF(C190&lt;=$I$16, $I$17, "")</f>
        <v/>
      </c>
      <c r="O190" s="453" t="n"/>
      <c r="P190" s="453" t="n"/>
      <c r="Q190" s="453" t="n"/>
      <c r="R190" s="453" t="n"/>
      <c r="S190" s="453" t="n"/>
      <c r="T190" s="453" t="n"/>
      <c r="U190" s="453" t="n"/>
      <c r="V190" s="453" t="n"/>
      <c r="W190" s="453" t="n"/>
      <c r="X190" s="453" t="n"/>
      <c r="Y190" s="454" t="n"/>
      <c r="AD190" s="66" t="n">
        <v>58</v>
      </c>
      <c r="AE190" s="558">
        <f>D190</f>
        <v/>
      </c>
      <c r="AF190" s="453" t="n"/>
      <c r="AG190" s="453" t="n"/>
      <c r="AH190" s="453" t="n"/>
      <c r="AI190" s="453" t="n"/>
      <c r="AJ190" s="453" t="n"/>
      <c r="AK190" s="453" t="n"/>
      <c r="AL190" s="453" t="n"/>
      <c r="AM190" s="453" t="n"/>
      <c r="AN190" s="454" t="n"/>
      <c r="AO190" s="559">
        <f>AO189</f>
        <v/>
      </c>
      <c r="AP190" s="453" t="n"/>
      <c r="AQ190" s="453" t="n"/>
      <c r="AR190" s="453" t="n"/>
      <c r="AS190" s="453" t="n"/>
      <c r="AT190" s="453" t="n"/>
      <c r="AU190" s="453" t="n"/>
      <c r="AV190" s="453" t="n"/>
      <c r="AW190" s="453" t="n"/>
      <c r="AX190" s="453" t="n"/>
      <c r="AY190" s="453" t="n"/>
      <c r="AZ190" s="454" t="n"/>
      <c r="BE190" s="66" t="n">
        <v>58</v>
      </c>
      <c r="BF190" s="558">
        <f>AE190</f>
        <v/>
      </c>
      <c r="BG190" s="453" t="n"/>
      <c r="BH190" s="453" t="n"/>
      <c r="BI190" s="453" t="n"/>
      <c r="BJ190" s="453" t="n"/>
      <c r="BK190" s="453" t="n"/>
      <c r="BL190" s="453" t="n"/>
      <c r="BM190" s="453" t="n"/>
      <c r="BN190" s="453" t="n"/>
      <c r="BO190" s="454" t="n"/>
      <c r="BP190" s="407" t="n"/>
      <c r="BQ190" s="453" t="n"/>
      <c r="BR190" s="453" t="n"/>
      <c r="BS190" s="453" t="n"/>
      <c r="BT190" s="453" t="n"/>
      <c r="BU190" s="453" t="n"/>
      <c r="BV190" s="453" t="n"/>
      <c r="BW190" s="453" t="n"/>
      <c r="BX190" s="453" t="n"/>
      <c r="BY190" s="453" t="n"/>
      <c r="BZ190" s="453" t="n"/>
      <c r="CA190" s="453" t="n"/>
      <c r="CB190" s="453" t="n"/>
      <c r="CC190" s="454" t="n"/>
    </row>
    <row r="191">
      <c r="C191" s="66" t="n">
        <v>59</v>
      </c>
      <c r="D191" s="558">
        <f>IF(C191&lt;=$I$16, EDATE($D$6, C191-1), "")</f>
        <v/>
      </c>
      <c r="E191" s="453" t="n"/>
      <c r="F191" s="453" t="n"/>
      <c r="G191" s="453" t="n"/>
      <c r="H191" s="453" t="n"/>
      <c r="I191" s="453" t="n"/>
      <c r="J191" s="453" t="n"/>
      <c r="K191" s="453" t="n"/>
      <c r="L191" s="453" t="n"/>
      <c r="M191" s="454" t="n"/>
      <c r="N191" s="559">
        <f>IF(C191&lt;=$I$16, $I$17, "")</f>
        <v/>
      </c>
      <c r="O191" s="453" t="n"/>
      <c r="P191" s="453" t="n"/>
      <c r="Q191" s="453" t="n"/>
      <c r="R191" s="453" t="n"/>
      <c r="S191" s="453" t="n"/>
      <c r="T191" s="453" t="n"/>
      <c r="U191" s="453" t="n"/>
      <c r="V191" s="453" t="n"/>
      <c r="W191" s="453" t="n"/>
      <c r="X191" s="453" t="n"/>
      <c r="Y191" s="454" t="n"/>
      <c r="AD191" s="66" t="n">
        <v>59</v>
      </c>
      <c r="AE191" s="558">
        <f>D191</f>
        <v/>
      </c>
      <c r="AF191" s="453" t="n"/>
      <c r="AG191" s="453" t="n"/>
      <c r="AH191" s="453" t="n"/>
      <c r="AI191" s="453" t="n"/>
      <c r="AJ191" s="453" t="n"/>
      <c r="AK191" s="453" t="n"/>
      <c r="AL191" s="453" t="n"/>
      <c r="AM191" s="453" t="n"/>
      <c r="AN191" s="454" t="n"/>
      <c r="AO191" s="559">
        <f>AO190</f>
        <v/>
      </c>
      <c r="AP191" s="453" t="n"/>
      <c r="AQ191" s="453" t="n"/>
      <c r="AR191" s="453" t="n"/>
      <c r="AS191" s="453" t="n"/>
      <c r="AT191" s="453" t="n"/>
      <c r="AU191" s="453" t="n"/>
      <c r="AV191" s="453" t="n"/>
      <c r="AW191" s="453" t="n"/>
      <c r="AX191" s="453" t="n"/>
      <c r="AY191" s="453" t="n"/>
      <c r="AZ191" s="454" t="n"/>
      <c r="BE191" s="66" t="n">
        <v>59</v>
      </c>
      <c r="BF191" s="558">
        <f>AE191</f>
        <v/>
      </c>
      <c r="BG191" s="453" t="n"/>
      <c r="BH191" s="453" t="n"/>
      <c r="BI191" s="453" t="n"/>
      <c r="BJ191" s="453" t="n"/>
      <c r="BK191" s="453" t="n"/>
      <c r="BL191" s="453" t="n"/>
      <c r="BM191" s="453" t="n"/>
      <c r="BN191" s="453" t="n"/>
      <c r="BO191" s="454" t="n"/>
      <c r="BP191" s="407" t="n"/>
      <c r="BQ191" s="453" t="n"/>
      <c r="BR191" s="453" t="n"/>
      <c r="BS191" s="453" t="n"/>
      <c r="BT191" s="453" t="n"/>
      <c r="BU191" s="453" t="n"/>
      <c r="BV191" s="453" t="n"/>
      <c r="BW191" s="453" t="n"/>
      <c r="BX191" s="453" t="n"/>
      <c r="BY191" s="453" t="n"/>
      <c r="BZ191" s="453" t="n"/>
      <c r="CA191" s="453" t="n"/>
      <c r="CB191" s="453" t="n"/>
      <c r="CC191" s="454" t="n"/>
    </row>
    <row r="192">
      <c r="C192" s="66" t="n">
        <v>60</v>
      </c>
      <c r="D192" s="558">
        <f>IF(C192&lt;=$I$16, EDATE($D$6, C192-1), "")</f>
        <v/>
      </c>
      <c r="E192" s="453" t="n"/>
      <c r="F192" s="453" t="n"/>
      <c r="G192" s="453" t="n"/>
      <c r="H192" s="453" t="n"/>
      <c r="I192" s="453" t="n"/>
      <c r="J192" s="453" t="n"/>
      <c r="K192" s="453" t="n"/>
      <c r="L192" s="453" t="n"/>
      <c r="M192" s="454" t="n"/>
      <c r="N192" s="559">
        <f>IF(C192&lt;=$I$16, $I$17, "")</f>
        <v/>
      </c>
      <c r="O192" s="453" t="n"/>
      <c r="P192" s="453" t="n"/>
      <c r="Q192" s="453" t="n"/>
      <c r="R192" s="453" t="n"/>
      <c r="S192" s="453" t="n"/>
      <c r="T192" s="453" t="n"/>
      <c r="U192" s="453" t="n"/>
      <c r="V192" s="453" t="n"/>
      <c r="W192" s="453" t="n"/>
      <c r="X192" s="453" t="n"/>
      <c r="Y192" s="454" t="n"/>
      <c r="AD192" s="66" t="n">
        <v>60</v>
      </c>
      <c r="AE192" s="558">
        <f>D192</f>
        <v/>
      </c>
      <c r="AF192" s="453" t="n"/>
      <c r="AG192" s="453" t="n"/>
      <c r="AH192" s="453" t="n"/>
      <c r="AI192" s="453" t="n"/>
      <c r="AJ192" s="453" t="n"/>
      <c r="AK192" s="453" t="n"/>
      <c r="AL192" s="453" t="n"/>
      <c r="AM192" s="453" t="n"/>
      <c r="AN192" s="454" t="n"/>
      <c r="AO192" s="559">
        <f>AO191</f>
        <v/>
      </c>
      <c r="AP192" s="453" t="n"/>
      <c r="AQ192" s="453" t="n"/>
      <c r="AR192" s="453" t="n"/>
      <c r="AS192" s="453" t="n"/>
      <c r="AT192" s="453" t="n"/>
      <c r="AU192" s="453" t="n"/>
      <c r="AV192" s="453" t="n"/>
      <c r="AW192" s="453" t="n"/>
      <c r="AX192" s="453" t="n"/>
      <c r="AY192" s="453" t="n"/>
      <c r="AZ192" s="454" t="n"/>
      <c r="BE192" s="66" t="n">
        <v>60</v>
      </c>
      <c r="BF192" s="558" t="n"/>
      <c r="BG192" s="558">
        <f>AE192</f>
        <v/>
      </c>
      <c r="BH192" s="453" t="n"/>
      <c r="BI192" s="453" t="n"/>
      <c r="BJ192" s="453" t="n"/>
      <c r="BK192" s="453" t="n"/>
      <c r="BL192" s="453" t="n"/>
      <c r="BM192" s="453" t="n"/>
      <c r="BN192" s="453" t="n"/>
      <c r="BO192" s="454" t="n"/>
      <c r="BP192" s="407" t="n"/>
      <c r="BQ192" s="453" t="n"/>
      <c r="BR192" s="453" t="n"/>
      <c r="BS192" s="453" t="n"/>
      <c r="BT192" s="453" t="n"/>
      <c r="BU192" s="453" t="n"/>
      <c r="BV192" s="453" t="n"/>
      <c r="BW192" s="453" t="n"/>
      <c r="BX192" s="453" t="n"/>
      <c r="BY192" s="453" t="n"/>
      <c r="BZ192" s="453" t="n"/>
      <c r="CA192" s="453" t="n"/>
      <c r="CB192" s="453" t="n"/>
      <c r="CC192" s="454" t="n"/>
    </row>
  </sheetData>
  <mergeCells count="598">
    <mergeCell ref="O90:U95"/>
    <mergeCell ref="C98:C112"/>
    <mergeCell ref="AE175:AN175"/>
    <mergeCell ref="I9:Y9"/>
    <mergeCell ref="Y42:Y47"/>
    <mergeCell ref="AF114:AF120"/>
    <mergeCell ref="BE17:BK17"/>
    <mergeCell ref="AR58:AR63"/>
    <mergeCell ref="N148:Y148"/>
    <mergeCell ref="AE148:AN148"/>
    <mergeCell ref="I11:Y11"/>
    <mergeCell ref="D133:M133"/>
    <mergeCell ref="N179:Y179"/>
    <mergeCell ref="AJ32:AP32"/>
    <mergeCell ref="BE19:BK19"/>
    <mergeCell ref="BF142:BO142"/>
    <mergeCell ref="AJ66:AJ80"/>
    <mergeCell ref="E122:E129"/>
    <mergeCell ref="BP184:CC184"/>
    <mergeCell ref="N190:Y190"/>
    <mergeCell ref="G122:G129"/>
    <mergeCell ref="D191:M191"/>
    <mergeCell ref="BP171:CC171"/>
    <mergeCell ref="AO184:AZ184"/>
    <mergeCell ref="BF144:BO144"/>
    <mergeCell ref="AO192:AZ192"/>
    <mergeCell ref="D186:M186"/>
    <mergeCell ref="C13:H13"/>
    <mergeCell ref="BF183:BO183"/>
    <mergeCell ref="AZ50:AZ55"/>
    <mergeCell ref="AT50:AT55"/>
    <mergeCell ref="C15:H15"/>
    <mergeCell ref="AE160:AN160"/>
    <mergeCell ref="BF185:BO185"/>
    <mergeCell ref="AE141:AN141"/>
    <mergeCell ref="AO187:AZ187"/>
    <mergeCell ref="AE132:AN132"/>
    <mergeCell ref="AO174:AZ174"/>
    <mergeCell ref="N159:Y159"/>
    <mergeCell ref="N134:Y134"/>
    <mergeCell ref="BL18:CB18"/>
    <mergeCell ref="Y66:Y71"/>
    <mergeCell ref="C10:H10"/>
    <mergeCell ref="N161:Y161"/>
    <mergeCell ref="AE161:AN161"/>
    <mergeCell ref="D146:M146"/>
    <mergeCell ref="BP174:CC174"/>
    <mergeCell ref="AE136:AN136"/>
    <mergeCell ref="AD82:AD96"/>
    <mergeCell ref="AF82:AF96"/>
    <mergeCell ref="BF163:BO163"/>
    <mergeCell ref="BP134:CC134"/>
    <mergeCell ref="AH114:AH120"/>
    <mergeCell ref="O98:U103"/>
    <mergeCell ref="BK31:CB32"/>
    <mergeCell ref="BF138:BO138"/>
    <mergeCell ref="BF132:BO132"/>
    <mergeCell ref="BE30:BH30"/>
    <mergeCell ref="D174:M174"/>
    <mergeCell ref="AH34:AH48"/>
    <mergeCell ref="AJ34:AJ48"/>
    <mergeCell ref="N187:Y187"/>
    <mergeCell ref="AH122:AH129"/>
    <mergeCell ref="BE20:BK20"/>
    <mergeCell ref="O66:S71"/>
    <mergeCell ref="E50:E64"/>
    <mergeCell ref="D136:M136"/>
    <mergeCell ref="G50:G64"/>
    <mergeCell ref="AE156:AN156"/>
    <mergeCell ref="I50:I64"/>
    <mergeCell ref="C82:C96"/>
    <mergeCell ref="BP187:CC187"/>
    <mergeCell ref="O82:U87"/>
    <mergeCell ref="AX58:AX63"/>
    <mergeCell ref="AZ58:AZ63"/>
    <mergeCell ref="BF160:BO160"/>
    <mergeCell ref="BF147:BO147"/>
    <mergeCell ref="AP13:AZ13"/>
    <mergeCell ref="BP189:CC189"/>
    <mergeCell ref="AE151:AN151"/>
    <mergeCell ref="AI31:AR31"/>
    <mergeCell ref="AO189:AZ189"/>
    <mergeCell ref="BL17:CB17"/>
    <mergeCell ref="BP188:CC188"/>
    <mergeCell ref="N167:Y167"/>
    <mergeCell ref="AE167:AN167"/>
    <mergeCell ref="W34:W39"/>
    <mergeCell ref="AE182:AN182"/>
    <mergeCell ref="AE133:AN133"/>
    <mergeCell ref="AP74:AT79"/>
    <mergeCell ref="BL19:CB19"/>
    <mergeCell ref="AP8:AZ8"/>
    <mergeCell ref="N162:Y162"/>
    <mergeCell ref="AP10:AZ10"/>
    <mergeCell ref="AP90:AV95"/>
    <mergeCell ref="N177:Y177"/>
    <mergeCell ref="AE177:AN177"/>
    <mergeCell ref="D155:M155"/>
    <mergeCell ref="D149:M149"/>
    <mergeCell ref="BF140:BO140"/>
    <mergeCell ref="AO142:AZ142"/>
    <mergeCell ref="I98:I112"/>
    <mergeCell ref="D151:M151"/>
    <mergeCell ref="BF179:BO179"/>
    <mergeCell ref="AO144:AZ144"/>
    <mergeCell ref="BP162:CC162"/>
    <mergeCell ref="BP137:CC137"/>
    <mergeCell ref="D150:M150"/>
    <mergeCell ref="BF141:BO141"/>
    <mergeCell ref="N188:Y188"/>
    <mergeCell ref="BP177:CC177"/>
    <mergeCell ref="BP139:CC139"/>
    <mergeCell ref="BF143:BO143"/>
    <mergeCell ref="AE155:AN155"/>
    <mergeCell ref="AE146:AN146"/>
    <mergeCell ref="C114:C120"/>
    <mergeCell ref="U58:U60"/>
    <mergeCell ref="AE157:AN157"/>
    <mergeCell ref="BF168:BO168"/>
    <mergeCell ref="G66:G80"/>
    <mergeCell ref="AE172:AN172"/>
    <mergeCell ref="I66:I80"/>
    <mergeCell ref="AP98:AV103"/>
    <mergeCell ref="AP42:AP47"/>
    <mergeCell ref="Y82:Y87"/>
    <mergeCell ref="BF159:BO159"/>
    <mergeCell ref="AO172:AZ172"/>
    <mergeCell ref="BF153:BO153"/>
    <mergeCell ref="BP190:CC190"/>
    <mergeCell ref="BP132:CC132"/>
    <mergeCell ref="D139:M139"/>
    <mergeCell ref="N183:Y183"/>
    <mergeCell ref="W50:W55"/>
    <mergeCell ref="BF154:BO154"/>
    <mergeCell ref="BL20:CB20"/>
    <mergeCell ref="N145:Y145"/>
    <mergeCell ref="N139:Y139"/>
    <mergeCell ref="W42:W47"/>
    <mergeCell ref="O42:O47"/>
    <mergeCell ref="I8:Y8"/>
    <mergeCell ref="AD8:AO8"/>
    <mergeCell ref="AE185:AN185"/>
    <mergeCell ref="I10:Y10"/>
    <mergeCell ref="AE170:AN170"/>
    <mergeCell ref="AP106:AV111"/>
    <mergeCell ref="D165:M165"/>
    <mergeCell ref="BP145:CC145"/>
    <mergeCell ref="D152:M152"/>
    <mergeCell ref="AO145:AZ145"/>
    <mergeCell ref="BP160:CC160"/>
    <mergeCell ref="BP147:CC147"/>
    <mergeCell ref="BL13:CB13"/>
    <mergeCell ref="AZ74:AZ79"/>
    <mergeCell ref="AO147:AZ147"/>
    <mergeCell ref="N132:Y132"/>
    <mergeCell ref="AE154:AN154"/>
    <mergeCell ref="D4:L4"/>
    <mergeCell ref="BP186:CC186"/>
    <mergeCell ref="AE183:AN183"/>
    <mergeCell ref="U74:U76"/>
    <mergeCell ref="N133:Y133"/>
    <mergeCell ref="W90:W95"/>
    <mergeCell ref="AT34:AT39"/>
    <mergeCell ref="Y90:Y95"/>
    <mergeCell ref="D170:M170"/>
    <mergeCell ref="AE173:AN173"/>
    <mergeCell ref="AO163:AZ163"/>
    <mergeCell ref="N135:Y135"/>
    <mergeCell ref="D163:M163"/>
    <mergeCell ref="C34:C48"/>
    <mergeCell ref="BF175:BO175"/>
    <mergeCell ref="BP158:CC158"/>
    <mergeCell ref="N164:Y164"/>
    <mergeCell ref="AX42:AX47"/>
    <mergeCell ref="D171:M171"/>
    <mergeCell ref="AZ42:AZ47"/>
    <mergeCell ref="BF162:BO162"/>
    <mergeCell ref="AR42:AR47"/>
    <mergeCell ref="BF156:BO156"/>
    <mergeCell ref="BP133:CC133"/>
    <mergeCell ref="AO158:AZ158"/>
    <mergeCell ref="BE46:CB49"/>
    <mergeCell ref="AD10:AO10"/>
    <mergeCell ref="BF164:BO164"/>
    <mergeCell ref="AE176:AN176"/>
    <mergeCell ref="N189:Y189"/>
    <mergeCell ref="BP135:CC135"/>
    <mergeCell ref="AO160:AZ160"/>
    <mergeCell ref="AE186:AN186"/>
    <mergeCell ref="AE191:AN191"/>
    <mergeCell ref="AE142:AN142"/>
    <mergeCell ref="AE178:AN178"/>
    <mergeCell ref="O74:S79"/>
    <mergeCell ref="AE144:AN144"/>
    <mergeCell ref="AE171:AN171"/>
    <mergeCell ref="N146:Y146"/>
    <mergeCell ref="BF188:BO188"/>
    <mergeCell ref="AV50:AV52"/>
    <mergeCell ref="AP50:AP55"/>
    <mergeCell ref="D158:M158"/>
    <mergeCell ref="BF190:BO190"/>
    <mergeCell ref="BP161:CC161"/>
    <mergeCell ref="BP148:CC148"/>
    <mergeCell ref="BP153:CC153"/>
    <mergeCell ref="I82:I96"/>
    <mergeCell ref="D160:M160"/>
    <mergeCell ref="AO148:AZ148"/>
    <mergeCell ref="BP146:CC146"/>
    <mergeCell ref="W58:W63"/>
    <mergeCell ref="N160:Y160"/>
    <mergeCell ref="AZ90:AZ95"/>
    <mergeCell ref="BK30:CB30"/>
    <mergeCell ref="N141:Y141"/>
    <mergeCell ref="AE135:AN135"/>
    <mergeCell ref="C7:Y7"/>
    <mergeCell ref="BE12:BK12"/>
    <mergeCell ref="N143:Y143"/>
    <mergeCell ref="D184:M184"/>
    <mergeCell ref="BF137:BO137"/>
    <mergeCell ref="BP179:CC179"/>
    <mergeCell ref="N185:Y185"/>
    <mergeCell ref="N136:Y136"/>
    <mergeCell ref="D192:M192"/>
    <mergeCell ref="AX50:AX55"/>
    <mergeCell ref="BE13:BK13"/>
    <mergeCell ref="BF177:BO177"/>
    <mergeCell ref="BE14:BK15"/>
    <mergeCell ref="AO179:AZ179"/>
    <mergeCell ref="D173:M173"/>
    <mergeCell ref="BP141:CC141"/>
    <mergeCell ref="AO166:AZ166"/>
    <mergeCell ref="D148:M148"/>
    <mergeCell ref="BF176:BO176"/>
    <mergeCell ref="BP159:CC159"/>
    <mergeCell ref="BL9:CB9"/>
    <mergeCell ref="C8:H8"/>
    <mergeCell ref="BP143:CC143"/>
    <mergeCell ref="AO168:AZ168"/>
    <mergeCell ref="D187:M187"/>
    <mergeCell ref="BF178:BO178"/>
    <mergeCell ref="AO180:AZ180"/>
    <mergeCell ref="AO167:AZ167"/>
    <mergeCell ref="BP136:CC136"/>
    <mergeCell ref="BL11:CB11"/>
    <mergeCell ref="AE192:AN192"/>
    <mergeCell ref="BP151:CC151"/>
    <mergeCell ref="N154:Y154"/>
    <mergeCell ref="AV58:AV60"/>
    <mergeCell ref="AD114:AD120"/>
    <mergeCell ref="AD17:AO17"/>
    <mergeCell ref="AE181:AN181"/>
    <mergeCell ref="N156:Y156"/>
    <mergeCell ref="D134:M134"/>
    <mergeCell ref="AD122:AD129"/>
    <mergeCell ref="D180:M180"/>
    <mergeCell ref="BP154:CC154"/>
    <mergeCell ref="D167:M167"/>
    <mergeCell ref="D161:M161"/>
    <mergeCell ref="N151:Y151"/>
    <mergeCell ref="K114:S120"/>
    <mergeCell ref="N180:Y180"/>
    <mergeCell ref="BP164:CC164"/>
    <mergeCell ref="U42:U44"/>
    <mergeCell ref="BP156:CC156"/>
    <mergeCell ref="D169:M169"/>
    <mergeCell ref="C50:C64"/>
    <mergeCell ref="BF191:BO191"/>
    <mergeCell ref="AO162:AZ162"/>
    <mergeCell ref="N182:Y182"/>
    <mergeCell ref="AO156:AZ156"/>
    <mergeCell ref="AE163:AN163"/>
    <mergeCell ref="W74:W79"/>
    <mergeCell ref="Y74:Y79"/>
    <mergeCell ref="BE31:BH32"/>
    <mergeCell ref="AP82:AV87"/>
    <mergeCell ref="AH98:AH112"/>
    <mergeCell ref="BP180:CC180"/>
    <mergeCell ref="BP167:CC167"/>
    <mergeCell ref="BE7:CB7"/>
    <mergeCell ref="Q34:Q39"/>
    <mergeCell ref="S34:S39"/>
    <mergeCell ref="C18:H18"/>
    <mergeCell ref="BP182:CC182"/>
    <mergeCell ref="AD50:AD64"/>
    <mergeCell ref="BF186:BO186"/>
    <mergeCell ref="D189:M189"/>
    <mergeCell ref="BP169:CC169"/>
    <mergeCell ref="AO188:AZ188"/>
    <mergeCell ref="AF50:AF64"/>
    <mergeCell ref="AO182:AZ182"/>
    <mergeCell ref="AO169:AZ169"/>
    <mergeCell ref="AF122:AF129"/>
    <mergeCell ref="O106:U111"/>
    <mergeCell ref="AO190:AZ190"/>
    <mergeCell ref="BL12:CB12"/>
    <mergeCell ref="BF181:BO181"/>
    <mergeCell ref="AD19:AO19"/>
    <mergeCell ref="N155:Y155"/>
    <mergeCell ref="AF34:AF48"/>
    <mergeCell ref="C9:H9"/>
    <mergeCell ref="AV34:AV36"/>
    <mergeCell ref="E98:E112"/>
    <mergeCell ref="AO185:AZ185"/>
    <mergeCell ref="N170:Y170"/>
    <mergeCell ref="G98:G112"/>
    <mergeCell ref="BP168:CC168"/>
    <mergeCell ref="N157:Y157"/>
    <mergeCell ref="D142:M142"/>
    <mergeCell ref="BG192:BO192"/>
    <mergeCell ref="BF133:BO133"/>
    <mergeCell ref="AV74:AV76"/>
    <mergeCell ref="C11:H11"/>
    <mergeCell ref="N172:Y172"/>
    <mergeCell ref="D144:M144"/>
    <mergeCell ref="N186:Y186"/>
    <mergeCell ref="BF135:BO135"/>
    <mergeCell ref="AO137:AZ137"/>
    <mergeCell ref="BP155:CC155"/>
    <mergeCell ref="U50:U52"/>
    <mergeCell ref="AD30:AH30"/>
    <mergeCell ref="AX66:AX71"/>
    <mergeCell ref="BP170:CC170"/>
    <mergeCell ref="AZ66:AZ71"/>
    <mergeCell ref="AO139:AZ139"/>
    <mergeCell ref="D183:M183"/>
    <mergeCell ref="BP157:CC157"/>
    <mergeCell ref="AO176:AZ176"/>
    <mergeCell ref="BF136:BO136"/>
    <mergeCell ref="AJ98:AJ112"/>
    <mergeCell ref="I32:O32"/>
    <mergeCell ref="AD9:AO9"/>
    <mergeCell ref="AO132:AZ132"/>
    <mergeCell ref="BP172:CC172"/>
    <mergeCell ref="D185:M185"/>
    <mergeCell ref="C66:C80"/>
    <mergeCell ref="N175:Y175"/>
    <mergeCell ref="E66:E80"/>
    <mergeCell ref="AO178:AZ178"/>
    <mergeCell ref="AE179:AN179"/>
    <mergeCell ref="AE150:AN150"/>
    <mergeCell ref="W82:W87"/>
    <mergeCell ref="AP16:AZ16"/>
    <mergeCell ref="AE152:AN152"/>
    <mergeCell ref="D137:M137"/>
    <mergeCell ref="AI30:AT30"/>
    <mergeCell ref="BF146:BO146"/>
    <mergeCell ref="BP183:CC183"/>
    <mergeCell ref="AP18:AZ18"/>
    <mergeCell ref="S50:S55"/>
    <mergeCell ref="N181:Y181"/>
    <mergeCell ref="D188:M188"/>
    <mergeCell ref="BP185:CC185"/>
    <mergeCell ref="BE131:CC131"/>
    <mergeCell ref="AF66:AF80"/>
    <mergeCell ref="N147:Y147"/>
    <mergeCell ref="AE147:AN147"/>
    <mergeCell ref="D132:M132"/>
    <mergeCell ref="AH82:AH96"/>
    <mergeCell ref="AJ82:AJ96"/>
    <mergeCell ref="BE18:BK18"/>
    <mergeCell ref="AO183:AZ183"/>
    <mergeCell ref="N178:Y178"/>
    <mergeCell ref="AE134:AN134"/>
    <mergeCell ref="C19:H19"/>
    <mergeCell ref="BL14:CB15"/>
    <mergeCell ref="AP11:AZ11"/>
    <mergeCell ref="H30:S30"/>
    <mergeCell ref="AV42:AV44"/>
    <mergeCell ref="N173:Y173"/>
    <mergeCell ref="BP138:CC138"/>
    <mergeCell ref="AT58:AT63"/>
    <mergeCell ref="D145:M145"/>
    <mergeCell ref="C14:H14"/>
    <mergeCell ref="AE165:AN165"/>
    <mergeCell ref="AO138:AZ138"/>
    <mergeCell ref="AX74:AX79"/>
    <mergeCell ref="BP178:CC178"/>
    <mergeCell ref="I34:I48"/>
    <mergeCell ref="D147:M147"/>
    <mergeCell ref="U66:U68"/>
    <mergeCell ref="AO140:AZ140"/>
    <mergeCell ref="C131:Y131"/>
    <mergeCell ref="BL8:CB8"/>
    <mergeCell ref="BP173:CC173"/>
    <mergeCell ref="N176:Y176"/>
    <mergeCell ref="BL10:CB10"/>
    <mergeCell ref="N191:Y191"/>
    <mergeCell ref="C26:Y26"/>
    <mergeCell ref="AO181:AZ181"/>
    <mergeCell ref="D138:M138"/>
    <mergeCell ref="Q58:Q63"/>
    <mergeCell ref="AT42:AT47"/>
    <mergeCell ref="AD34:AD48"/>
    <mergeCell ref="I16:Y16"/>
    <mergeCell ref="AH50:AH64"/>
    <mergeCell ref="AP19:AZ19"/>
    <mergeCell ref="D140:M140"/>
    <mergeCell ref="D5:L5"/>
    <mergeCell ref="I18:Y18"/>
    <mergeCell ref="BF155:BO155"/>
    <mergeCell ref="AJ114:AJ120"/>
    <mergeCell ref="BF149:BO149"/>
    <mergeCell ref="C2:CB2"/>
    <mergeCell ref="BP191:CC191"/>
    <mergeCell ref="BF157:BO157"/>
    <mergeCell ref="BF151:BO151"/>
    <mergeCell ref="AO153:AZ153"/>
    <mergeCell ref="D141:M141"/>
    <mergeCell ref="D135:M135"/>
    <mergeCell ref="C122:C129"/>
    <mergeCell ref="BF150:BO150"/>
    <mergeCell ref="BP192:CC192"/>
    <mergeCell ref="AX82:AX87"/>
    <mergeCell ref="AZ82:AZ87"/>
    <mergeCell ref="BF165:BO165"/>
    <mergeCell ref="BF152:BO152"/>
    <mergeCell ref="AE137:AN137"/>
    <mergeCell ref="AP12:AZ12"/>
    <mergeCell ref="E82:E96"/>
    <mergeCell ref="G82:G96"/>
    <mergeCell ref="AE139:AN139"/>
    <mergeCell ref="N166:Y166"/>
    <mergeCell ref="AE166:AN166"/>
    <mergeCell ref="AP14:AZ14"/>
    <mergeCell ref="G114:G120"/>
    <mergeCell ref="I114:I120"/>
    <mergeCell ref="S58:S63"/>
    <mergeCell ref="AE168:AN168"/>
    <mergeCell ref="D153:M153"/>
    <mergeCell ref="AO141:AZ141"/>
    <mergeCell ref="BP181:CC181"/>
    <mergeCell ref="AO146:AZ146"/>
    <mergeCell ref="AE143:AN143"/>
    <mergeCell ref="AO143:AZ143"/>
    <mergeCell ref="AD16:AO16"/>
    <mergeCell ref="W66:W71"/>
    <mergeCell ref="BF145:BO145"/>
    <mergeCell ref="BF139:BO139"/>
    <mergeCell ref="N192:Y192"/>
    <mergeCell ref="AD18:AO18"/>
    <mergeCell ref="I17:Y17"/>
    <mergeCell ref="D179:M179"/>
    <mergeCell ref="BF170:BO170"/>
    <mergeCell ref="D166:M166"/>
    <mergeCell ref="AD7:AZ7"/>
    <mergeCell ref="AO159:AZ159"/>
    <mergeCell ref="I19:Y19"/>
    <mergeCell ref="AH66:AH80"/>
    <mergeCell ref="BF172:BO172"/>
    <mergeCell ref="D168:M168"/>
    <mergeCell ref="AD131:AZ131"/>
    <mergeCell ref="AO161:AZ161"/>
    <mergeCell ref="D143:M143"/>
    <mergeCell ref="AO136:AZ136"/>
    <mergeCell ref="AO154:AZ154"/>
    <mergeCell ref="AX90:AX95"/>
    <mergeCell ref="AP9:AZ9"/>
    <mergeCell ref="BF173:BO173"/>
    <mergeCell ref="AD11:AO11"/>
    <mergeCell ref="AP20:AZ20"/>
    <mergeCell ref="AE187:AN187"/>
    <mergeCell ref="AE138:AN138"/>
    <mergeCell ref="AP34:AP39"/>
    <mergeCell ref="BF158:BO158"/>
    <mergeCell ref="AR34:AR39"/>
    <mergeCell ref="AE174:AN174"/>
    <mergeCell ref="D159:M159"/>
    <mergeCell ref="N149:Y149"/>
    <mergeCell ref="AV66:AV68"/>
    <mergeCell ref="AE153:AN153"/>
    <mergeCell ref="I12:Y12"/>
    <mergeCell ref="H31:Q31"/>
    <mergeCell ref="AE189:AN189"/>
    <mergeCell ref="N142:Y142"/>
    <mergeCell ref="Y34:Y39"/>
    <mergeCell ref="AP15:AZ15"/>
    <mergeCell ref="I14:Y14"/>
    <mergeCell ref="AP66:AT71"/>
    <mergeCell ref="AE169:AN169"/>
    <mergeCell ref="D154:M154"/>
    <mergeCell ref="N144:Y144"/>
    <mergeCell ref="BP149:CC149"/>
    <mergeCell ref="D162:M162"/>
    <mergeCell ref="D156:M156"/>
    <mergeCell ref="BF184:BO184"/>
    <mergeCell ref="AO155:AZ155"/>
    <mergeCell ref="AO149:AZ149"/>
    <mergeCell ref="BF171:BO171"/>
    <mergeCell ref="BP142:CC142"/>
    <mergeCell ref="AD98:AD112"/>
    <mergeCell ref="C16:H16"/>
    <mergeCell ref="AO151:AZ151"/>
    <mergeCell ref="O34:O39"/>
    <mergeCell ref="AE158:AN158"/>
    <mergeCell ref="BE8:BK8"/>
    <mergeCell ref="BF161:BO161"/>
    <mergeCell ref="BP144:CC144"/>
    <mergeCell ref="D157:M157"/>
    <mergeCell ref="BF148:BO148"/>
    <mergeCell ref="AO150:AZ150"/>
    <mergeCell ref="BE10:BK10"/>
    <mergeCell ref="BP175:CC175"/>
    <mergeCell ref="AE162:AN162"/>
    <mergeCell ref="N137:Y137"/>
    <mergeCell ref="Q42:Q47"/>
    <mergeCell ref="D182:M182"/>
    <mergeCell ref="AO175:AZ175"/>
    <mergeCell ref="D190:M190"/>
    <mergeCell ref="AE164:AN164"/>
    <mergeCell ref="AO177:AZ177"/>
    <mergeCell ref="AE184:AN184"/>
    <mergeCell ref="AO164:AZ164"/>
    <mergeCell ref="BF174:BO174"/>
    <mergeCell ref="AD12:AO12"/>
    <mergeCell ref="BF166:BO166"/>
    <mergeCell ref="AE188:AN188"/>
    <mergeCell ref="AD20:AO20"/>
    <mergeCell ref="AD14:AO14"/>
    <mergeCell ref="N150:Y150"/>
    <mergeCell ref="I13:Y13"/>
    <mergeCell ref="AD13:AO13"/>
    <mergeCell ref="AR50:AR55"/>
    <mergeCell ref="AE190:AN190"/>
    <mergeCell ref="N165:Y165"/>
    <mergeCell ref="N152:Y152"/>
    <mergeCell ref="E114:E120"/>
    <mergeCell ref="I15:Y15"/>
    <mergeCell ref="AD15:AO15"/>
    <mergeCell ref="D177:M177"/>
    <mergeCell ref="AF98:AF112"/>
    <mergeCell ref="D164:M164"/>
    <mergeCell ref="BP163:CC163"/>
    <mergeCell ref="AO157:AZ157"/>
    <mergeCell ref="S42:S47"/>
    <mergeCell ref="BP150:CC150"/>
    <mergeCell ref="BP165:CC165"/>
    <mergeCell ref="D178:M178"/>
    <mergeCell ref="C17:H17"/>
    <mergeCell ref="D172:M172"/>
    <mergeCell ref="BP152:CC152"/>
    <mergeCell ref="AO165:AZ165"/>
    <mergeCell ref="BF187:BO187"/>
    <mergeCell ref="AO152:AZ152"/>
    <mergeCell ref="AE159:AN159"/>
    <mergeCell ref="O50:O55"/>
    <mergeCell ref="BF189:BO189"/>
    <mergeCell ref="AE145:AN145"/>
    <mergeCell ref="AL114:AT120"/>
    <mergeCell ref="N163:Y163"/>
    <mergeCell ref="BP176:CC176"/>
    <mergeCell ref="AD66:AD80"/>
    <mergeCell ref="BE39:CB45"/>
    <mergeCell ref="N138:Y138"/>
    <mergeCell ref="AJ50:AJ64"/>
    <mergeCell ref="N174:Y174"/>
    <mergeCell ref="BE9:BK9"/>
    <mergeCell ref="D175:M175"/>
    <mergeCell ref="N140:Y140"/>
    <mergeCell ref="AE140:AN140"/>
    <mergeCell ref="BE11:BK11"/>
    <mergeCell ref="AO134:AZ134"/>
    <mergeCell ref="BF134:BO134"/>
    <mergeCell ref="AO170:AZ170"/>
    <mergeCell ref="BF180:BO180"/>
    <mergeCell ref="N169:Y169"/>
    <mergeCell ref="AO186:AZ186"/>
    <mergeCell ref="D176:M176"/>
    <mergeCell ref="BF167:BO167"/>
    <mergeCell ref="AX34:AX39"/>
    <mergeCell ref="AZ34:AZ39"/>
    <mergeCell ref="C12:H12"/>
    <mergeCell ref="AP58:AP63"/>
    <mergeCell ref="BF182:BO182"/>
    <mergeCell ref="BF169:BO169"/>
    <mergeCell ref="AO171:AZ171"/>
    <mergeCell ref="BP140:CC140"/>
    <mergeCell ref="E34:E48"/>
    <mergeCell ref="G34:G48"/>
    <mergeCell ref="Y58:Y63"/>
    <mergeCell ref="U34:U36"/>
    <mergeCell ref="N158:Y158"/>
    <mergeCell ref="Y50:Y55"/>
    <mergeCell ref="Q50:Q55"/>
    <mergeCell ref="N168:Y168"/>
    <mergeCell ref="AE149:AN149"/>
    <mergeCell ref="AO133:AZ133"/>
    <mergeCell ref="AO173:AZ173"/>
    <mergeCell ref="N153:Y153"/>
    <mergeCell ref="AE180:AN180"/>
    <mergeCell ref="BP166:CC166"/>
    <mergeCell ref="AO135:AZ135"/>
    <mergeCell ref="AO191:AZ191"/>
    <mergeCell ref="AD26:AZ26"/>
    <mergeCell ref="AP17:AZ17"/>
    <mergeCell ref="O58:O63"/>
    <mergeCell ref="N184:Y184"/>
    <mergeCell ref="D181:M181"/>
    <mergeCell ref="N171:Y171"/>
  </mergeCells>
  <pageMargins left="0.2755905511811023" right="0.2755905511811023" top="0.2755905511811023" bottom="0.2755905511811023" header="0.1181102362204724" footer="0.1181102362204724"/>
  <pageSetup orientation="landscape" paperSize="9" scale="75" fitToHeight="0" fitToWidth="1" horizontalDpi="300" verticalDpi="300"/>
  <headerFooter alignWithMargins="0">
    <oddHeader>&amp;C&amp;"Calibri,Bold"&amp;14 Cálculo de Ação Crefaz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</dc:creator>
  <dcterms:created xmlns:dcterms="http://purl.org/dc/terms/" xmlns:xsi="http://www.w3.org/2001/XMLSchema-instance" xsi:type="dcterms:W3CDTF">2021-08-13T11:51:58Z</dcterms:created>
  <dcterms:modified xmlns:dcterms="http://purl.org/dc/terms/" xmlns:xsi="http://www.w3.org/2001/XMLSchema-instance" xsi:type="dcterms:W3CDTF">2026-04-29T04:39:13Z</dcterms:modified>
  <cp:lastModifiedBy>BRUNA EDUARDA REIS DO NASCIMENTO</cp:lastModifiedBy>
  <cp:lastPrinted>2025-07-09T17:10:31Z</cp:lastPrinted>
</cp:coreProperties>
</file>