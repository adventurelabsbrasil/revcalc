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24X" sheetId="1" state="visible" r:id="rId3"/>
    <sheet name="PRICE 36x" sheetId="2" state="visible" r:id="rId4"/>
    <sheet name="PRICE 48x" sheetId="3" state="visible" r:id="rId5"/>
    <sheet name="PRICE 60x" sheetId="4" state="visible" r:id="rId6"/>
  </sheets>
  <externalReferences>
    <externalReference r:id="rId7"/>
    <externalReference r:id="rId8"/>
    <externalReference r:id="rId9"/>
  </externalReferences>
  <definedNames>
    <definedName function="false" hidden="false" localSheetId="0" name="_xlnm.Print_Area" vbProcedure="false">'PRICE 24X'!$A$1:$CC$155</definedName>
    <definedName function="false" hidden="false" localSheetId="1" name="_xlnm.Print_Area" vbProcedure="false">'PRICE 36x'!$A$1:$CC$168</definedName>
    <definedName function="false" hidden="false" localSheetId="2" name="_xlnm.Print_Area" vbProcedure="false">'PRICE 48x'!$A$1:$CC$180</definedName>
    <definedName function="false" hidden="false" localSheetId="3" name="_xlnm.Print_Area" vbProcedure="false">'PRICE 60x'!$A$1:$CC$192</definedName>
    <definedName function="false" hidden="false" name="a" vbProcedure="false">#ref!</definedName>
    <definedName function="false" hidden="false" name="aa" vbProcedure="false">'[1]anexo i (2)'!#ref!</definedName>
    <definedName function="false" hidden="false" name="Abcd" vbProcedure="false">[2]autores!#ref!</definedName>
    <definedName function="false" hidden="false" name="agexcel" vbProcedure="false">#ref!</definedName>
    <definedName function="false" hidden="false" name="Agências_Setores" vbProcedure="false">#ref!</definedName>
    <definedName function="false" hidden="false" name="aloca" vbProcedure="false">#ref!</definedName>
    <definedName function="false" hidden="false" name="ANEXO" vbProcedure="false">#ref!</definedName>
    <definedName function="false" hidden="false" name="ANEXOB" vbProcedure="false">'[1]anexo i (2)'!#ref!</definedName>
    <definedName function="false" hidden="false" name="APAGA" vbProcedure="false">#N/A</definedName>
    <definedName function="false" hidden="false" name="AREA" vbProcedure="false">[2]autores!#ref!</definedName>
    <definedName function="false" hidden="false" name="area2" vbProcedure="false">[2]autores!#ref!</definedName>
    <definedName function="false" hidden="false" name="area3" vbProcedure="false">[3]autores!#ref!</definedName>
    <definedName function="false" hidden="false" name="banco" vbProcedure="false">#ref!</definedName>
    <definedName function="false" hidden="false" name="compensacao" vbProcedure="false">[2]autores!#ref!</definedName>
    <definedName function="false" hidden="false" name="compensacao1" vbProcedure="false">'[1]anexo i (2)'!#ref!</definedName>
    <definedName function="false" hidden="false" name="CONTADOR" vbProcedure="false">#N/A</definedName>
    <definedName function="false" hidden="false" name="D" vbProcedure="false">#ref!</definedName>
    <definedName function="false" hidden="false" name="Dados" vbProcedure="false">#ref!</definedName>
    <definedName function="false" hidden="false" name="data" vbProcedure="false">#ref!</definedName>
    <definedName function="false" hidden="false" name="DATA_ATUAL" vbProcedure="false">#ref!</definedName>
    <definedName function="false" hidden="false" name="descrição" vbProcedure="false">'[4]anexo a'!#ref!</definedName>
    <definedName function="false" hidden="false" name="DIARIO1B" vbProcedure="false">#ref!</definedName>
    <definedName function="false" hidden="false" name="DIARIO1E" vbProcedure="false">#ref!</definedName>
    <definedName function="false" hidden="false" name="DIARIO2A" vbProcedure="false">#ref!</definedName>
    <definedName function="false" hidden="false" name="DIARIO2B" vbProcedure="false">#ref!</definedName>
    <definedName function="false" hidden="false" name="DIARIO2E" vbProcedure="false">#ref!</definedName>
    <definedName function="false" hidden="false" name="DT_ATUAL" vbProcedure="false">#ref!</definedName>
    <definedName function="false" hidden="false" name="Débitos" vbProcedure="false">#ref!</definedName>
    <definedName function="false" hidden="false" name="Erro" vbProcedure="false">#ref!</definedName>
    <definedName function="false" hidden="false" name="Erro2" vbProcedure="false">#ref!</definedName>
    <definedName function="false" hidden="false" name="Erro3" vbProcedure="false">#ref!</definedName>
    <definedName function="false" hidden="false" name="f" vbProcedure="false">#ref!</definedName>
    <definedName function="false" hidden="false" name="g" vbProcedure="false">#ref!</definedName>
    <definedName function="false" hidden="false" name="guilherme" vbProcedure="false">'[5]anexo b'!#ref!</definedName>
    <definedName function="false" hidden="false" name="G_ÿ_P_" vbProcedure="false">#ref!</definedName>
    <definedName function="false" hidden="false" name="INFLAÇÃO" vbProcedure="false">#ref!</definedName>
    <definedName function="false" hidden="false" name="ing" vbProcedure="false">#ref!</definedName>
    <definedName function="false" hidden="false" name="inpc" vbProcedure="false">#ref!</definedName>
    <definedName function="false" hidden="false" name="J276J276" vbProcedure="false">#ref!</definedName>
    <definedName function="false" hidden="false" name="LIBOR" vbProcedure="false">#ref!</definedName>
    <definedName function="false" hidden="false" name="MENSAL2" vbProcedure="false">#ref!</definedName>
    <definedName function="false" hidden="false" name="MENSAL4" vbProcedure="false">#ref!</definedName>
    <definedName function="false" hidden="false" name="MESTRE2" vbProcedure="false">[6]btnf_trd!#ref!</definedName>
    <definedName function="false" hidden="false" name="NOVO" vbProcedure="false">[6]btnf_trd!#ref!</definedName>
    <definedName function="false" hidden="false" name="NUCLEO" vbProcedure="false">#N/A</definedName>
    <definedName function="false" hidden="false" name="Per" vbProcedure="false">#ref!</definedName>
    <definedName function="false" hidden="false" name="Período" vbProcedure="false">#ref!</definedName>
    <definedName function="false" hidden="false" name="plan" vbProcedure="false">[2]autores!#ref!</definedName>
    <definedName function="false" hidden="false" name="PMi" vbProcedure="false">'[1]Relat Inf 0009 - graf'!$H$4:$L$16</definedName>
    <definedName function="false" hidden="false" name="PMp" vbProcedure="false">'[1]Relat Inf 0009 - graf'!$B$4:$F$16</definedName>
    <definedName function="false" hidden="false" name="port" vbProcedure="false">#ref!</definedName>
    <definedName function="false" hidden="false" name="Print_Area_MI" vbProcedure="false">'[8]quadro 1'!#ref!</definedName>
    <definedName function="false" hidden="false" name="Quadro_II___Base_monetária_e_componentes" vbProcedure="false">#ref!</definedName>
    <definedName function="false" hidden="false" name="Quadro_VI___Meios_de_pagamento_e_componentes" vbProcedure="false">#ref!</definedName>
    <definedName function="false" hidden="false" name="qualqer" vbProcedure="false">#ref!</definedName>
    <definedName function="false" hidden="false" name="qualquerum" vbProcedure="false">#ref!</definedName>
    <definedName function="false" hidden="false" name="RODAPE1" vbProcedure="false">#ref!</definedName>
    <definedName function="false" hidden="false" name="RODAPE6" vbProcedure="false">#ref!</definedName>
    <definedName function="false" hidden="false" name="RODAPE7" vbProcedure="false">#ref!</definedName>
    <definedName function="false" hidden="false" name="RODAPE8" vbProcedure="false">#ref!</definedName>
    <definedName function="false" hidden="false" name="s" vbProcedure="false">#ref!</definedName>
    <definedName function="false" hidden="false" name="Saldos_em_final_de_período" vbProcedure="false">#ref!</definedName>
    <definedName function="false" hidden="false" name="seleção" vbProcedure="false">#ref!</definedName>
    <definedName function="false" hidden="false" name="ss" vbProcedure="false">#ref!</definedName>
    <definedName function="false" hidden="false" name="S_M" vbProcedure="false">'[2]Salário Mínimo'!$A$1:$J$1048576</definedName>
    <definedName function="false" hidden="false" name="taxa_atualizacao" vbProcedure="false">'[3]Anexo A'!$BB$1228</definedName>
    <definedName function="false" hidden="false" name="taxa_de_juros" vbProcedure="false">'[5]anexo b'!#ref!</definedName>
    <definedName function="false" hidden="false" name="teste" vbProcedure="false">[2]autores!#ref!</definedName>
    <definedName function="false" hidden="false" name="ULTMES" vbProcedure="false">#ref!</definedName>
    <definedName function="false" hidden="false" name="Z" vbProcedure="false">#ref!</definedName>
    <definedName function="false" hidden="false" name="_a" vbProcedure="false">#N/A</definedName>
    <definedName function="false" hidden="false" name="_c" vbProcedure="false">#N/A</definedName>
    <definedName function="false" hidden="false" name="_f" vbProcedure="false">#N/A</definedName>
    <definedName function="false" hidden="false" name="_i" vbProcedure="false">#ref!</definedName>
    <definedName function="false" hidden="false" name="_l" vbProcedure="false">#ref!</definedName>
    <definedName function="false" hidden="false" name="_G1002686" vbProcedure="false">'[1]anexo i (2)'!#ref!</definedName>
    <definedName function="false" hidden="true" name="_Regression_Int" vbProcedure="false">1</definedName>
    <definedName function="false" hidden="false" name="_xlnm.Database" vbProcedure="false">#ref!</definedName>
    <definedName function="false" hidden="false" name="__G1002686" vbProcedure="false">'[1]anexo i (2)'!#ref!</definedName>
    <definedName function="false" hidden="false" localSheetId="0" name="a" vbProcedure="false">#ref!</definedName>
    <definedName function="false" hidden="false" localSheetId="0" name="aa" vbProcedure="false">'[1]anexo i (2)'!#ref!</definedName>
    <definedName function="false" hidden="false" localSheetId="0" name="Abcd" vbProcedure="false">[2]autores!#ref!</definedName>
    <definedName function="false" hidden="false" localSheetId="0" name="agexcel" vbProcedure="false">#ref!</definedName>
    <definedName function="false" hidden="false" localSheetId="0" name="Agências_Setores" vbProcedure="false">#ref!</definedName>
    <definedName function="false" hidden="false" localSheetId="0" name="aloca" vbProcedure="false">#ref!</definedName>
    <definedName function="false" hidden="false" localSheetId="0" name="ANEXO" vbProcedure="false">#ref!</definedName>
    <definedName function="false" hidden="false" localSheetId="0" name="ANEXOB" vbProcedure="false">'[1]anexo i (2)'!#ref!</definedName>
    <definedName function="false" hidden="false" localSheetId="0" name="AREA" vbProcedure="false">[2]autores!#ref!</definedName>
    <definedName function="false" hidden="false" localSheetId="0" name="area2" vbProcedure="false">[2]autores!#ref!</definedName>
    <definedName function="false" hidden="false" localSheetId="0" name="area3" vbProcedure="false">[3]autores!#ref!</definedName>
    <definedName function="false" hidden="false" localSheetId="0" name="banco" vbProcedure="false">#ref!</definedName>
    <definedName function="false" hidden="false" localSheetId="0" name="compensacao" vbProcedure="false">[2]autores!#ref!</definedName>
    <definedName function="false" hidden="false" localSheetId="0" name="compensacao1" vbProcedure="false">'[1]anexo i (2)'!#ref!</definedName>
    <definedName function="false" hidden="false" localSheetId="0" name="D" vbProcedure="false">#ref!</definedName>
    <definedName function="false" hidden="false" localSheetId="0" name="Dados" vbProcedure="false">#ref!</definedName>
    <definedName function="false" hidden="false" localSheetId="0" name="data" vbProcedure="false">#ref!</definedName>
    <definedName function="false" hidden="false" localSheetId="0" name="DATA_ATUAL" vbProcedure="false">#ref!</definedName>
    <definedName function="false" hidden="false" localSheetId="0" name="descrição" vbProcedure="false">'[4]anexo a'!#ref!</definedName>
    <definedName function="false" hidden="false" localSheetId="0" name="DIARIO1B" vbProcedure="false">#ref!</definedName>
    <definedName function="false" hidden="false" localSheetId="0" name="DIARIO1E" vbProcedure="false">#ref!</definedName>
    <definedName function="false" hidden="false" localSheetId="0" name="DIARIO2A" vbProcedure="false">#ref!</definedName>
    <definedName function="false" hidden="false" localSheetId="0" name="DIARIO2B" vbProcedure="false">#ref!</definedName>
    <definedName function="false" hidden="false" localSheetId="0" name="DIARIO2E" vbProcedure="false">#ref!</definedName>
    <definedName function="false" hidden="false" localSheetId="0" name="DT_ATUAL" vbProcedure="false">#ref!</definedName>
    <definedName function="false" hidden="false" localSheetId="0" name="Débitos" vbProcedure="false">#ref!</definedName>
    <definedName function="false" hidden="false" localSheetId="0" name="Erro" vbProcedure="false">#ref!</definedName>
    <definedName function="false" hidden="false" localSheetId="0" name="Erro2" vbProcedure="false">#ref!</definedName>
    <definedName function="false" hidden="false" localSheetId="0" name="Erro3" vbProcedure="false">#ref!</definedName>
    <definedName function="false" hidden="false" localSheetId="0" name="f" vbProcedure="false">#ref!</definedName>
    <definedName function="false" hidden="false" localSheetId="0" name="g" vbProcedure="false">#ref!</definedName>
    <definedName function="false" hidden="false" localSheetId="0" name="guilherme" vbProcedure="false">'[5]anexo b'!#ref!</definedName>
    <definedName function="false" hidden="false" localSheetId="0" name="G_ÿ_P_" vbProcedure="false">#ref!</definedName>
    <definedName function="false" hidden="false" localSheetId="0" name="INFLAÇÃO" vbProcedure="false">#ref!</definedName>
    <definedName function="false" hidden="false" localSheetId="0" name="ing" vbProcedure="false">#ref!</definedName>
    <definedName function="false" hidden="false" localSheetId="0" name="inpc" vbProcedure="false">#ref!</definedName>
    <definedName function="false" hidden="false" localSheetId="0" name="J276J276" vbProcedure="false">#ref!</definedName>
    <definedName function="false" hidden="false" localSheetId="0" name="LIBOR" vbProcedure="false">#ref!</definedName>
    <definedName function="false" hidden="false" localSheetId="0" name="MENSAL2" vbProcedure="false">#ref!</definedName>
    <definedName function="false" hidden="false" localSheetId="0" name="MENSAL4" vbProcedure="false">#ref!</definedName>
    <definedName function="false" hidden="false" localSheetId="0" name="MESTRE2" vbProcedure="false">[6]btnf_trd!#ref!</definedName>
    <definedName function="false" hidden="false" localSheetId="0" name="NOVO" vbProcedure="false">[6]btnf_trd!#ref!</definedName>
    <definedName function="false" hidden="false" localSheetId="0" name="Per" vbProcedure="false">#ref!</definedName>
    <definedName function="false" hidden="false" localSheetId="0" name="Período" vbProcedure="false">#ref!</definedName>
    <definedName function="false" hidden="false" localSheetId="0" name="plan" vbProcedure="false">[2]autores!#ref!</definedName>
    <definedName function="false" hidden="false" localSheetId="0" name="port" vbProcedure="false">#ref!</definedName>
    <definedName function="false" hidden="false" localSheetId="0" name="Print_Area_MI" vbProcedure="false">'[8]quadro 1'!#ref!</definedName>
    <definedName function="false" hidden="false" localSheetId="0" name="Quadro_II___Base_monetária_e_componentes" vbProcedure="false">#ref!</definedName>
    <definedName function="false" hidden="false" localSheetId="0" name="Quadro_VI___Meios_de_pagamento_e_componentes" vbProcedure="false">#ref!</definedName>
    <definedName function="false" hidden="false" localSheetId="0" name="qualqer" vbProcedure="false">#ref!</definedName>
    <definedName function="false" hidden="false" localSheetId="0" name="qualquerum" vbProcedure="false">#ref!</definedName>
    <definedName function="false" hidden="false" localSheetId="0" name="RODAPE1" vbProcedure="false">#ref!</definedName>
    <definedName function="false" hidden="false" localSheetId="0" name="RODAPE6" vbProcedure="false">#ref!</definedName>
    <definedName function="false" hidden="false" localSheetId="0" name="RODAPE7" vbProcedure="false">#ref!</definedName>
    <definedName function="false" hidden="false" localSheetId="0" name="RODAPE8" vbProcedure="false">#ref!</definedName>
    <definedName function="false" hidden="false" localSheetId="0" name="s" vbProcedure="false">#ref!</definedName>
    <definedName function="false" hidden="false" localSheetId="0" name="Saldos_em_final_de_período" vbProcedure="false">#ref!</definedName>
    <definedName function="false" hidden="false" localSheetId="0" name="seleção" vbProcedure="false">#ref!</definedName>
    <definedName function="false" hidden="false" localSheetId="0" name="ss" vbProcedure="false">#ref!</definedName>
    <definedName function="false" hidden="false" localSheetId="0" name="taxa_de_juros" vbProcedure="false">'[5]anexo b'!#ref!</definedName>
    <definedName function="false" hidden="false" localSheetId="0" name="teste" vbProcedure="false">[2]autores!#ref!</definedName>
    <definedName function="false" hidden="false" localSheetId="0" name="ULTMES" vbProcedure="false">#ref!</definedName>
    <definedName function="false" hidden="false" localSheetId="0" name="Z" vbProcedure="false">#ref!</definedName>
    <definedName function="false" hidden="false" localSheetId="0" name="_i" vbProcedure="false">#ref!</definedName>
    <definedName function="false" hidden="false" localSheetId="0" name="_l" vbProcedure="false">#ref!</definedName>
    <definedName function="false" hidden="false" localSheetId="0" name="_G1002686" vbProcedure="false">'[1]anexo i (2)'!#ref!</definedName>
    <definedName function="false" hidden="false" localSheetId="0" name="_xlnm.Database" vbProcedure="false">#ref!</definedName>
    <definedName function="false" hidden="false" localSheetId="0" name="__G1002686" vbProcedure="false">'[1]anexo i (2)'!#ref!</definedName>
    <definedName function="false" hidden="false" localSheetId="1" name="a" vbProcedure="false">#ref!</definedName>
    <definedName function="false" hidden="false" localSheetId="1" name="aa" vbProcedure="false">'[1]anexo i (2)'!#ref!</definedName>
    <definedName function="false" hidden="false" localSheetId="1" name="Abcd" vbProcedure="false">[2]autores!#ref!</definedName>
    <definedName function="false" hidden="false" localSheetId="1" name="agexcel" vbProcedure="false">#ref!</definedName>
    <definedName function="false" hidden="false" localSheetId="1" name="Agências_Setores" vbProcedure="false">#ref!</definedName>
    <definedName function="false" hidden="false" localSheetId="1" name="aloca" vbProcedure="false">#ref!</definedName>
    <definedName function="false" hidden="false" localSheetId="1" name="ANEXO" vbProcedure="false">#ref!</definedName>
    <definedName function="false" hidden="false" localSheetId="1" name="ANEXOB" vbProcedure="false">'[1]anexo i (2)'!#ref!</definedName>
    <definedName function="false" hidden="false" localSheetId="1" name="AREA" vbProcedure="false">[2]autores!#ref!</definedName>
    <definedName function="false" hidden="false" localSheetId="1" name="area2" vbProcedure="false">[2]autores!#ref!</definedName>
    <definedName function="false" hidden="false" localSheetId="1" name="area3" vbProcedure="false">[3]autores!#ref!</definedName>
    <definedName function="false" hidden="false" localSheetId="1" name="banco" vbProcedure="false">#ref!</definedName>
    <definedName function="false" hidden="false" localSheetId="1" name="compensacao" vbProcedure="false">[2]autores!#ref!</definedName>
    <definedName function="false" hidden="false" localSheetId="1" name="compensacao1" vbProcedure="false">'[1]anexo i (2)'!#ref!</definedName>
    <definedName function="false" hidden="false" localSheetId="1" name="D" vbProcedure="false">#ref!</definedName>
    <definedName function="false" hidden="false" localSheetId="1" name="Dados" vbProcedure="false">#ref!</definedName>
    <definedName function="false" hidden="false" localSheetId="1" name="data" vbProcedure="false">#ref!</definedName>
    <definedName function="false" hidden="false" localSheetId="1" name="DATA_ATUAL" vbProcedure="false">#ref!</definedName>
    <definedName function="false" hidden="false" localSheetId="1" name="descrição" vbProcedure="false">'[4]anexo a'!#ref!</definedName>
    <definedName function="false" hidden="false" localSheetId="1" name="DIARIO1B" vbProcedure="false">#ref!</definedName>
    <definedName function="false" hidden="false" localSheetId="1" name="DIARIO1E" vbProcedure="false">#ref!</definedName>
    <definedName function="false" hidden="false" localSheetId="1" name="DIARIO2A" vbProcedure="false">#ref!</definedName>
    <definedName function="false" hidden="false" localSheetId="1" name="DIARIO2B" vbProcedure="false">#ref!</definedName>
    <definedName function="false" hidden="false" localSheetId="1" name="DIARIO2E" vbProcedure="false">#ref!</definedName>
    <definedName function="false" hidden="false" localSheetId="1" name="DT_ATUAL" vbProcedure="false">#ref!</definedName>
    <definedName function="false" hidden="false" localSheetId="1" name="Débitos" vbProcedure="false">#ref!</definedName>
    <definedName function="false" hidden="false" localSheetId="1" name="Erro" vbProcedure="false">#ref!</definedName>
    <definedName function="false" hidden="false" localSheetId="1" name="Erro2" vbProcedure="false">#ref!</definedName>
    <definedName function="false" hidden="false" localSheetId="1" name="Erro3" vbProcedure="false">#ref!</definedName>
    <definedName function="false" hidden="false" localSheetId="1" name="f" vbProcedure="false">#ref!</definedName>
    <definedName function="false" hidden="false" localSheetId="1" name="g" vbProcedure="false">#ref!</definedName>
    <definedName function="false" hidden="false" localSheetId="1" name="guilherme" vbProcedure="false">'[5]anexo b'!#ref!</definedName>
    <definedName function="false" hidden="false" localSheetId="1" name="G_ÿ_P_" vbProcedure="false">#ref!</definedName>
    <definedName function="false" hidden="false" localSheetId="1" name="INFLAÇÃO" vbProcedure="false">#ref!</definedName>
    <definedName function="false" hidden="false" localSheetId="1" name="ing" vbProcedure="false">#ref!</definedName>
    <definedName function="false" hidden="false" localSheetId="1" name="inpc" vbProcedure="false">#ref!</definedName>
    <definedName function="false" hidden="false" localSheetId="1" name="J276J276" vbProcedure="false">#ref!</definedName>
    <definedName function="false" hidden="false" localSheetId="1" name="LIBOR" vbProcedure="false">#ref!</definedName>
    <definedName function="false" hidden="false" localSheetId="1" name="MENSAL2" vbProcedure="false">#ref!</definedName>
    <definedName function="false" hidden="false" localSheetId="1" name="MENSAL4" vbProcedure="false">#ref!</definedName>
    <definedName function="false" hidden="false" localSheetId="1" name="MESTRE2" vbProcedure="false">[6]btnf_trd!#ref!</definedName>
    <definedName function="false" hidden="false" localSheetId="1" name="NOVO" vbProcedure="false">[6]btnf_trd!#ref!</definedName>
    <definedName function="false" hidden="false" localSheetId="1" name="Per" vbProcedure="false">#ref!</definedName>
    <definedName function="false" hidden="false" localSheetId="1" name="Período" vbProcedure="false">#ref!</definedName>
    <definedName function="false" hidden="false" localSheetId="1" name="plan" vbProcedure="false">[2]autores!#ref!</definedName>
    <definedName function="false" hidden="false" localSheetId="1" name="port" vbProcedure="false">#ref!</definedName>
    <definedName function="false" hidden="false" localSheetId="1" name="Print_Area_MI" vbProcedure="false">'[8]quadro 1'!#ref!</definedName>
    <definedName function="false" hidden="false" localSheetId="1" name="Quadro_II___Base_monetária_e_componentes" vbProcedure="false">#ref!</definedName>
    <definedName function="false" hidden="false" localSheetId="1" name="Quadro_VI___Meios_de_pagamento_e_componentes" vbProcedure="false">#ref!</definedName>
    <definedName function="false" hidden="false" localSheetId="1" name="qualqer" vbProcedure="false">#ref!</definedName>
    <definedName function="false" hidden="false" localSheetId="1" name="qualquerum" vbProcedure="false">#ref!</definedName>
    <definedName function="false" hidden="false" localSheetId="1" name="RODAPE1" vbProcedure="false">#ref!</definedName>
    <definedName function="false" hidden="false" localSheetId="1" name="RODAPE6" vbProcedure="false">#ref!</definedName>
    <definedName function="false" hidden="false" localSheetId="1" name="RODAPE7" vbProcedure="false">#ref!</definedName>
    <definedName function="false" hidden="false" localSheetId="1" name="RODAPE8" vbProcedure="false">#ref!</definedName>
    <definedName function="false" hidden="false" localSheetId="1" name="s" vbProcedure="false">#ref!</definedName>
    <definedName function="false" hidden="false" localSheetId="1" name="Saldos_em_final_de_período" vbProcedure="false">#ref!</definedName>
    <definedName function="false" hidden="false" localSheetId="1" name="seleção" vbProcedure="false">#ref!</definedName>
    <definedName function="false" hidden="false" localSheetId="1" name="ss" vbProcedure="false">#ref!</definedName>
    <definedName function="false" hidden="false" localSheetId="1" name="taxa_de_juros" vbProcedure="false">'[5]anexo b'!#ref!</definedName>
    <definedName function="false" hidden="false" localSheetId="1" name="teste" vbProcedure="false">[2]autores!#ref!</definedName>
    <definedName function="false" hidden="false" localSheetId="1" name="ULTMES" vbProcedure="false">#ref!</definedName>
    <definedName function="false" hidden="false" localSheetId="1" name="Z" vbProcedure="false">#ref!</definedName>
    <definedName function="false" hidden="false" localSheetId="1" name="_i" vbProcedure="false">#ref!</definedName>
    <definedName function="false" hidden="false" localSheetId="1" name="_l" vbProcedure="false">#ref!</definedName>
    <definedName function="false" hidden="false" localSheetId="1" name="_G1002686" vbProcedure="false">'[1]anexo i (2)'!#ref!</definedName>
    <definedName function="false" hidden="false" localSheetId="1" name="_xlnm.Database" vbProcedure="false">#ref!</definedName>
    <definedName function="false" hidden="false" localSheetId="1" name="__G1002686" vbProcedure="false">'[1]anexo i (2)'!#ref!</definedName>
    <definedName function="false" hidden="false" localSheetId="2" name="a" vbProcedure="false">#ref!</definedName>
    <definedName function="false" hidden="false" localSheetId="2" name="aa" vbProcedure="false">'[1]anexo i (2)'!#ref!</definedName>
    <definedName function="false" hidden="false" localSheetId="2" name="Abcd" vbProcedure="false">[2]autores!#ref!</definedName>
    <definedName function="false" hidden="false" localSheetId="2" name="agexcel" vbProcedure="false">#ref!</definedName>
    <definedName function="false" hidden="false" localSheetId="2" name="Agências_Setores" vbProcedure="false">#ref!</definedName>
    <definedName function="false" hidden="false" localSheetId="2" name="aloca" vbProcedure="false">#ref!</definedName>
    <definedName function="false" hidden="false" localSheetId="2" name="ANEXO" vbProcedure="false">#ref!</definedName>
    <definedName function="false" hidden="false" localSheetId="2" name="ANEXOB" vbProcedure="false">'[1]anexo i (2)'!#ref!</definedName>
    <definedName function="false" hidden="false" localSheetId="2" name="AREA" vbProcedure="false">[2]autores!#ref!</definedName>
    <definedName function="false" hidden="false" localSheetId="2" name="area2" vbProcedure="false">[2]autores!#ref!</definedName>
    <definedName function="false" hidden="false" localSheetId="2" name="area3" vbProcedure="false">[3]autores!#ref!</definedName>
    <definedName function="false" hidden="false" localSheetId="2" name="banco" vbProcedure="false">#ref!</definedName>
    <definedName function="false" hidden="false" localSheetId="2" name="compensacao" vbProcedure="false">[2]autores!#ref!</definedName>
    <definedName function="false" hidden="false" localSheetId="2" name="compensacao1" vbProcedure="false">'[1]anexo i (2)'!#ref!</definedName>
    <definedName function="false" hidden="false" localSheetId="2" name="D" vbProcedure="false">#ref!</definedName>
    <definedName function="false" hidden="false" localSheetId="2" name="Dados" vbProcedure="false">#ref!</definedName>
    <definedName function="false" hidden="false" localSheetId="2" name="data" vbProcedure="false">#ref!</definedName>
    <definedName function="false" hidden="false" localSheetId="2" name="DATA_ATUAL" vbProcedure="false">#ref!</definedName>
    <definedName function="false" hidden="false" localSheetId="2" name="descrição" vbProcedure="false">'[4]anexo a'!#ref!</definedName>
    <definedName function="false" hidden="false" localSheetId="2" name="DIARIO1B" vbProcedure="false">#ref!</definedName>
    <definedName function="false" hidden="false" localSheetId="2" name="DIARIO1E" vbProcedure="false">#ref!</definedName>
    <definedName function="false" hidden="false" localSheetId="2" name="DIARIO2A" vbProcedure="false">#ref!</definedName>
    <definedName function="false" hidden="false" localSheetId="2" name="DIARIO2B" vbProcedure="false">#ref!</definedName>
    <definedName function="false" hidden="false" localSheetId="2" name="DIARIO2E" vbProcedure="false">#ref!</definedName>
    <definedName function="false" hidden="false" localSheetId="2" name="DT_ATUAL" vbProcedure="false">#ref!</definedName>
    <definedName function="false" hidden="false" localSheetId="2" name="Débitos" vbProcedure="false">#ref!</definedName>
    <definedName function="false" hidden="false" localSheetId="2" name="Erro" vbProcedure="false">#ref!</definedName>
    <definedName function="false" hidden="false" localSheetId="2" name="Erro2" vbProcedure="false">#ref!</definedName>
    <definedName function="false" hidden="false" localSheetId="2" name="Erro3" vbProcedure="false">#ref!</definedName>
    <definedName function="false" hidden="false" localSheetId="2" name="f" vbProcedure="false">#ref!</definedName>
    <definedName function="false" hidden="false" localSheetId="2" name="g" vbProcedure="false">#ref!</definedName>
    <definedName function="false" hidden="false" localSheetId="2" name="guilherme" vbProcedure="false">'[5]anexo b'!#ref!</definedName>
    <definedName function="false" hidden="false" localSheetId="2" name="G_ÿ_P_" vbProcedure="false">#ref!</definedName>
    <definedName function="false" hidden="false" localSheetId="2" name="INFLAÇÃO" vbProcedure="false">#ref!</definedName>
    <definedName function="false" hidden="false" localSheetId="2" name="ing" vbProcedure="false">#ref!</definedName>
    <definedName function="false" hidden="false" localSheetId="2" name="inpc" vbProcedure="false">#ref!</definedName>
    <definedName function="false" hidden="false" localSheetId="2" name="J276J276" vbProcedure="false">#ref!</definedName>
    <definedName function="false" hidden="false" localSheetId="2" name="LIBOR" vbProcedure="false">#ref!</definedName>
    <definedName function="false" hidden="false" localSheetId="2" name="MENSAL2" vbProcedure="false">#ref!</definedName>
    <definedName function="false" hidden="false" localSheetId="2" name="MENSAL4" vbProcedure="false">#ref!</definedName>
    <definedName function="false" hidden="false" localSheetId="2" name="MESTRE2" vbProcedure="false">[6]btnf_trd!#ref!</definedName>
    <definedName function="false" hidden="false" localSheetId="2" name="NOVO" vbProcedure="false">[6]btnf_trd!#ref!</definedName>
    <definedName function="false" hidden="false" localSheetId="2" name="Per" vbProcedure="false">#ref!</definedName>
    <definedName function="false" hidden="false" localSheetId="2" name="Período" vbProcedure="false">#ref!</definedName>
    <definedName function="false" hidden="false" localSheetId="2" name="plan" vbProcedure="false">[2]autores!#ref!</definedName>
    <definedName function="false" hidden="false" localSheetId="2" name="port" vbProcedure="false">#ref!</definedName>
    <definedName function="false" hidden="false" localSheetId="2" name="Print_Area_MI" vbProcedure="false">'[8]quadro 1'!#ref!</definedName>
    <definedName function="false" hidden="false" localSheetId="2" name="Quadro_II___Base_monetária_e_componentes" vbProcedure="false">#ref!</definedName>
    <definedName function="false" hidden="false" localSheetId="2" name="Quadro_VI___Meios_de_pagamento_e_componentes" vbProcedure="false">#ref!</definedName>
    <definedName function="false" hidden="false" localSheetId="2" name="qualqer" vbProcedure="false">#ref!</definedName>
    <definedName function="false" hidden="false" localSheetId="2" name="qualquerum" vbProcedure="false">#ref!</definedName>
    <definedName function="false" hidden="false" localSheetId="2" name="RODAPE1" vbProcedure="false">#ref!</definedName>
    <definedName function="false" hidden="false" localSheetId="2" name="RODAPE6" vbProcedure="false">#ref!</definedName>
    <definedName function="false" hidden="false" localSheetId="2" name="RODAPE7" vbProcedure="false">#ref!</definedName>
    <definedName function="false" hidden="false" localSheetId="2" name="RODAPE8" vbProcedure="false">#ref!</definedName>
    <definedName function="false" hidden="false" localSheetId="2" name="s" vbProcedure="false">#ref!</definedName>
    <definedName function="false" hidden="false" localSheetId="2" name="Saldos_em_final_de_período" vbProcedure="false">#ref!</definedName>
    <definedName function="false" hidden="false" localSheetId="2" name="seleção" vbProcedure="false">#ref!</definedName>
    <definedName function="false" hidden="false" localSheetId="2" name="ss" vbProcedure="false">#ref!</definedName>
    <definedName function="false" hidden="false" localSheetId="2" name="taxa_de_juros" vbProcedure="false">'[5]anexo b'!#ref!</definedName>
    <definedName function="false" hidden="false" localSheetId="2" name="teste" vbProcedure="false">[2]autores!#ref!</definedName>
    <definedName function="false" hidden="false" localSheetId="2" name="ULTMES" vbProcedure="false">#ref!</definedName>
    <definedName function="false" hidden="false" localSheetId="2" name="Z" vbProcedure="false">#ref!</definedName>
    <definedName function="false" hidden="false" localSheetId="2" name="_i" vbProcedure="false">#ref!</definedName>
    <definedName function="false" hidden="false" localSheetId="2" name="_l" vbProcedure="false">#ref!</definedName>
    <definedName function="false" hidden="false" localSheetId="2" name="_G1002686" vbProcedure="false">'[1]anexo i (2)'!#ref!</definedName>
    <definedName function="false" hidden="false" localSheetId="2" name="_xlnm.Database" vbProcedure="false">#ref!</definedName>
    <definedName function="false" hidden="false" localSheetId="2" name="__G1002686" vbProcedure="false">'[1]anexo i (2)'!#ref!</definedName>
    <definedName function="false" hidden="false" localSheetId="3" name="a" vbProcedure="false">#ref!</definedName>
    <definedName function="false" hidden="false" localSheetId="3" name="aa" vbProcedure="false">'[1]anexo i (2)'!#ref!</definedName>
    <definedName function="false" hidden="false" localSheetId="3" name="Abcd" vbProcedure="false">[2]autores!#ref!</definedName>
    <definedName function="false" hidden="false" localSheetId="3" name="agexcel" vbProcedure="false">#ref!</definedName>
    <definedName function="false" hidden="false" localSheetId="3" name="Agências_Setores" vbProcedure="false">#ref!</definedName>
    <definedName function="false" hidden="false" localSheetId="3" name="aloca" vbProcedure="false">#ref!</definedName>
    <definedName function="false" hidden="false" localSheetId="3" name="ANEXO" vbProcedure="false">#ref!</definedName>
    <definedName function="false" hidden="false" localSheetId="3" name="ANEXOB" vbProcedure="false">'[1]anexo i (2)'!#ref!</definedName>
    <definedName function="false" hidden="false" localSheetId="3" name="AREA" vbProcedure="false">[2]autores!#ref!</definedName>
    <definedName function="false" hidden="false" localSheetId="3" name="area2" vbProcedure="false">[2]autores!#ref!</definedName>
    <definedName function="false" hidden="false" localSheetId="3" name="area3" vbProcedure="false">[3]autores!#ref!</definedName>
    <definedName function="false" hidden="false" localSheetId="3" name="banco" vbProcedure="false">#ref!</definedName>
    <definedName function="false" hidden="false" localSheetId="3" name="compensacao" vbProcedure="false">[2]autores!#ref!</definedName>
    <definedName function="false" hidden="false" localSheetId="3" name="compensacao1" vbProcedure="false">'[1]anexo i (2)'!#ref!</definedName>
    <definedName function="false" hidden="false" localSheetId="3" name="D" vbProcedure="false">#ref!</definedName>
    <definedName function="false" hidden="false" localSheetId="3" name="Dados" vbProcedure="false">#ref!</definedName>
    <definedName function="false" hidden="false" localSheetId="3" name="data" vbProcedure="false">#ref!</definedName>
    <definedName function="false" hidden="false" localSheetId="3" name="DATA_ATUAL" vbProcedure="false">#ref!</definedName>
    <definedName function="false" hidden="false" localSheetId="3" name="descrição" vbProcedure="false">'[4]anexo a'!#ref!</definedName>
    <definedName function="false" hidden="false" localSheetId="3" name="DIARIO1B" vbProcedure="false">#ref!</definedName>
    <definedName function="false" hidden="false" localSheetId="3" name="DIARIO1E" vbProcedure="false">#ref!</definedName>
    <definedName function="false" hidden="false" localSheetId="3" name="DIARIO2A" vbProcedure="false">#ref!</definedName>
    <definedName function="false" hidden="false" localSheetId="3" name="DIARIO2B" vbProcedure="false">#ref!</definedName>
    <definedName function="false" hidden="false" localSheetId="3" name="DIARIO2E" vbProcedure="false">#ref!</definedName>
    <definedName function="false" hidden="false" localSheetId="3" name="DT_ATUAL" vbProcedure="false">#ref!</definedName>
    <definedName function="false" hidden="false" localSheetId="3" name="Débitos" vbProcedure="false">#ref!</definedName>
    <definedName function="false" hidden="false" localSheetId="3" name="Erro" vbProcedure="false">#ref!</definedName>
    <definedName function="false" hidden="false" localSheetId="3" name="Erro2" vbProcedure="false">#ref!</definedName>
    <definedName function="false" hidden="false" localSheetId="3" name="Erro3" vbProcedure="false">#ref!</definedName>
    <definedName function="false" hidden="false" localSheetId="3" name="f" vbProcedure="false">#ref!</definedName>
    <definedName function="false" hidden="false" localSheetId="3" name="g" vbProcedure="false">#ref!</definedName>
    <definedName function="false" hidden="false" localSheetId="3" name="guilherme" vbProcedure="false">'[5]anexo b'!#ref!</definedName>
    <definedName function="false" hidden="false" localSheetId="3" name="G_ÿ_P_" vbProcedure="false">#ref!</definedName>
    <definedName function="false" hidden="false" localSheetId="3" name="INFLAÇÃO" vbProcedure="false">#ref!</definedName>
    <definedName function="false" hidden="false" localSheetId="3" name="ing" vbProcedure="false">#ref!</definedName>
    <definedName function="false" hidden="false" localSheetId="3" name="inpc" vbProcedure="false">#ref!</definedName>
    <definedName function="false" hidden="false" localSheetId="3" name="J276J276" vbProcedure="false">#ref!</definedName>
    <definedName function="false" hidden="false" localSheetId="3" name="LIBOR" vbProcedure="false">#ref!</definedName>
    <definedName function="false" hidden="false" localSheetId="3" name="MENSAL2" vbProcedure="false">#ref!</definedName>
    <definedName function="false" hidden="false" localSheetId="3" name="MENSAL4" vbProcedure="false">#ref!</definedName>
    <definedName function="false" hidden="false" localSheetId="3" name="MESTRE2" vbProcedure="false">[6]btnf_trd!#ref!</definedName>
    <definedName function="false" hidden="false" localSheetId="3" name="NOVO" vbProcedure="false">[6]btnf_trd!#ref!</definedName>
    <definedName function="false" hidden="false" localSheetId="3" name="Per" vbProcedure="false">#ref!</definedName>
    <definedName function="false" hidden="false" localSheetId="3" name="Período" vbProcedure="false">#ref!</definedName>
    <definedName function="false" hidden="false" localSheetId="3" name="plan" vbProcedure="false">[2]autores!#ref!</definedName>
    <definedName function="false" hidden="false" localSheetId="3" name="port" vbProcedure="false">#ref!</definedName>
    <definedName function="false" hidden="false" localSheetId="3" name="Print_Area_MI" vbProcedure="false">'[8]quadro 1'!#ref!</definedName>
    <definedName function="false" hidden="false" localSheetId="3" name="Quadro_II___Base_monetária_e_componentes" vbProcedure="false">#ref!</definedName>
    <definedName function="false" hidden="false" localSheetId="3" name="Quadro_VI___Meios_de_pagamento_e_componentes" vbProcedure="false">#ref!</definedName>
    <definedName function="false" hidden="false" localSheetId="3" name="qualqer" vbProcedure="false">#ref!</definedName>
    <definedName function="false" hidden="false" localSheetId="3" name="qualquerum" vbProcedure="false">#ref!</definedName>
    <definedName function="false" hidden="false" localSheetId="3" name="RODAPE1" vbProcedure="false">#ref!</definedName>
    <definedName function="false" hidden="false" localSheetId="3" name="RODAPE6" vbProcedure="false">#ref!</definedName>
    <definedName function="false" hidden="false" localSheetId="3" name="RODAPE7" vbProcedure="false">#ref!</definedName>
    <definedName function="false" hidden="false" localSheetId="3" name="RODAPE8" vbProcedure="false">#ref!</definedName>
    <definedName function="false" hidden="false" localSheetId="3" name="s" vbProcedure="false">#ref!</definedName>
    <definedName function="false" hidden="false" localSheetId="3" name="Saldos_em_final_de_período" vbProcedure="false">#ref!</definedName>
    <definedName function="false" hidden="false" localSheetId="3" name="seleção" vbProcedure="false">#ref!</definedName>
    <definedName function="false" hidden="false" localSheetId="3" name="ss" vbProcedure="false">#ref!</definedName>
    <definedName function="false" hidden="false" localSheetId="3" name="taxa_de_juros" vbProcedure="false">'[5]anexo b'!#ref!</definedName>
    <definedName function="false" hidden="false" localSheetId="3" name="teste" vbProcedure="false">[2]autores!#ref!</definedName>
    <definedName function="false" hidden="false" localSheetId="3" name="ULTMES" vbProcedure="false">#ref!</definedName>
    <definedName function="false" hidden="false" localSheetId="3" name="Z" vbProcedure="false">#ref!</definedName>
    <definedName function="false" hidden="false" localSheetId="3" name="_i" vbProcedure="false">#ref!</definedName>
    <definedName function="false" hidden="false" localSheetId="3" name="_l" vbProcedure="false">#ref!</definedName>
    <definedName function="false" hidden="false" localSheetId="3" name="_G1002686" vbProcedure="false">'[1]anexo i (2)'!#ref!</definedName>
    <definedName function="false" hidden="false" localSheetId="3" name="_xlnm.Database" vbProcedure="false">#ref!</definedName>
    <definedName function="false" hidden="false" localSheetId="3" name="__G1002686" vbProcedure="false">'[1]anexo i (2)'!#ref!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</author>
  </authors>
  <commentList>
    <comment ref="G121" authorId="0">
      <text>
        <r>
          <rPr>
            <sz val="10"/>
            <rFont val="Arial"/>
            <family val="2"/>
          </rPr>
          <t xml:space="preserve">NÃO DIGITAR.</t>
        </r>
      </text>
    </comment>
    <comment ref="AH121" authorId="0">
      <text>
        <r>
          <rPr>
            <sz val="10"/>
            <rFont val="Arial"/>
            <family val="2"/>
          </rPr>
          <t xml:space="preserve">NÃO DIGITAR.</t>
        </r>
      </text>
    </comment>
    <comment ref="BE6" authorId="0">
      <text>
        <r>
          <rPr>
            <sz val="10"/>
            <rFont val="Arial"/>
            <family val="2"/>
          </rPr>
          <t xml:space="preserve">Se caso o contrato não estiver quitado, aqui recalcula as parcelas já descontando as abusividades e os valores já pagos. 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p</author>
  </authors>
  <commentList>
    <comment ref="G122" authorId="0">
      <text>
        <r>
          <rPr>
            <sz val="10"/>
            <rFont val="Arial"/>
            <family val="2"/>
          </rPr>
          <t xml:space="preserve">NÃO DIGITAR.</t>
        </r>
      </text>
    </comment>
    <comment ref="AH122" authorId="0">
      <text>
        <r>
          <rPr>
            <sz val="10"/>
            <rFont val="Arial"/>
            <family val="2"/>
          </rPr>
          <t xml:space="preserve">NÃO DIGITAR.</t>
        </r>
      </text>
    </comment>
    <comment ref="BE7" authorId="0">
      <text>
        <r>
          <rPr>
            <sz val="10"/>
            <rFont val="Arial"/>
            <family val="2"/>
          </rPr>
          <t xml:space="preserve">Se caso o contrato não estiver quitado, aqui recalcula as parcelas já descontando as abusividades e os valores já pagos. 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</author>
  </authors>
  <commentList>
    <comment ref="G122" authorId="0">
      <text>
        <r>
          <rPr>
            <sz val="10"/>
            <rFont val="Arial"/>
            <family val="2"/>
          </rPr>
          <t xml:space="preserve">NÃO DIGITAR.</t>
        </r>
      </text>
    </comment>
    <comment ref="AH122" authorId="0">
      <text>
        <r>
          <rPr>
            <sz val="10"/>
            <rFont val="Arial"/>
            <family val="2"/>
          </rPr>
          <t xml:space="preserve">NÃO DIGITAR.</t>
        </r>
      </text>
    </comment>
    <comment ref="BE7" authorId="0">
      <text>
        <r>
          <rPr>
            <sz val="10"/>
            <rFont val="Arial"/>
            <family val="2"/>
          </rPr>
          <t xml:space="preserve">Se caso o contrato não estiver quitado, aqui recalcula as parcelas já descontando as abusividades e os valores já pagos. 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p</author>
  </authors>
  <commentList>
    <comment ref="G122" authorId="0">
      <text>
        <r>
          <rPr>
            <sz val="10"/>
            <rFont val="Arial"/>
            <family val="2"/>
          </rPr>
          <t xml:space="preserve">NÃO DIGITAR.</t>
        </r>
      </text>
    </comment>
    <comment ref="AH122" authorId="0">
      <text>
        <r>
          <rPr>
            <sz val="10"/>
            <rFont val="Arial"/>
            <family val="2"/>
          </rPr>
          <t xml:space="preserve">NÃO DIGITAR.</t>
        </r>
      </text>
    </comment>
    <comment ref="BE7" authorId="0">
      <text>
        <r>
          <rPr>
            <sz val="10"/>
            <rFont val="Arial"/>
            <family val="2"/>
          </rPr>
          <t xml:space="preserve">Se caso o contrato não estiver quitado, aqui recalcula as parcelas já descontando as abusividades e os valores já pagos. 
</t>
        </r>
      </text>
    </comment>
  </commentList>
</comments>
</file>

<file path=xl/sharedStrings.xml><?xml version="1.0" encoding="utf-8"?>
<sst xmlns="http://schemas.openxmlformats.org/spreadsheetml/2006/main" count="572" uniqueCount="66">
  <si>
    <t xml:space="preserve">CÁLCULOS DA OPERAÇÃO Nº 3713630 - CLIENTE: JAQUELINE DA SILVA BRUM x BANCO CREFAZ</t>
  </si>
  <si>
    <t xml:space="preserve">Data da pactuação: </t>
  </si>
  <si>
    <t xml:space="preserve">Data do cálculo:</t>
  </si>
  <si>
    <t xml:space="preserve">Data do 1º vencimento:</t>
  </si>
  <si>
    <t xml:space="preserve">DADOS DO CONTRATO</t>
  </si>
  <si>
    <t xml:space="preserve">VALORES RECALCULADOS</t>
  </si>
  <si>
    <t xml:space="preserve">SALDO RECALCULADO DESCONTANDO AS PARCELAS PAGAS</t>
  </si>
  <si>
    <t xml:space="preserve">Valor principal financiado =</t>
  </si>
  <si>
    <t xml:space="preserve">Saldo devedor total do contrato = </t>
  </si>
  <si>
    <t xml:space="preserve">Seguros = </t>
  </si>
  <si>
    <t xml:space="preserve">Quantidade de parcelas pagas=</t>
  </si>
  <si>
    <t xml:space="preserve">TAC = </t>
  </si>
  <si>
    <t xml:space="preserve">Valor da parcela paga = </t>
  </si>
  <si>
    <t xml:space="preserve">Registro = </t>
  </si>
  <si>
    <t xml:space="preserve">Valor total pago pelo cliente = </t>
  </si>
  <si>
    <t xml:space="preserve">Avaliação = </t>
  </si>
  <si>
    <t xml:space="preserve">Saldo devedor atualizado = </t>
  </si>
  <si>
    <t xml:space="preserve">Outros = </t>
  </si>
  <si>
    <t xml:space="preserve">Quantidade de parcelas a vencer = </t>
  </si>
  <si>
    <t xml:space="preserve">IOF =  </t>
  </si>
  <si>
    <t xml:space="preserve">IOF = </t>
  </si>
  <si>
    <t xml:space="preserve">Valor da parcela atual = </t>
  </si>
  <si>
    <t xml:space="preserve">Valor financiado total no contrato = </t>
  </si>
  <si>
    <t xml:space="preserve">Quantidade de parcelas = </t>
  </si>
  <si>
    <t xml:space="preserve">Taxa média = </t>
  </si>
  <si>
    <t xml:space="preserve">Valor da parcela cobrada = </t>
  </si>
  <si>
    <t xml:space="preserve">Valor da parcela recalculada =</t>
  </si>
  <si>
    <t xml:space="preserve">Saldo do contrato = </t>
  </si>
  <si>
    <t xml:space="preserve">Taxa pactuada = </t>
  </si>
  <si>
    <t xml:space="preserve">Valor final recalculado do contrato = </t>
  </si>
  <si>
    <t xml:space="preserve">(-) Saldo incontroverso = </t>
  </si>
  <si>
    <t xml:space="preserve">Valor final do contrato = </t>
  </si>
  <si>
    <t xml:space="preserve">Diferença  cobrada a mais por parcela = </t>
  </si>
  <si>
    <t xml:space="preserve">Saldo controvertido total = </t>
  </si>
  <si>
    <t xml:space="preserve">Montante cobrado a mais pelo banco = </t>
  </si>
  <si>
    <t xml:space="preserve">Saldo controvertido por parcela = </t>
  </si>
  <si>
    <t xml:space="preserve">Saldo controvertido por parcela</t>
  </si>
  <si>
    <t xml:space="preserve">CONFORME PACTUADO</t>
  </si>
  <si>
    <t xml:space="preserve">PARCELA COM TAXA MÉDIA E EXPURGO DE ABUSIVIDADES</t>
  </si>
  <si>
    <t xml:space="preserve">Valor financiado total = </t>
  </si>
  <si>
    <t xml:space="preserve">Valor financiado ajustado = 
(com expurgo de tarifas e/ou seguros)</t>
  </si>
  <si>
    <t xml:space="preserve">PERCENTUAL DA TAXA COBRADADA SUPERIOR A MÉDIA</t>
  </si>
  <si>
    <t xml:space="preserve">TOTAL NOMINAL DE COBRANÇAS INDEVIDAS</t>
  </si>
  <si>
    <t xml:space="preserve">Taxa de juros ao mês = </t>
  </si>
  <si>
    <t xml:space="preserve">Taxa média de juros ao mês =</t>
  </si>
  <si>
    <t xml:space="preserve">Quantidade de parcelas =</t>
  </si>
  <si>
    <t xml:space="preserve">Valor da parcela</t>
  </si>
  <si>
    <t xml:space="preserve">=</t>
  </si>
  <si>
    <t xml:space="preserve">PV</t>
  </si>
  <si>
    <t xml:space="preserve">x</t>
  </si>
  <si>
    <t xml:space="preserve">+</t>
  </si>
  <si>
    <t xml:space="preserve">i</t>
  </si>
  <si>
    <t xml:space="preserve">n</t>
  </si>
  <si>
    <t xml:space="preserve">TAXA EFETIVAMENTE COBRADA</t>
  </si>
  <si>
    <t xml:space="preserve">-</t>
  </si>
  <si>
    <t xml:space="preserve">PMT</t>
  </si>
  <si>
    <t xml:space="preserve">PARCELAS CONFORME O CONTRATO</t>
  </si>
  <si>
    <t xml:space="preserve">PARCELAS RECALCULADAS</t>
  </si>
  <si>
    <t xml:space="preserve">VALORES PAGOS PELO CLIENTE</t>
  </si>
  <si>
    <t xml:space="preserve">Parcela </t>
  </si>
  <si>
    <t xml:space="preserve">Vencimento</t>
  </si>
  <si>
    <t xml:space="preserve">Parcela cobrada</t>
  </si>
  <si>
    <t xml:space="preserve">Parcela recalculada</t>
  </si>
  <si>
    <t xml:space="preserve">Valor pago</t>
  </si>
  <si>
    <t xml:space="preserve">CÁLCULOS DA OPERAÇÃO Nº XXXXXX - CLIENTE x BANCO XXX</t>
  </si>
  <si>
    <t xml:space="preserve">CÁLCULOS DA OPERAÇÃO Nº 3162466 - CLIENTE: ADEMIR MIRANDA DOS SANTOS x BANCO: CREFAZ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</si>
</sst>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%"/>
    <numFmt numFmtId="166" formatCode="_(* #,##0.00_);_(* \(#,##0.00\);_(* \-??_);_(@_)"/>
    <numFmt numFmtId="167" formatCode="m/d/yyyy"/>
    <numFmt numFmtId="168" formatCode="dd/mm/yyyy"/>
    <numFmt numFmtId="169" formatCode="_-&quot;R$ &quot;* #,##0.00_-;&quot;-R$ &quot;* #,##0.00_-;_-&quot;R$ &quot;* \-??_-;_-@_-"/>
    <numFmt numFmtId="170" formatCode="_-* #,##0.00_-;\-* #,##0.00_-;_-* \-??_-;_-@_-"/>
    <numFmt numFmtId="171" formatCode="0.00%"/>
    <numFmt numFmtId="172" formatCode="0.0000%"/>
    <numFmt numFmtId="173" formatCode="0.000%"/>
    <numFmt numFmtId="174" formatCode="_(* #,##0_);_(* \(#,##0\);_(* \-??_);_(@_)"/>
    <numFmt numFmtId="175" formatCode="0"/>
    <numFmt numFmtId="176" formatCode="0.00"/>
    <numFmt numFmtId="177" formatCode="#,##0.00_);\(#,##0.00\)"/>
    <numFmt numFmtId="178" formatCode="#,##0"/>
    <numFmt numFmtId="179" formatCode="#,##0.000000"/>
    <numFmt numFmtId="180" formatCode="#,##0.000000_);\(#,##0.000000\)"/>
    <numFmt numFmtId="181" formatCode="_(\$* #,##0.00_);_(\$* \(#,##0.00\);_(\$* \-??_);_(@_)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 Narrow"/>
      <family val="2"/>
      <charset val="1"/>
    </font>
    <font>
      <sz val="10"/>
      <color theme="1"/>
      <name val="Arial"/>
      <family val="2"/>
      <charset val="1"/>
    </font>
    <font>
      <sz val="9"/>
      <name val="Arial Narrow"/>
      <family val="2"/>
      <charset val="1"/>
    </font>
    <font>
      <sz val="9"/>
      <color rgb="FFFF0000"/>
      <name val="Arial Narrow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1"/>
      <name val="Arial Narrow"/>
      <family val="2"/>
      <charset val="1"/>
    </font>
    <font>
      <sz val="11"/>
      <color rgb="FFFF0000"/>
      <name val="Arial Narrow"/>
      <family val="2"/>
      <charset val="1"/>
    </font>
    <font>
      <b val="true"/>
      <u val="single"/>
      <sz val="12"/>
      <name val="Calibri"/>
      <family val="2"/>
      <charset val="1"/>
    </font>
    <font>
      <b val="true"/>
      <u val="single"/>
      <sz val="9"/>
      <name val="Arial Narrow"/>
      <family val="2"/>
      <charset val="1"/>
    </font>
    <font>
      <b val="true"/>
      <sz val="9"/>
      <name val="Arial Narrow"/>
      <family val="2"/>
      <charset val="1"/>
    </font>
    <font>
      <sz val="10"/>
      <name val="Arial"/>
      <family val="2"/>
    </font>
    <font>
      <b val="true"/>
      <sz val="13"/>
      <name val="Arial Narrow"/>
      <family val="2"/>
      <charset val="1"/>
    </font>
    <font>
      <b val="true"/>
      <sz val="11"/>
      <name val="Arial Narrow"/>
      <family val="2"/>
      <charset val="1"/>
    </font>
    <font>
      <b val="true"/>
      <sz val="8"/>
      <name val="Arial Narrow"/>
      <family val="2"/>
      <charset val="1"/>
    </font>
    <font>
      <sz val="8"/>
      <name val="Arial Narrow"/>
      <family val="2"/>
      <charset val="1"/>
    </font>
    <font>
      <b val="true"/>
      <sz val="8"/>
      <color theme="1" tint="0.0499"/>
      <name val="Arial Narrow"/>
      <family val="2"/>
      <charset val="1"/>
    </font>
    <font>
      <sz val="8"/>
      <color theme="1" tint="0.0499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5999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  <fill>
      <patternFill patternType="solid">
        <fgColor theme="5" tint="0.5999"/>
        <bgColor rgb="FFF4B183"/>
      </patternFill>
    </fill>
    <fill>
      <patternFill patternType="solid">
        <fgColor theme="5" tint="0.3999"/>
        <bgColor rgb="FFF8CBAD"/>
      </patternFill>
    </fill>
    <fill>
      <patternFill patternType="solid">
        <fgColor theme="0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medium"/>
      <bottom style="medium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1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8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0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22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3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21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2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2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25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8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5" borderId="2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" fillId="0" borderId="0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0" borderId="0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19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9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0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19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6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7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" fillId="0" borderId="2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0" borderId="0" xfId="2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0" borderId="2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9" fillId="0" borderId="0" xfId="2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3" borderId="1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2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6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3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2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0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22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3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5" fillId="0" borderId="21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2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2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5" fillId="0" borderId="2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2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25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6" borderId="2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5" fillId="0" borderId="0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5" fillId="0" borderId="0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5" fillId="0" borderId="19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15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0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9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6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7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0" borderId="2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5" fillId="0" borderId="0" xfId="2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5" fillId="0" borderId="2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9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15" fillId="0" borderId="0" xfId="2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9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2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5" borderId="2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9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1" xfId="17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Normal_modelo_new_SFH" xfId="23"/>
    <cellStyle name="Porcentagem 11" xfId="24"/>
    <cellStyle name="Porcentagem 7" xfId="25"/>
    <cellStyle name="Separador de milhares 3 2" xfId="26"/>
    <cellStyle name="Separador de milhares 4 2" xfId="27"/>
    <cellStyle name="Vírgula 2" xfId="28"/>
    <cellStyle name="Vírgula 2 2" xfId="29"/>
    <cellStyle name="Vírgula 2 2 2 6 2" xfId="30"/>
    <cellStyle name="Vírgula 3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9" Type="http://schemas.openxmlformats.org/officeDocument/2006/relationships/externalLink" Target="externalLinks/externalLink3.xml"/><Relationship Id="rId1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Relat&#243;rio%20de%20Infla&#231;&#227;o/2010/1mar&#231;o/Dimob/Graficos%20enviados/Cap%203.2%20Gr&#225;f%20-%20Emiss&#245;es%20prim&#225;rias%20no%20mercado%20de%20capitais%20XXXXXX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icro-1/recepcao/a---Auditoria%20Financeira%20e%20C&#225;lculos/Sebasti&#227;o%20Mattos/Edson%20Y%20Aoki%20x%20Bradesco/Parecer%20Assist.%20T&#233;cnico/WINDOWS/TEMP/Tabdiv.tab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10.1.0.1/pericia_auditoria/a---Pericias-Judiciais/Forum-Estadual/Londrina/2&#172;-Vara-Civel/2180-2009---Alipio-Souza-X-Banco-Estado-PR/2180-09---Anexo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Relat Inf 0009 - graf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ário Mínimo"/>
      <sheetName val="Relat Inf 0009 - graf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uxiliar - digitação"/>
      <sheetName val="w-resumo"/>
      <sheetName val="w-comparativo"/>
      <sheetName val="Anexo A"/>
      <sheetName val="Anexo B"/>
      <sheetName val="Anexo C"/>
      <sheetName val="w-resumo-final"/>
      <sheetName val="INPC"/>
      <sheetName val="aux-fórum -05-2013"/>
      <sheetName val="aux-Taxas médias CH especial"/>
      <sheetName val="auxiliar - IOF"/>
      <sheetName val="aux INPC 12-2012"/>
      <sheetName val="aux-forum 11-2001"/>
      <sheetName val="aux cabeçalho nao deletar"/>
      <sheetName val="Salário Míni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L163"/>
  <sheetViews>
    <sheetView showFormulas="false" showGridLines="fals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AP17" activeCellId="0" sqref="AP17"/>
    </sheetView>
  </sheetViews>
  <sheetFormatPr defaultColWidth="0.71484375" defaultRowHeight="13.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1"/>
    <col collapsed="false" customWidth="true" hidden="false" outlineLevel="0" max="3" min="3" style="1" width="21.14"/>
    <col collapsed="false" customWidth="true" hidden="true" outlineLevel="0" max="4" min="4" style="1" width="1"/>
    <col collapsed="false" customWidth="true" hidden="false" outlineLevel="0" max="6" min="5" style="1" width="1"/>
    <col collapsed="false" customWidth="true" hidden="false" outlineLevel="0" max="7" min="7" style="1" width="10.42"/>
    <col collapsed="false" customWidth="false" hidden="false" outlineLevel="0" max="8" min="8" style="1" width="0.71"/>
    <col collapsed="false" customWidth="true" hidden="false" outlineLevel="0" max="9" min="9" style="1" width="1.57"/>
    <col collapsed="false" customWidth="false" hidden="false" outlineLevel="0" max="11" min="10" style="1" width="0.71"/>
    <col collapsed="false" customWidth="true" hidden="false" outlineLevel="0" max="12" min="12" style="1" width="3.29"/>
    <col collapsed="false" customWidth="false" hidden="false" outlineLevel="0" max="14" min="13" style="1" width="0.71"/>
    <col collapsed="false" customWidth="true" hidden="false" outlineLevel="0" max="15" min="15" style="1" width="2.15"/>
    <col collapsed="false" customWidth="false" hidden="false" outlineLevel="0" max="16" min="16" style="1" width="0.71"/>
    <col collapsed="false" customWidth="true" hidden="false" outlineLevel="0" max="17" min="17" style="1" width="1.57"/>
    <col collapsed="false" customWidth="false" hidden="false" outlineLevel="0" max="18" min="18" style="1" width="0.71"/>
    <col collapsed="false" customWidth="true" hidden="false" outlineLevel="0" max="19" min="19" style="1" width="8.29"/>
    <col collapsed="false" customWidth="false" hidden="false" outlineLevel="0" max="20" min="20" style="1" width="0.71"/>
    <col collapsed="false" customWidth="true" hidden="false" outlineLevel="0" max="21" min="21" style="1" width="2.42"/>
    <col collapsed="false" customWidth="false" hidden="false" outlineLevel="0" max="22" min="22" style="1" width="0.71"/>
    <col collapsed="false" customWidth="true" hidden="false" outlineLevel="0" max="23" min="23" style="1" width="1.57"/>
    <col collapsed="false" customWidth="false" hidden="false" outlineLevel="0" max="24" min="24" style="1" width="0.71"/>
    <col collapsed="false" customWidth="true" hidden="false" outlineLevel="0" max="25" min="25" style="1" width="8.57"/>
    <col collapsed="false" customWidth="false" hidden="false" outlineLevel="0" max="28" min="26" style="1" width="0.71"/>
    <col collapsed="false" customWidth="true" hidden="false" outlineLevel="0" max="29" min="29" style="1" width="0.42"/>
    <col collapsed="false" customWidth="true" hidden="false" outlineLevel="0" max="30" min="30" style="1" width="12.71"/>
    <col collapsed="false" customWidth="false" hidden="false" outlineLevel="0" max="31" min="31" style="1" width="0.71"/>
    <col collapsed="false" customWidth="true" hidden="false" outlineLevel="0" max="32" min="32" style="1" width="2.29"/>
    <col collapsed="false" customWidth="false" hidden="false" outlineLevel="0" max="33" min="33" style="1" width="0.71"/>
    <col collapsed="false" customWidth="true" hidden="false" outlineLevel="0" max="34" min="34" style="1" width="13.57"/>
    <col collapsed="false" customWidth="false" hidden="false" outlineLevel="0" max="35" min="35" style="1" width="0.71"/>
    <col collapsed="false" customWidth="true" hidden="false" outlineLevel="0" max="36" min="36" style="1" width="1.57"/>
    <col collapsed="false" customWidth="false" hidden="false" outlineLevel="0" max="40" min="37" style="1" width="0.71"/>
    <col collapsed="false" customWidth="true" hidden="false" outlineLevel="0" max="41" min="41" style="1" width="4"/>
    <col collapsed="false" customWidth="true" hidden="false" outlineLevel="0" max="42" min="42" style="1" width="2.15"/>
    <col collapsed="false" customWidth="false" hidden="false" outlineLevel="0" max="43" min="43" style="1" width="0.71"/>
    <col collapsed="false" customWidth="true" hidden="false" outlineLevel="0" max="44" min="44" style="1" width="1.57"/>
    <col collapsed="false" customWidth="false" hidden="false" outlineLevel="0" max="45" min="45" style="1" width="0.71"/>
    <col collapsed="false" customWidth="true" hidden="false" outlineLevel="0" max="46" min="46" style="1" width="7"/>
    <col collapsed="false" customWidth="false" hidden="false" outlineLevel="0" max="47" min="47" style="1" width="0.71"/>
    <col collapsed="false" customWidth="true" hidden="false" outlineLevel="0" max="48" min="48" style="1" width="2.29"/>
    <col collapsed="false" customWidth="false" hidden="false" outlineLevel="0" max="49" min="49" style="1" width="0.71"/>
    <col collapsed="false" customWidth="true" hidden="false" outlineLevel="0" max="50" min="50" style="1" width="1.57"/>
    <col collapsed="false" customWidth="false" hidden="false" outlineLevel="0" max="51" min="51" style="1" width="0.71"/>
    <col collapsed="false" customWidth="true" hidden="false" outlineLevel="0" max="52" min="52" style="1" width="7.71"/>
    <col collapsed="false" customWidth="false" hidden="false" outlineLevel="0" max="54" min="53" style="1" width="0.71"/>
    <col collapsed="false" customWidth="true" hidden="false" outlineLevel="0" max="55" min="55" style="1" width="0.57"/>
    <col collapsed="false" customWidth="false" hidden="true" outlineLevel="0" max="56" min="56" style="1" width="0.71"/>
    <col collapsed="false" customWidth="true" hidden="false" outlineLevel="0" max="57" min="57" style="1" width="21"/>
    <col collapsed="false" customWidth="false" hidden="true" outlineLevel="0" max="58" min="58" style="1" width="0.71"/>
    <col collapsed="false" customWidth="true" hidden="false" outlineLevel="0" max="59" min="59" style="1" width="2.29"/>
    <col collapsed="false" customWidth="true" hidden="false" outlineLevel="0" max="60" min="60" style="1" width="4.42"/>
    <col collapsed="false" customWidth="true" hidden="false" outlineLevel="0" max="61" min="61" style="1" width="1.71"/>
    <col collapsed="false" customWidth="true" hidden="true" outlineLevel="0" max="62" min="62" style="1" width="7.42"/>
    <col collapsed="false" customWidth="true" hidden="false" outlineLevel="0" max="63" min="63" style="1" width="3.71"/>
    <col collapsed="false" customWidth="true" hidden="false" outlineLevel="0" max="64" min="64" style="1" width="4.57"/>
    <col collapsed="false" customWidth="false" hidden="false" outlineLevel="0" max="65" min="65" style="1" width="0.71"/>
    <col collapsed="false" customWidth="true" hidden="false" outlineLevel="0" max="66" min="66" style="1" width="1.57"/>
    <col collapsed="false" customWidth="false" hidden="false" outlineLevel="0" max="71" min="67" style="1" width="0.71"/>
    <col collapsed="false" customWidth="true" hidden="false" outlineLevel="0" max="72" min="72" style="1" width="2.15"/>
    <col collapsed="false" customWidth="false" hidden="false" outlineLevel="0" max="73" min="73" style="1" width="0.71"/>
    <col collapsed="false" customWidth="true" hidden="false" outlineLevel="0" max="74" min="74" style="1" width="1.57"/>
    <col collapsed="false" customWidth="false" hidden="false" outlineLevel="0" max="75" min="75" style="1" width="0.71"/>
    <col collapsed="false" customWidth="true" hidden="false" outlineLevel="0" max="76" min="76" style="1" width="4.42"/>
    <col collapsed="false" customWidth="false" hidden="false" outlineLevel="0" max="77" min="77" style="1" width="0.71"/>
    <col collapsed="false" customWidth="true" hidden="false" outlineLevel="0" max="78" min="78" style="1" width="4"/>
    <col collapsed="false" customWidth="false" hidden="false" outlineLevel="0" max="79" min="79" style="1" width="0.71"/>
    <col collapsed="false" customWidth="true" hidden="false" outlineLevel="0" max="80" min="80" style="1" width="1.57"/>
    <col collapsed="false" customWidth="false" hidden="false" outlineLevel="0" max="81" min="81" style="1" width="0.71"/>
    <col collapsed="false" customWidth="true" hidden="false" outlineLevel="0" max="82" min="82" style="1" width="10"/>
    <col collapsed="false" customWidth="true" hidden="false" outlineLevel="0" max="83" min="83" style="2" width="12.57"/>
    <col collapsed="false" customWidth="false" hidden="false" outlineLevel="0" max="86" min="84" style="1" width="0.71"/>
    <col collapsed="false" customWidth="true" hidden="false" outlineLevel="0" max="87" min="87" style="3" width="12.42"/>
    <col collapsed="false" customWidth="true" hidden="false" outlineLevel="0" max="88" min="88" style="1" width="6.29"/>
    <col collapsed="false" customWidth="true" hidden="false" outlineLevel="0" max="89" min="89" style="2" width="12.57"/>
    <col collapsed="false" customWidth="true" hidden="false" outlineLevel="0" max="90" min="90" style="3" width="13.29"/>
    <col collapsed="false" customWidth="false" hidden="false" outlineLevel="0" max="303" min="91" style="1" width="0.71"/>
    <col collapsed="false" customWidth="true" hidden="false" outlineLevel="0" max="304" min="304" style="1" width="3.42"/>
    <col collapsed="false" customWidth="true" hidden="false" outlineLevel="0" max="305" min="305" style="1" width="2.42"/>
    <col collapsed="false" customWidth="true" hidden="false" outlineLevel="0" max="306" min="306" style="1" width="7"/>
    <col collapsed="false" customWidth="false" hidden="false" outlineLevel="0" max="307" min="307" style="1" width="0.71"/>
    <col collapsed="false" customWidth="true" hidden="false" outlineLevel="0" max="308" min="308" style="1" width="1.57"/>
    <col collapsed="false" customWidth="false" hidden="false" outlineLevel="0" max="309" min="309" style="1" width="0.71"/>
    <col collapsed="false" customWidth="true" hidden="false" outlineLevel="0" max="310" min="310" style="1" width="11.29"/>
    <col collapsed="false" customWidth="false" hidden="false" outlineLevel="0" max="311" min="311" style="1" width="0.71"/>
    <col collapsed="false" customWidth="true" hidden="false" outlineLevel="0" max="312" min="312" style="1" width="1.57"/>
    <col collapsed="false" customWidth="false" hidden="false" outlineLevel="0" max="317" min="313" style="1" width="0.71"/>
    <col collapsed="false" customWidth="true" hidden="false" outlineLevel="0" max="318" min="318" style="1" width="2.15"/>
    <col collapsed="false" customWidth="false" hidden="false" outlineLevel="0" max="319" min="319" style="1" width="0.71"/>
    <col collapsed="false" customWidth="true" hidden="false" outlineLevel="0" max="320" min="320" style="1" width="1.57"/>
    <col collapsed="false" customWidth="false" hidden="false" outlineLevel="0" max="321" min="321" style="1" width="0.71"/>
    <col collapsed="false" customWidth="true" hidden="false" outlineLevel="0" max="322" min="322" style="1" width="7"/>
    <col collapsed="false" customWidth="false" hidden="false" outlineLevel="0" max="323" min="323" style="1" width="0.71"/>
    <col collapsed="false" customWidth="true" hidden="false" outlineLevel="0" max="324" min="324" style="1" width="4"/>
    <col collapsed="false" customWidth="false" hidden="false" outlineLevel="0" max="325" min="325" style="1" width="0.71"/>
    <col collapsed="false" customWidth="true" hidden="false" outlineLevel="0" max="326" min="326" style="1" width="1.57"/>
    <col collapsed="false" customWidth="false" hidden="false" outlineLevel="0" max="327" min="327" style="1" width="0.71"/>
    <col collapsed="false" customWidth="true" hidden="false" outlineLevel="0" max="328" min="328" style="1" width="7"/>
    <col collapsed="false" customWidth="false" hidden="false" outlineLevel="0" max="331" min="329" style="1" width="0.71"/>
    <col collapsed="false" customWidth="true" hidden="false" outlineLevel="0" max="332" min="332" style="1" width="2.42"/>
    <col collapsed="false" customWidth="false" hidden="false" outlineLevel="0" max="338" min="333" style="1" width="0.71"/>
    <col collapsed="false" customWidth="true" hidden="false" outlineLevel="0" max="339" min="339" style="1" width="16.57"/>
    <col collapsed="false" customWidth="false" hidden="false" outlineLevel="0" max="342" min="340" style="1" width="0.71"/>
    <col collapsed="false" customWidth="true" hidden="false" outlineLevel="0" max="343" min="343" style="1" width="9.86"/>
    <col collapsed="false" customWidth="true" hidden="false" outlineLevel="0" max="346" min="344" style="1" width="9.29"/>
    <col collapsed="false" customWidth="false" hidden="false" outlineLevel="0" max="559" min="347" style="1" width="0.71"/>
    <col collapsed="false" customWidth="true" hidden="false" outlineLevel="0" max="560" min="560" style="1" width="3.42"/>
    <col collapsed="false" customWidth="true" hidden="false" outlineLevel="0" max="561" min="561" style="1" width="2.42"/>
    <col collapsed="false" customWidth="true" hidden="false" outlineLevel="0" max="562" min="562" style="1" width="7"/>
    <col collapsed="false" customWidth="false" hidden="false" outlineLevel="0" max="563" min="563" style="1" width="0.71"/>
    <col collapsed="false" customWidth="true" hidden="false" outlineLevel="0" max="564" min="564" style="1" width="1.57"/>
    <col collapsed="false" customWidth="false" hidden="false" outlineLevel="0" max="565" min="565" style="1" width="0.71"/>
    <col collapsed="false" customWidth="true" hidden="false" outlineLevel="0" max="566" min="566" style="1" width="11.29"/>
    <col collapsed="false" customWidth="false" hidden="false" outlineLevel="0" max="567" min="567" style="1" width="0.71"/>
    <col collapsed="false" customWidth="true" hidden="false" outlineLevel="0" max="568" min="568" style="1" width="1.57"/>
    <col collapsed="false" customWidth="false" hidden="false" outlineLevel="0" max="573" min="569" style="1" width="0.71"/>
    <col collapsed="false" customWidth="true" hidden="false" outlineLevel="0" max="574" min="574" style="1" width="2.15"/>
    <col collapsed="false" customWidth="false" hidden="false" outlineLevel="0" max="575" min="575" style="1" width="0.71"/>
    <col collapsed="false" customWidth="true" hidden="false" outlineLevel="0" max="576" min="576" style="1" width="1.57"/>
    <col collapsed="false" customWidth="false" hidden="false" outlineLevel="0" max="577" min="577" style="1" width="0.71"/>
    <col collapsed="false" customWidth="true" hidden="false" outlineLevel="0" max="578" min="578" style="1" width="7"/>
    <col collapsed="false" customWidth="false" hidden="false" outlineLevel="0" max="579" min="579" style="1" width="0.71"/>
    <col collapsed="false" customWidth="true" hidden="false" outlineLevel="0" max="580" min="580" style="1" width="4"/>
    <col collapsed="false" customWidth="false" hidden="false" outlineLevel="0" max="581" min="581" style="1" width="0.71"/>
    <col collapsed="false" customWidth="true" hidden="false" outlineLevel="0" max="582" min="582" style="1" width="1.57"/>
    <col collapsed="false" customWidth="false" hidden="false" outlineLevel="0" max="583" min="583" style="1" width="0.71"/>
    <col collapsed="false" customWidth="true" hidden="false" outlineLevel="0" max="584" min="584" style="1" width="7"/>
    <col collapsed="false" customWidth="false" hidden="false" outlineLevel="0" max="587" min="585" style="1" width="0.71"/>
    <col collapsed="false" customWidth="true" hidden="false" outlineLevel="0" max="588" min="588" style="1" width="2.42"/>
    <col collapsed="false" customWidth="false" hidden="false" outlineLevel="0" max="594" min="589" style="1" width="0.71"/>
    <col collapsed="false" customWidth="true" hidden="false" outlineLevel="0" max="595" min="595" style="1" width="16.57"/>
    <col collapsed="false" customWidth="false" hidden="false" outlineLevel="0" max="598" min="596" style="1" width="0.71"/>
    <col collapsed="false" customWidth="true" hidden="false" outlineLevel="0" max="599" min="599" style="1" width="9.86"/>
    <col collapsed="false" customWidth="true" hidden="false" outlineLevel="0" max="602" min="600" style="1" width="9.29"/>
    <col collapsed="false" customWidth="false" hidden="false" outlineLevel="0" max="815" min="603" style="1" width="0.71"/>
    <col collapsed="false" customWidth="true" hidden="false" outlineLevel="0" max="816" min="816" style="1" width="3.42"/>
    <col collapsed="false" customWidth="true" hidden="false" outlineLevel="0" max="817" min="817" style="1" width="2.42"/>
    <col collapsed="false" customWidth="true" hidden="false" outlineLevel="0" max="818" min="818" style="1" width="7"/>
    <col collapsed="false" customWidth="false" hidden="false" outlineLevel="0" max="819" min="819" style="1" width="0.71"/>
    <col collapsed="false" customWidth="true" hidden="false" outlineLevel="0" max="820" min="820" style="1" width="1.57"/>
    <col collapsed="false" customWidth="false" hidden="false" outlineLevel="0" max="821" min="821" style="1" width="0.71"/>
    <col collapsed="false" customWidth="true" hidden="false" outlineLevel="0" max="822" min="822" style="1" width="11.29"/>
    <col collapsed="false" customWidth="false" hidden="false" outlineLevel="0" max="823" min="823" style="1" width="0.71"/>
    <col collapsed="false" customWidth="true" hidden="false" outlineLevel="0" max="824" min="824" style="1" width="1.57"/>
    <col collapsed="false" customWidth="false" hidden="false" outlineLevel="0" max="829" min="825" style="1" width="0.71"/>
    <col collapsed="false" customWidth="true" hidden="false" outlineLevel="0" max="830" min="830" style="1" width="2.15"/>
    <col collapsed="false" customWidth="false" hidden="false" outlineLevel="0" max="831" min="831" style="1" width="0.71"/>
    <col collapsed="false" customWidth="true" hidden="false" outlineLevel="0" max="832" min="832" style="1" width="1.57"/>
    <col collapsed="false" customWidth="false" hidden="false" outlineLevel="0" max="833" min="833" style="1" width="0.71"/>
    <col collapsed="false" customWidth="true" hidden="false" outlineLevel="0" max="834" min="834" style="1" width="7"/>
    <col collapsed="false" customWidth="false" hidden="false" outlineLevel="0" max="835" min="835" style="1" width="0.71"/>
    <col collapsed="false" customWidth="true" hidden="false" outlineLevel="0" max="836" min="836" style="1" width="4"/>
    <col collapsed="false" customWidth="false" hidden="false" outlineLevel="0" max="837" min="837" style="1" width="0.71"/>
    <col collapsed="false" customWidth="true" hidden="false" outlineLevel="0" max="838" min="838" style="1" width="1.57"/>
    <col collapsed="false" customWidth="false" hidden="false" outlineLevel="0" max="839" min="839" style="1" width="0.71"/>
    <col collapsed="false" customWidth="true" hidden="false" outlineLevel="0" max="840" min="840" style="1" width="7"/>
    <col collapsed="false" customWidth="false" hidden="false" outlineLevel="0" max="843" min="841" style="1" width="0.71"/>
    <col collapsed="false" customWidth="true" hidden="false" outlineLevel="0" max="844" min="844" style="1" width="2.42"/>
    <col collapsed="false" customWidth="false" hidden="false" outlineLevel="0" max="850" min="845" style="1" width="0.71"/>
    <col collapsed="false" customWidth="true" hidden="false" outlineLevel="0" max="851" min="851" style="1" width="16.57"/>
    <col collapsed="false" customWidth="false" hidden="false" outlineLevel="0" max="854" min="852" style="1" width="0.71"/>
    <col collapsed="false" customWidth="true" hidden="false" outlineLevel="0" max="855" min="855" style="1" width="9.86"/>
    <col collapsed="false" customWidth="true" hidden="false" outlineLevel="0" max="858" min="856" style="1" width="9.29"/>
    <col collapsed="false" customWidth="false" hidden="false" outlineLevel="0" max="1071" min="859" style="1" width="0.71"/>
    <col collapsed="false" customWidth="true" hidden="false" outlineLevel="0" max="1072" min="1072" style="1" width="3.42"/>
    <col collapsed="false" customWidth="true" hidden="false" outlineLevel="0" max="1073" min="1073" style="1" width="2.42"/>
    <col collapsed="false" customWidth="true" hidden="false" outlineLevel="0" max="1074" min="1074" style="1" width="7"/>
    <col collapsed="false" customWidth="false" hidden="false" outlineLevel="0" max="1075" min="1075" style="1" width="0.71"/>
    <col collapsed="false" customWidth="true" hidden="false" outlineLevel="0" max="1076" min="1076" style="1" width="1.57"/>
    <col collapsed="false" customWidth="false" hidden="false" outlineLevel="0" max="1077" min="1077" style="1" width="0.71"/>
    <col collapsed="false" customWidth="true" hidden="false" outlineLevel="0" max="1078" min="1078" style="1" width="11.29"/>
    <col collapsed="false" customWidth="false" hidden="false" outlineLevel="0" max="1079" min="1079" style="1" width="0.71"/>
    <col collapsed="false" customWidth="true" hidden="false" outlineLevel="0" max="1080" min="1080" style="1" width="1.57"/>
    <col collapsed="false" customWidth="false" hidden="false" outlineLevel="0" max="1085" min="1081" style="1" width="0.71"/>
    <col collapsed="false" customWidth="true" hidden="false" outlineLevel="0" max="1086" min="1086" style="1" width="2.15"/>
    <col collapsed="false" customWidth="false" hidden="false" outlineLevel="0" max="1087" min="1087" style="1" width="0.71"/>
    <col collapsed="false" customWidth="true" hidden="false" outlineLevel="0" max="1088" min="1088" style="1" width="1.57"/>
    <col collapsed="false" customWidth="false" hidden="false" outlineLevel="0" max="1089" min="1089" style="1" width="0.71"/>
    <col collapsed="false" customWidth="true" hidden="false" outlineLevel="0" max="1090" min="1090" style="1" width="7"/>
    <col collapsed="false" customWidth="false" hidden="false" outlineLevel="0" max="1091" min="1091" style="1" width="0.71"/>
    <col collapsed="false" customWidth="true" hidden="false" outlineLevel="0" max="1092" min="1092" style="1" width="4"/>
    <col collapsed="false" customWidth="false" hidden="false" outlineLevel="0" max="1093" min="1093" style="1" width="0.71"/>
    <col collapsed="false" customWidth="true" hidden="false" outlineLevel="0" max="1094" min="1094" style="1" width="1.57"/>
    <col collapsed="false" customWidth="false" hidden="false" outlineLevel="0" max="1095" min="1095" style="1" width="0.71"/>
    <col collapsed="false" customWidth="true" hidden="false" outlineLevel="0" max="1096" min="1096" style="1" width="7"/>
    <col collapsed="false" customWidth="false" hidden="false" outlineLevel="0" max="1099" min="1097" style="1" width="0.71"/>
    <col collapsed="false" customWidth="true" hidden="false" outlineLevel="0" max="1100" min="1100" style="1" width="2.42"/>
    <col collapsed="false" customWidth="false" hidden="false" outlineLevel="0" max="1106" min="1101" style="1" width="0.71"/>
    <col collapsed="false" customWidth="true" hidden="false" outlineLevel="0" max="1107" min="1107" style="1" width="16.57"/>
    <col collapsed="false" customWidth="false" hidden="false" outlineLevel="0" max="1110" min="1108" style="1" width="0.71"/>
    <col collapsed="false" customWidth="true" hidden="false" outlineLevel="0" max="1111" min="1111" style="1" width="9.86"/>
    <col collapsed="false" customWidth="true" hidden="false" outlineLevel="0" max="1114" min="1112" style="1" width="9.29"/>
    <col collapsed="false" customWidth="false" hidden="false" outlineLevel="0" max="1327" min="1115" style="1" width="0.71"/>
    <col collapsed="false" customWidth="true" hidden="false" outlineLevel="0" max="1328" min="1328" style="1" width="3.42"/>
    <col collapsed="false" customWidth="true" hidden="false" outlineLevel="0" max="1329" min="1329" style="1" width="2.42"/>
    <col collapsed="false" customWidth="true" hidden="false" outlineLevel="0" max="1330" min="1330" style="1" width="7"/>
    <col collapsed="false" customWidth="false" hidden="false" outlineLevel="0" max="1331" min="1331" style="1" width="0.71"/>
    <col collapsed="false" customWidth="true" hidden="false" outlineLevel="0" max="1332" min="1332" style="1" width="1.57"/>
    <col collapsed="false" customWidth="false" hidden="false" outlineLevel="0" max="1333" min="1333" style="1" width="0.71"/>
    <col collapsed="false" customWidth="true" hidden="false" outlineLevel="0" max="1334" min="1334" style="1" width="11.29"/>
    <col collapsed="false" customWidth="false" hidden="false" outlineLevel="0" max="1335" min="1335" style="1" width="0.71"/>
    <col collapsed="false" customWidth="true" hidden="false" outlineLevel="0" max="1336" min="1336" style="1" width="1.57"/>
    <col collapsed="false" customWidth="false" hidden="false" outlineLevel="0" max="1341" min="1337" style="1" width="0.71"/>
    <col collapsed="false" customWidth="true" hidden="false" outlineLevel="0" max="1342" min="1342" style="1" width="2.15"/>
    <col collapsed="false" customWidth="false" hidden="false" outlineLevel="0" max="1343" min="1343" style="1" width="0.71"/>
    <col collapsed="false" customWidth="true" hidden="false" outlineLevel="0" max="1344" min="1344" style="1" width="1.57"/>
    <col collapsed="false" customWidth="false" hidden="false" outlineLevel="0" max="1345" min="1345" style="1" width="0.71"/>
    <col collapsed="false" customWidth="true" hidden="false" outlineLevel="0" max="1346" min="1346" style="1" width="7"/>
    <col collapsed="false" customWidth="false" hidden="false" outlineLevel="0" max="1347" min="1347" style="1" width="0.71"/>
    <col collapsed="false" customWidth="true" hidden="false" outlineLevel="0" max="1348" min="1348" style="1" width="4"/>
    <col collapsed="false" customWidth="false" hidden="false" outlineLevel="0" max="1349" min="1349" style="1" width="0.71"/>
    <col collapsed="false" customWidth="true" hidden="false" outlineLevel="0" max="1350" min="1350" style="1" width="1.57"/>
    <col collapsed="false" customWidth="false" hidden="false" outlineLevel="0" max="1351" min="1351" style="1" width="0.71"/>
    <col collapsed="false" customWidth="true" hidden="false" outlineLevel="0" max="1352" min="1352" style="1" width="7"/>
    <col collapsed="false" customWidth="false" hidden="false" outlineLevel="0" max="1355" min="1353" style="1" width="0.71"/>
    <col collapsed="false" customWidth="true" hidden="false" outlineLevel="0" max="1356" min="1356" style="1" width="2.42"/>
    <col collapsed="false" customWidth="false" hidden="false" outlineLevel="0" max="1362" min="1357" style="1" width="0.71"/>
    <col collapsed="false" customWidth="true" hidden="false" outlineLevel="0" max="1363" min="1363" style="1" width="16.57"/>
    <col collapsed="false" customWidth="false" hidden="false" outlineLevel="0" max="1366" min="1364" style="1" width="0.71"/>
    <col collapsed="false" customWidth="true" hidden="false" outlineLevel="0" max="1367" min="1367" style="1" width="9.86"/>
    <col collapsed="false" customWidth="true" hidden="false" outlineLevel="0" max="1370" min="1368" style="1" width="9.29"/>
    <col collapsed="false" customWidth="false" hidden="false" outlineLevel="0" max="1583" min="1371" style="1" width="0.71"/>
    <col collapsed="false" customWidth="true" hidden="false" outlineLevel="0" max="1584" min="1584" style="1" width="3.42"/>
    <col collapsed="false" customWidth="true" hidden="false" outlineLevel="0" max="1585" min="1585" style="1" width="2.42"/>
    <col collapsed="false" customWidth="true" hidden="false" outlineLevel="0" max="1586" min="1586" style="1" width="7"/>
    <col collapsed="false" customWidth="false" hidden="false" outlineLevel="0" max="1587" min="1587" style="1" width="0.71"/>
    <col collapsed="false" customWidth="true" hidden="false" outlineLevel="0" max="1588" min="1588" style="1" width="1.57"/>
    <col collapsed="false" customWidth="false" hidden="false" outlineLevel="0" max="1589" min="1589" style="1" width="0.71"/>
    <col collapsed="false" customWidth="true" hidden="false" outlineLevel="0" max="1590" min="1590" style="1" width="11.29"/>
    <col collapsed="false" customWidth="false" hidden="false" outlineLevel="0" max="1591" min="1591" style="1" width="0.71"/>
    <col collapsed="false" customWidth="true" hidden="false" outlineLevel="0" max="1592" min="1592" style="1" width="1.57"/>
    <col collapsed="false" customWidth="false" hidden="false" outlineLevel="0" max="1597" min="1593" style="1" width="0.71"/>
    <col collapsed="false" customWidth="true" hidden="false" outlineLevel="0" max="1598" min="1598" style="1" width="2.15"/>
    <col collapsed="false" customWidth="false" hidden="false" outlineLevel="0" max="1599" min="1599" style="1" width="0.71"/>
    <col collapsed="false" customWidth="true" hidden="false" outlineLevel="0" max="1600" min="1600" style="1" width="1.57"/>
    <col collapsed="false" customWidth="false" hidden="false" outlineLevel="0" max="1601" min="1601" style="1" width="0.71"/>
    <col collapsed="false" customWidth="true" hidden="false" outlineLevel="0" max="1602" min="1602" style="1" width="7"/>
    <col collapsed="false" customWidth="false" hidden="false" outlineLevel="0" max="1603" min="1603" style="1" width="0.71"/>
    <col collapsed="false" customWidth="true" hidden="false" outlineLevel="0" max="1604" min="1604" style="1" width="4"/>
    <col collapsed="false" customWidth="false" hidden="false" outlineLevel="0" max="1605" min="1605" style="1" width="0.71"/>
    <col collapsed="false" customWidth="true" hidden="false" outlineLevel="0" max="1606" min="1606" style="1" width="1.57"/>
    <col collapsed="false" customWidth="false" hidden="false" outlineLevel="0" max="1607" min="1607" style="1" width="0.71"/>
    <col collapsed="false" customWidth="true" hidden="false" outlineLevel="0" max="1608" min="1608" style="1" width="7"/>
    <col collapsed="false" customWidth="false" hidden="false" outlineLevel="0" max="1611" min="1609" style="1" width="0.71"/>
    <col collapsed="false" customWidth="true" hidden="false" outlineLevel="0" max="1612" min="1612" style="1" width="2.42"/>
    <col collapsed="false" customWidth="false" hidden="false" outlineLevel="0" max="1618" min="1613" style="1" width="0.71"/>
    <col collapsed="false" customWidth="true" hidden="false" outlineLevel="0" max="1619" min="1619" style="1" width="16.57"/>
    <col collapsed="false" customWidth="false" hidden="false" outlineLevel="0" max="1622" min="1620" style="1" width="0.71"/>
    <col collapsed="false" customWidth="true" hidden="false" outlineLevel="0" max="1623" min="1623" style="1" width="9.86"/>
    <col collapsed="false" customWidth="true" hidden="false" outlineLevel="0" max="1626" min="1624" style="1" width="9.29"/>
    <col collapsed="false" customWidth="false" hidden="false" outlineLevel="0" max="1839" min="1627" style="1" width="0.71"/>
    <col collapsed="false" customWidth="true" hidden="false" outlineLevel="0" max="1840" min="1840" style="1" width="3.42"/>
    <col collapsed="false" customWidth="true" hidden="false" outlineLevel="0" max="1841" min="1841" style="1" width="2.42"/>
    <col collapsed="false" customWidth="true" hidden="false" outlineLevel="0" max="1842" min="1842" style="1" width="7"/>
    <col collapsed="false" customWidth="false" hidden="false" outlineLevel="0" max="1843" min="1843" style="1" width="0.71"/>
    <col collapsed="false" customWidth="true" hidden="false" outlineLevel="0" max="1844" min="1844" style="1" width="1.57"/>
    <col collapsed="false" customWidth="false" hidden="false" outlineLevel="0" max="1845" min="1845" style="1" width="0.71"/>
    <col collapsed="false" customWidth="true" hidden="false" outlineLevel="0" max="1846" min="1846" style="1" width="11.29"/>
    <col collapsed="false" customWidth="false" hidden="false" outlineLevel="0" max="1847" min="1847" style="1" width="0.71"/>
    <col collapsed="false" customWidth="true" hidden="false" outlineLevel="0" max="1848" min="1848" style="1" width="1.57"/>
    <col collapsed="false" customWidth="false" hidden="false" outlineLevel="0" max="1853" min="1849" style="1" width="0.71"/>
    <col collapsed="false" customWidth="true" hidden="false" outlineLevel="0" max="1854" min="1854" style="1" width="2.15"/>
    <col collapsed="false" customWidth="false" hidden="false" outlineLevel="0" max="1855" min="1855" style="1" width="0.71"/>
    <col collapsed="false" customWidth="true" hidden="false" outlineLevel="0" max="1856" min="1856" style="1" width="1.57"/>
    <col collapsed="false" customWidth="false" hidden="false" outlineLevel="0" max="1857" min="1857" style="1" width="0.71"/>
    <col collapsed="false" customWidth="true" hidden="false" outlineLevel="0" max="1858" min="1858" style="1" width="7"/>
    <col collapsed="false" customWidth="false" hidden="false" outlineLevel="0" max="1859" min="1859" style="1" width="0.71"/>
    <col collapsed="false" customWidth="true" hidden="false" outlineLevel="0" max="1860" min="1860" style="1" width="4"/>
    <col collapsed="false" customWidth="false" hidden="false" outlineLevel="0" max="1861" min="1861" style="1" width="0.71"/>
    <col collapsed="false" customWidth="true" hidden="false" outlineLevel="0" max="1862" min="1862" style="1" width="1.57"/>
    <col collapsed="false" customWidth="false" hidden="false" outlineLevel="0" max="1863" min="1863" style="1" width="0.71"/>
    <col collapsed="false" customWidth="true" hidden="false" outlineLevel="0" max="1864" min="1864" style="1" width="7"/>
    <col collapsed="false" customWidth="false" hidden="false" outlineLevel="0" max="1867" min="1865" style="1" width="0.71"/>
    <col collapsed="false" customWidth="true" hidden="false" outlineLevel="0" max="1868" min="1868" style="1" width="2.42"/>
    <col collapsed="false" customWidth="false" hidden="false" outlineLevel="0" max="1874" min="1869" style="1" width="0.71"/>
    <col collapsed="false" customWidth="true" hidden="false" outlineLevel="0" max="1875" min="1875" style="1" width="16.57"/>
    <col collapsed="false" customWidth="false" hidden="false" outlineLevel="0" max="1878" min="1876" style="1" width="0.71"/>
    <col collapsed="false" customWidth="true" hidden="false" outlineLevel="0" max="1879" min="1879" style="1" width="9.86"/>
    <col collapsed="false" customWidth="true" hidden="false" outlineLevel="0" max="1882" min="1880" style="1" width="9.29"/>
    <col collapsed="false" customWidth="false" hidden="false" outlineLevel="0" max="2095" min="1883" style="1" width="0.71"/>
    <col collapsed="false" customWidth="true" hidden="false" outlineLevel="0" max="2096" min="2096" style="1" width="3.42"/>
    <col collapsed="false" customWidth="true" hidden="false" outlineLevel="0" max="2097" min="2097" style="1" width="2.42"/>
    <col collapsed="false" customWidth="true" hidden="false" outlineLevel="0" max="2098" min="2098" style="1" width="7"/>
    <col collapsed="false" customWidth="false" hidden="false" outlineLevel="0" max="2099" min="2099" style="1" width="0.71"/>
    <col collapsed="false" customWidth="true" hidden="false" outlineLevel="0" max="2100" min="2100" style="1" width="1.57"/>
    <col collapsed="false" customWidth="false" hidden="false" outlineLevel="0" max="2101" min="2101" style="1" width="0.71"/>
    <col collapsed="false" customWidth="true" hidden="false" outlineLevel="0" max="2102" min="2102" style="1" width="11.29"/>
    <col collapsed="false" customWidth="false" hidden="false" outlineLevel="0" max="2103" min="2103" style="1" width="0.71"/>
    <col collapsed="false" customWidth="true" hidden="false" outlineLevel="0" max="2104" min="2104" style="1" width="1.57"/>
    <col collapsed="false" customWidth="false" hidden="false" outlineLevel="0" max="2109" min="2105" style="1" width="0.71"/>
    <col collapsed="false" customWidth="true" hidden="false" outlineLevel="0" max="2110" min="2110" style="1" width="2.15"/>
    <col collapsed="false" customWidth="false" hidden="false" outlineLevel="0" max="2111" min="2111" style="1" width="0.71"/>
    <col collapsed="false" customWidth="true" hidden="false" outlineLevel="0" max="2112" min="2112" style="1" width="1.57"/>
    <col collapsed="false" customWidth="false" hidden="false" outlineLevel="0" max="2113" min="2113" style="1" width="0.71"/>
    <col collapsed="false" customWidth="true" hidden="false" outlineLevel="0" max="2114" min="2114" style="1" width="7"/>
    <col collapsed="false" customWidth="false" hidden="false" outlineLevel="0" max="2115" min="2115" style="1" width="0.71"/>
    <col collapsed="false" customWidth="true" hidden="false" outlineLevel="0" max="2116" min="2116" style="1" width="4"/>
    <col collapsed="false" customWidth="false" hidden="false" outlineLevel="0" max="2117" min="2117" style="1" width="0.71"/>
    <col collapsed="false" customWidth="true" hidden="false" outlineLevel="0" max="2118" min="2118" style="1" width="1.57"/>
    <col collapsed="false" customWidth="false" hidden="false" outlineLevel="0" max="2119" min="2119" style="1" width="0.71"/>
    <col collapsed="false" customWidth="true" hidden="false" outlineLevel="0" max="2120" min="2120" style="1" width="7"/>
    <col collapsed="false" customWidth="false" hidden="false" outlineLevel="0" max="2123" min="2121" style="1" width="0.71"/>
    <col collapsed="false" customWidth="true" hidden="false" outlineLevel="0" max="2124" min="2124" style="1" width="2.42"/>
    <col collapsed="false" customWidth="false" hidden="false" outlineLevel="0" max="2130" min="2125" style="1" width="0.71"/>
    <col collapsed="false" customWidth="true" hidden="false" outlineLevel="0" max="2131" min="2131" style="1" width="16.57"/>
    <col collapsed="false" customWidth="false" hidden="false" outlineLevel="0" max="2134" min="2132" style="1" width="0.71"/>
    <col collapsed="false" customWidth="true" hidden="false" outlineLevel="0" max="2135" min="2135" style="1" width="9.86"/>
    <col collapsed="false" customWidth="true" hidden="false" outlineLevel="0" max="2138" min="2136" style="1" width="9.29"/>
    <col collapsed="false" customWidth="false" hidden="false" outlineLevel="0" max="2351" min="2139" style="1" width="0.71"/>
    <col collapsed="false" customWidth="true" hidden="false" outlineLevel="0" max="2352" min="2352" style="1" width="3.42"/>
    <col collapsed="false" customWidth="true" hidden="false" outlineLevel="0" max="2353" min="2353" style="1" width="2.42"/>
    <col collapsed="false" customWidth="true" hidden="false" outlineLevel="0" max="2354" min="2354" style="1" width="7"/>
    <col collapsed="false" customWidth="false" hidden="false" outlineLevel="0" max="2355" min="2355" style="1" width="0.71"/>
    <col collapsed="false" customWidth="true" hidden="false" outlineLevel="0" max="2356" min="2356" style="1" width="1.57"/>
    <col collapsed="false" customWidth="false" hidden="false" outlineLevel="0" max="2357" min="2357" style="1" width="0.71"/>
    <col collapsed="false" customWidth="true" hidden="false" outlineLevel="0" max="2358" min="2358" style="1" width="11.29"/>
    <col collapsed="false" customWidth="false" hidden="false" outlineLevel="0" max="2359" min="2359" style="1" width="0.71"/>
    <col collapsed="false" customWidth="true" hidden="false" outlineLevel="0" max="2360" min="2360" style="1" width="1.57"/>
    <col collapsed="false" customWidth="false" hidden="false" outlineLevel="0" max="2365" min="2361" style="1" width="0.71"/>
    <col collapsed="false" customWidth="true" hidden="false" outlineLevel="0" max="2366" min="2366" style="1" width="2.15"/>
    <col collapsed="false" customWidth="false" hidden="false" outlineLevel="0" max="2367" min="2367" style="1" width="0.71"/>
    <col collapsed="false" customWidth="true" hidden="false" outlineLevel="0" max="2368" min="2368" style="1" width="1.57"/>
    <col collapsed="false" customWidth="false" hidden="false" outlineLevel="0" max="2369" min="2369" style="1" width="0.71"/>
    <col collapsed="false" customWidth="true" hidden="false" outlineLevel="0" max="2370" min="2370" style="1" width="7"/>
    <col collapsed="false" customWidth="false" hidden="false" outlineLevel="0" max="2371" min="2371" style="1" width="0.71"/>
    <col collapsed="false" customWidth="true" hidden="false" outlineLevel="0" max="2372" min="2372" style="1" width="4"/>
    <col collapsed="false" customWidth="false" hidden="false" outlineLevel="0" max="2373" min="2373" style="1" width="0.71"/>
    <col collapsed="false" customWidth="true" hidden="false" outlineLevel="0" max="2374" min="2374" style="1" width="1.57"/>
    <col collapsed="false" customWidth="false" hidden="false" outlineLevel="0" max="2375" min="2375" style="1" width="0.71"/>
    <col collapsed="false" customWidth="true" hidden="false" outlineLevel="0" max="2376" min="2376" style="1" width="7"/>
    <col collapsed="false" customWidth="false" hidden="false" outlineLevel="0" max="2379" min="2377" style="1" width="0.71"/>
    <col collapsed="false" customWidth="true" hidden="false" outlineLevel="0" max="2380" min="2380" style="1" width="2.42"/>
    <col collapsed="false" customWidth="false" hidden="false" outlineLevel="0" max="2386" min="2381" style="1" width="0.71"/>
    <col collapsed="false" customWidth="true" hidden="false" outlineLevel="0" max="2387" min="2387" style="1" width="16.57"/>
    <col collapsed="false" customWidth="false" hidden="false" outlineLevel="0" max="2390" min="2388" style="1" width="0.71"/>
    <col collapsed="false" customWidth="true" hidden="false" outlineLevel="0" max="2391" min="2391" style="1" width="9.86"/>
    <col collapsed="false" customWidth="true" hidden="false" outlineLevel="0" max="2394" min="2392" style="1" width="9.29"/>
    <col collapsed="false" customWidth="false" hidden="false" outlineLevel="0" max="2607" min="2395" style="1" width="0.71"/>
    <col collapsed="false" customWidth="true" hidden="false" outlineLevel="0" max="2608" min="2608" style="1" width="3.42"/>
    <col collapsed="false" customWidth="true" hidden="false" outlineLevel="0" max="2609" min="2609" style="1" width="2.42"/>
    <col collapsed="false" customWidth="true" hidden="false" outlineLevel="0" max="2610" min="2610" style="1" width="7"/>
    <col collapsed="false" customWidth="false" hidden="false" outlineLevel="0" max="2611" min="2611" style="1" width="0.71"/>
    <col collapsed="false" customWidth="true" hidden="false" outlineLevel="0" max="2612" min="2612" style="1" width="1.57"/>
    <col collapsed="false" customWidth="false" hidden="false" outlineLevel="0" max="2613" min="2613" style="1" width="0.71"/>
    <col collapsed="false" customWidth="true" hidden="false" outlineLevel="0" max="2614" min="2614" style="1" width="11.29"/>
    <col collapsed="false" customWidth="false" hidden="false" outlineLevel="0" max="2615" min="2615" style="1" width="0.71"/>
    <col collapsed="false" customWidth="true" hidden="false" outlineLevel="0" max="2616" min="2616" style="1" width="1.57"/>
    <col collapsed="false" customWidth="false" hidden="false" outlineLevel="0" max="2621" min="2617" style="1" width="0.71"/>
    <col collapsed="false" customWidth="true" hidden="false" outlineLevel="0" max="2622" min="2622" style="1" width="2.15"/>
    <col collapsed="false" customWidth="false" hidden="false" outlineLevel="0" max="2623" min="2623" style="1" width="0.71"/>
    <col collapsed="false" customWidth="true" hidden="false" outlineLevel="0" max="2624" min="2624" style="1" width="1.57"/>
    <col collapsed="false" customWidth="false" hidden="false" outlineLevel="0" max="2625" min="2625" style="1" width="0.71"/>
    <col collapsed="false" customWidth="true" hidden="false" outlineLevel="0" max="2626" min="2626" style="1" width="7"/>
    <col collapsed="false" customWidth="false" hidden="false" outlineLevel="0" max="2627" min="2627" style="1" width="0.71"/>
    <col collapsed="false" customWidth="true" hidden="false" outlineLevel="0" max="2628" min="2628" style="1" width="4"/>
    <col collapsed="false" customWidth="false" hidden="false" outlineLevel="0" max="2629" min="2629" style="1" width="0.71"/>
    <col collapsed="false" customWidth="true" hidden="false" outlineLevel="0" max="2630" min="2630" style="1" width="1.57"/>
    <col collapsed="false" customWidth="false" hidden="false" outlineLevel="0" max="2631" min="2631" style="1" width="0.71"/>
    <col collapsed="false" customWidth="true" hidden="false" outlineLevel="0" max="2632" min="2632" style="1" width="7"/>
    <col collapsed="false" customWidth="false" hidden="false" outlineLevel="0" max="2635" min="2633" style="1" width="0.71"/>
    <col collapsed="false" customWidth="true" hidden="false" outlineLevel="0" max="2636" min="2636" style="1" width="2.42"/>
    <col collapsed="false" customWidth="false" hidden="false" outlineLevel="0" max="2642" min="2637" style="1" width="0.71"/>
    <col collapsed="false" customWidth="true" hidden="false" outlineLevel="0" max="2643" min="2643" style="1" width="16.57"/>
    <col collapsed="false" customWidth="false" hidden="false" outlineLevel="0" max="2646" min="2644" style="1" width="0.71"/>
    <col collapsed="false" customWidth="true" hidden="false" outlineLevel="0" max="2647" min="2647" style="1" width="9.86"/>
    <col collapsed="false" customWidth="true" hidden="false" outlineLevel="0" max="2650" min="2648" style="1" width="9.29"/>
    <col collapsed="false" customWidth="false" hidden="false" outlineLevel="0" max="2863" min="2651" style="1" width="0.71"/>
    <col collapsed="false" customWidth="true" hidden="false" outlineLevel="0" max="2864" min="2864" style="1" width="3.42"/>
    <col collapsed="false" customWidth="true" hidden="false" outlineLevel="0" max="2865" min="2865" style="1" width="2.42"/>
    <col collapsed="false" customWidth="true" hidden="false" outlineLevel="0" max="2866" min="2866" style="1" width="7"/>
    <col collapsed="false" customWidth="false" hidden="false" outlineLevel="0" max="2867" min="2867" style="1" width="0.71"/>
    <col collapsed="false" customWidth="true" hidden="false" outlineLevel="0" max="2868" min="2868" style="1" width="1.57"/>
    <col collapsed="false" customWidth="false" hidden="false" outlineLevel="0" max="2869" min="2869" style="1" width="0.71"/>
    <col collapsed="false" customWidth="true" hidden="false" outlineLevel="0" max="2870" min="2870" style="1" width="11.29"/>
    <col collapsed="false" customWidth="false" hidden="false" outlineLevel="0" max="2871" min="2871" style="1" width="0.71"/>
    <col collapsed="false" customWidth="true" hidden="false" outlineLevel="0" max="2872" min="2872" style="1" width="1.57"/>
    <col collapsed="false" customWidth="false" hidden="false" outlineLevel="0" max="2877" min="2873" style="1" width="0.71"/>
    <col collapsed="false" customWidth="true" hidden="false" outlineLevel="0" max="2878" min="2878" style="1" width="2.15"/>
    <col collapsed="false" customWidth="false" hidden="false" outlineLevel="0" max="2879" min="2879" style="1" width="0.71"/>
    <col collapsed="false" customWidth="true" hidden="false" outlineLevel="0" max="2880" min="2880" style="1" width="1.57"/>
    <col collapsed="false" customWidth="false" hidden="false" outlineLevel="0" max="2881" min="2881" style="1" width="0.71"/>
    <col collapsed="false" customWidth="true" hidden="false" outlineLevel="0" max="2882" min="2882" style="1" width="7"/>
    <col collapsed="false" customWidth="false" hidden="false" outlineLevel="0" max="2883" min="2883" style="1" width="0.71"/>
    <col collapsed="false" customWidth="true" hidden="false" outlineLevel="0" max="2884" min="2884" style="1" width="4"/>
    <col collapsed="false" customWidth="false" hidden="false" outlineLevel="0" max="2885" min="2885" style="1" width="0.71"/>
    <col collapsed="false" customWidth="true" hidden="false" outlineLevel="0" max="2886" min="2886" style="1" width="1.57"/>
    <col collapsed="false" customWidth="false" hidden="false" outlineLevel="0" max="2887" min="2887" style="1" width="0.71"/>
    <col collapsed="false" customWidth="true" hidden="false" outlineLevel="0" max="2888" min="2888" style="1" width="7"/>
    <col collapsed="false" customWidth="false" hidden="false" outlineLevel="0" max="2891" min="2889" style="1" width="0.71"/>
    <col collapsed="false" customWidth="true" hidden="false" outlineLevel="0" max="2892" min="2892" style="1" width="2.42"/>
    <col collapsed="false" customWidth="false" hidden="false" outlineLevel="0" max="2898" min="2893" style="1" width="0.71"/>
    <col collapsed="false" customWidth="true" hidden="false" outlineLevel="0" max="2899" min="2899" style="1" width="16.57"/>
    <col collapsed="false" customWidth="false" hidden="false" outlineLevel="0" max="2902" min="2900" style="1" width="0.71"/>
    <col collapsed="false" customWidth="true" hidden="false" outlineLevel="0" max="2903" min="2903" style="1" width="9.86"/>
    <col collapsed="false" customWidth="true" hidden="false" outlineLevel="0" max="2906" min="2904" style="1" width="9.29"/>
    <col collapsed="false" customWidth="false" hidden="false" outlineLevel="0" max="3119" min="2907" style="1" width="0.71"/>
    <col collapsed="false" customWidth="true" hidden="false" outlineLevel="0" max="3120" min="3120" style="1" width="3.42"/>
    <col collapsed="false" customWidth="true" hidden="false" outlineLevel="0" max="3121" min="3121" style="1" width="2.42"/>
    <col collapsed="false" customWidth="true" hidden="false" outlineLevel="0" max="3122" min="3122" style="1" width="7"/>
    <col collapsed="false" customWidth="false" hidden="false" outlineLevel="0" max="3123" min="3123" style="1" width="0.71"/>
    <col collapsed="false" customWidth="true" hidden="false" outlineLevel="0" max="3124" min="3124" style="1" width="1.57"/>
    <col collapsed="false" customWidth="false" hidden="false" outlineLevel="0" max="3125" min="3125" style="1" width="0.71"/>
    <col collapsed="false" customWidth="true" hidden="false" outlineLevel="0" max="3126" min="3126" style="1" width="11.29"/>
    <col collapsed="false" customWidth="false" hidden="false" outlineLevel="0" max="3127" min="3127" style="1" width="0.71"/>
    <col collapsed="false" customWidth="true" hidden="false" outlineLevel="0" max="3128" min="3128" style="1" width="1.57"/>
    <col collapsed="false" customWidth="false" hidden="false" outlineLevel="0" max="3133" min="3129" style="1" width="0.71"/>
    <col collapsed="false" customWidth="true" hidden="false" outlineLevel="0" max="3134" min="3134" style="1" width="2.15"/>
    <col collapsed="false" customWidth="false" hidden="false" outlineLevel="0" max="3135" min="3135" style="1" width="0.71"/>
    <col collapsed="false" customWidth="true" hidden="false" outlineLevel="0" max="3136" min="3136" style="1" width="1.57"/>
    <col collapsed="false" customWidth="false" hidden="false" outlineLevel="0" max="3137" min="3137" style="1" width="0.71"/>
    <col collapsed="false" customWidth="true" hidden="false" outlineLevel="0" max="3138" min="3138" style="1" width="7"/>
    <col collapsed="false" customWidth="false" hidden="false" outlineLevel="0" max="3139" min="3139" style="1" width="0.71"/>
    <col collapsed="false" customWidth="true" hidden="false" outlineLevel="0" max="3140" min="3140" style="1" width="4"/>
    <col collapsed="false" customWidth="false" hidden="false" outlineLevel="0" max="3141" min="3141" style="1" width="0.71"/>
    <col collapsed="false" customWidth="true" hidden="false" outlineLevel="0" max="3142" min="3142" style="1" width="1.57"/>
    <col collapsed="false" customWidth="false" hidden="false" outlineLevel="0" max="3143" min="3143" style="1" width="0.71"/>
    <col collapsed="false" customWidth="true" hidden="false" outlineLevel="0" max="3144" min="3144" style="1" width="7"/>
    <col collapsed="false" customWidth="false" hidden="false" outlineLevel="0" max="3147" min="3145" style="1" width="0.71"/>
    <col collapsed="false" customWidth="true" hidden="false" outlineLevel="0" max="3148" min="3148" style="1" width="2.42"/>
    <col collapsed="false" customWidth="false" hidden="false" outlineLevel="0" max="3154" min="3149" style="1" width="0.71"/>
    <col collapsed="false" customWidth="true" hidden="false" outlineLevel="0" max="3155" min="3155" style="1" width="16.57"/>
    <col collapsed="false" customWidth="false" hidden="false" outlineLevel="0" max="3158" min="3156" style="1" width="0.71"/>
    <col collapsed="false" customWidth="true" hidden="false" outlineLevel="0" max="3159" min="3159" style="1" width="9.86"/>
    <col collapsed="false" customWidth="true" hidden="false" outlineLevel="0" max="3162" min="3160" style="1" width="9.29"/>
    <col collapsed="false" customWidth="false" hidden="false" outlineLevel="0" max="3375" min="3163" style="1" width="0.71"/>
    <col collapsed="false" customWidth="true" hidden="false" outlineLevel="0" max="3376" min="3376" style="1" width="3.42"/>
    <col collapsed="false" customWidth="true" hidden="false" outlineLevel="0" max="3377" min="3377" style="1" width="2.42"/>
    <col collapsed="false" customWidth="true" hidden="false" outlineLevel="0" max="3378" min="3378" style="1" width="7"/>
    <col collapsed="false" customWidth="false" hidden="false" outlineLevel="0" max="3379" min="3379" style="1" width="0.71"/>
    <col collapsed="false" customWidth="true" hidden="false" outlineLevel="0" max="3380" min="3380" style="1" width="1.57"/>
    <col collapsed="false" customWidth="false" hidden="false" outlineLevel="0" max="3381" min="3381" style="1" width="0.71"/>
    <col collapsed="false" customWidth="true" hidden="false" outlineLevel="0" max="3382" min="3382" style="1" width="11.29"/>
    <col collapsed="false" customWidth="false" hidden="false" outlineLevel="0" max="3383" min="3383" style="1" width="0.71"/>
    <col collapsed="false" customWidth="true" hidden="false" outlineLevel="0" max="3384" min="3384" style="1" width="1.57"/>
    <col collapsed="false" customWidth="false" hidden="false" outlineLevel="0" max="3389" min="3385" style="1" width="0.71"/>
    <col collapsed="false" customWidth="true" hidden="false" outlineLevel="0" max="3390" min="3390" style="1" width="2.15"/>
    <col collapsed="false" customWidth="false" hidden="false" outlineLevel="0" max="3391" min="3391" style="1" width="0.71"/>
    <col collapsed="false" customWidth="true" hidden="false" outlineLevel="0" max="3392" min="3392" style="1" width="1.57"/>
    <col collapsed="false" customWidth="false" hidden="false" outlineLevel="0" max="3393" min="3393" style="1" width="0.71"/>
    <col collapsed="false" customWidth="true" hidden="false" outlineLevel="0" max="3394" min="3394" style="1" width="7"/>
    <col collapsed="false" customWidth="false" hidden="false" outlineLevel="0" max="3395" min="3395" style="1" width="0.71"/>
    <col collapsed="false" customWidth="true" hidden="false" outlineLevel="0" max="3396" min="3396" style="1" width="4"/>
    <col collapsed="false" customWidth="false" hidden="false" outlineLevel="0" max="3397" min="3397" style="1" width="0.71"/>
    <col collapsed="false" customWidth="true" hidden="false" outlineLevel="0" max="3398" min="3398" style="1" width="1.57"/>
    <col collapsed="false" customWidth="false" hidden="false" outlineLevel="0" max="3399" min="3399" style="1" width="0.71"/>
    <col collapsed="false" customWidth="true" hidden="false" outlineLevel="0" max="3400" min="3400" style="1" width="7"/>
    <col collapsed="false" customWidth="false" hidden="false" outlineLevel="0" max="3403" min="3401" style="1" width="0.71"/>
    <col collapsed="false" customWidth="true" hidden="false" outlineLevel="0" max="3404" min="3404" style="1" width="2.42"/>
    <col collapsed="false" customWidth="false" hidden="false" outlineLevel="0" max="3410" min="3405" style="1" width="0.71"/>
    <col collapsed="false" customWidth="true" hidden="false" outlineLevel="0" max="3411" min="3411" style="1" width="16.57"/>
    <col collapsed="false" customWidth="false" hidden="false" outlineLevel="0" max="3414" min="3412" style="1" width="0.71"/>
    <col collapsed="false" customWidth="true" hidden="false" outlineLevel="0" max="3415" min="3415" style="1" width="9.86"/>
    <col collapsed="false" customWidth="true" hidden="false" outlineLevel="0" max="3418" min="3416" style="1" width="9.29"/>
    <col collapsed="false" customWidth="false" hidden="false" outlineLevel="0" max="3631" min="3419" style="1" width="0.71"/>
    <col collapsed="false" customWidth="true" hidden="false" outlineLevel="0" max="3632" min="3632" style="1" width="3.42"/>
    <col collapsed="false" customWidth="true" hidden="false" outlineLevel="0" max="3633" min="3633" style="1" width="2.42"/>
    <col collapsed="false" customWidth="true" hidden="false" outlineLevel="0" max="3634" min="3634" style="1" width="7"/>
    <col collapsed="false" customWidth="false" hidden="false" outlineLevel="0" max="3635" min="3635" style="1" width="0.71"/>
    <col collapsed="false" customWidth="true" hidden="false" outlineLevel="0" max="3636" min="3636" style="1" width="1.57"/>
    <col collapsed="false" customWidth="false" hidden="false" outlineLevel="0" max="3637" min="3637" style="1" width="0.71"/>
    <col collapsed="false" customWidth="true" hidden="false" outlineLevel="0" max="3638" min="3638" style="1" width="11.29"/>
    <col collapsed="false" customWidth="false" hidden="false" outlineLevel="0" max="3639" min="3639" style="1" width="0.71"/>
    <col collapsed="false" customWidth="true" hidden="false" outlineLevel="0" max="3640" min="3640" style="1" width="1.57"/>
    <col collapsed="false" customWidth="false" hidden="false" outlineLevel="0" max="3645" min="3641" style="1" width="0.71"/>
    <col collapsed="false" customWidth="true" hidden="false" outlineLevel="0" max="3646" min="3646" style="1" width="2.15"/>
    <col collapsed="false" customWidth="false" hidden="false" outlineLevel="0" max="3647" min="3647" style="1" width="0.71"/>
    <col collapsed="false" customWidth="true" hidden="false" outlineLevel="0" max="3648" min="3648" style="1" width="1.57"/>
    <col collapsed="false" customWidth="false" hidden="false" outlineLevel="0" max="3649" min="3649" style="1" width="0.71"/>
    <col collapsed="false" customWidth="true" hidden="false" outlineLevel="0" max="3650" min="3650" style="1" width="7"/>
    <col collapsed="false" customWidth="false" hidden="false" outlineLevel="0" max="3651" min="3651" style="1" width="0.71"/>
    <col collapsed="false" customWidth="true" hidden="false" outlineLevel="0" max="3652" min="3652" style="1" width="4"/>
    <col collapsed="false" customWidth="false" hidden="false" outlineLevel="0" max="3653" min="3653" style="1" width="0.71"/>
    <col collapsed="false" customWidth="true" hidden="false" outlineLevel="0" max="3654" min="3654" style="1" width="1.57"/>
    <col collapsed="false" customWidth="false" hidden="false" outlineLevel="0" max="3655" min="3655" style="1" width="0.71"/>
    <col collapsed="false" customWidth="true" hidden="false" outlineLevel="0" max="3656" min="3656" style="1" width="7"/>
    <col collapsed="false" customWidth="false" hidden="false" outlineLevel="0" max="3659" min="3657" style="1" width="0.71"/>
    <col collapsed="false" customWidth="true" hidden="false" outlineLevel="0" max="3660" min="3660" style="1" width="2.42"/>
    <col collapsed="false" customWidth="false" hidden="false" outlineLevel="0" max="3666" min="3661" style="1" width="0.71"/>
    <col collapsed="false" customWidth="true" hidden="false" outlineLevel="0" max="3667" min="3667" style="1" width="16.57"/>
    <col collapsed="false" customWidth="false" hidden="false" outlineLevel="0" max="3670" min="3668" style="1" width="0.71"/>
    <col collapsed="false" customWidth="true" hidden="false" outlineLevel="0" max="3671" min="3671" style="1" width="9.86"/>
    <col collapsed="false" customWidth="true" hidden="false" outlineLevel="0" max="3674" min="3672" style="1" width="9.29"/>
    <col collapsed="false" customWidth="false" hidden="false" outlineLevel="0" max="3887" min="3675" style="1" width="0.71"/>
    <col collapsed="false" customWidth="true" hidden="false" outlineLevel="0" max="3888" min="3888" style="1" width="3.42"/>
    <col collapsed="false" customWidth="true" hidden="false" outlineLevel="0" max="3889" min="3889" style="1" width="2.42"/>
    <col collapsed="false" customWidth="true" hidden="false" outlineLevel="0" max="3890" min="3890" style="1" width="7"/>
    <col collapsed="false" customWidth="false" hidden="false" outlineLevel="0" max="3891" min="3891" style="1" width="0.71"/>
    <col collapsed="false" customWidth="true" hidden="false" outlineLevel="0" max="3892" min="3892" style="1" width="1.57"/>
    <col collapsed="false" customWidth="false" hidden="false" outlineLevel="0" max="3893" min="3893" style="1" width="0.71"/>
    <col collapsed="false" customWidth="true" hidden="false" outlineLevel="0" max="3894" min="3894" style="1" width="11.29"/>
    <col collapsed="false" customWidth="false" hidden="false" outlineLevel="0" max="3895" min="3895" style="1" width="0.71"/>
    <col collapsed="false" customWidth="true" hidden="false" outlineLevel="0" max="3896" min="3896" style="1" width="1.57"/>
    <col collapsed="false" customWidth="false" hidden="false" outlineLevel="0" max="3901" min="3897" style="1" width="0.71"/>
    <col collapsed="false" customWidth="true" hidden="false" outlineLevel="0" max="3902" min="3902" style="1" width="2.15"/>
    <col collapsed="false" customWidth="false" hidden="false" outlineLevel="0" max="3903" min="3903" style="1" width="0.71"/>
    <col collapsed="false" customWidth="true" hidden="false" outlineLevel="0" max="3904" min="3904" style="1" width="1.57"/>
    <col collapsed="false" customWidth="false" hidden="false" outlineLevel="0" max="3905" min="3905" style="1" width="0.71"/>
    <col collapsed="false" customWidth="true" hidden="false" outlineLevel="0" max="3906" min="3906" style="1" width="7"/>
    <col collapsed="false" customWidth="false" hidden="false" outlineLevel="0" max="3907" min="3907" style="1" width="0.71"/>
    <col collapsed="false" customWidth="true" hidden="false" outlineLevel="0" max="3908" min="3908" style="1" width="4"/>
    <col collapsed="false" customWidth="false" hidden="false" outlineLevel="0" max="3909" min="3909" style="1" width="0.71"/>
    <col collapsed="false" customWidth="true" hidden="false" outlineLevel="0" max="3910" min="3910" style="1" width="1.57"/>
    <col collapsed="false" customWidth="false" hidden="false" outlineLevel="0" max="3911" min="3911" style="1" width="0.71"/>
    <col collapsed="false" customWidth="true" hidden="false" outlineLevel="0" max="3912" min="3912" style="1" width="7"/>
    <col collapsed="false" customWidth="false" hidden="false" outlineLevel="0" max="3915" min="3913" style="1" width="0.71"/>
    <col collapsed="false" customWidth="true" hidden="false" outlineLevel="0" max="3916" min="3916" style="1" width="2.42"/>
    <col collapsed="false" customWidth="false" hidden="false" outlineLevel="0" max="3922" min="3917" style="1" width="0.71"/>
    <col collapsed="false" customWidth="true" hidden="false" outlineLevel="0" max="3923" min="3923" style="1" width="16.57"/>
    <col collapsed="false" customWidth="false" hidden="false" outlineLevel="0" max="3926" min="3924" style="1" width="0.71"/>
    <col collapsed="false" customWidth="true" hidden="false" outlineLevel="0" max="3927" min="3927" style="1" width="9.86"/>
    <col collapsed="false" customWidth="true" hidden="false" outlineLevel="0" max="3930" min="3928" style="1" width="9.29"/>
    <col collapsed="false" customWidth="false" hidden="false" outlineLevel="0" max="4143" min="3931" style="1" width="0.71"/>
    <col collapsed="false" customWidth="true" hidden="false" outlineLevel="0" max="4144" min="4144" style="1" width="3.42"/>
    <col collapsed="false" customWidth="true" hidden="false" outlineLevel="0" max="4145" min="4145" style="1" width="2.42"/>
    <col collapsed="false" customWidth="true" hidden="false" outlineLevel="0" max="4146" min="4146" style="1" width="7"/>
    <col collapsed="false" customWidth="false" hidden="false" outlineLevel="0" max="4147" min="4147" style="1" width="0.71"/>
    <col collapsed="false" customWidth="true" hidden="false" outlineLevel="0" max="4148" min="4148" style="1" width="1.57"/>
    <col collapsed="false" customWidth="false" hidden="false" outlineLevel="0" max="4149" min="4149" style="1" width="0.71"/>
    <col collapsed="false" customWidth="true" hidden="false" outlineLevel="0" max="4150" min="4150" style="1" width="11.29"/>
    <col collapsed="false" customWidth="false" hidden="false" outlineLevel="0" max="4151" min="4151" style="1" width="0.71"/>
    <col collapsed="false" customWidth="true" hidden="false" outlineLevel="0" max="4152" min="4152" style="1" width="1.57"/>
    <col collapsed="false" customWidth="false" hidden="false" outlineLevel="0" max="4157" min="4153" style="1" width="0.71"/>
    <col collapsed="false" customWidth="true" hidden="false" outlineLevel="0" max="4158" min="4158" style="1" width="2.15"/>
    <col collapsed="false" customWidth="false" hidden="false" outlineLevel="0" max="4159" min="4159" style="1" width="0.71"/>
    <col collapsed="false" customWidth="true" hidden="false" outlineLevel="0" max="4160" min="4160" style="1" width="1.57"/>
    <col collapsed="false" customWidth="false" hidden="false" outlineLevel="0" max="4161" min="4161" style="1" width="0.71"/>
    <col collapsed="false" customWidth="true" hidden="false" outlineLevel="0" max="4162" min="4162" style="1" width="7"/>
    <col collapsed="false" customWidth="false" hidden="false" outlineLevel="0" max="4163" min="4163" style="1" width="0.71"/>
    <col collapsed="false" customWidth="true" hidden="false" outlineLevel="0" max="4164" min="4164" style="1" width="4"/>
    <col collapsed="false" customWidth="false" hidden="false" outlineLevel="0" max="4165" min="4165" style="1" width="0.71"/>
    <col collapsed="false" customWidth="true" hidden="false" outlineLevel="0" max="4166" min="4166" style="1" width="1.57"/>
    <col collapsed="false" customWidth="false" hidden="false" outlineLevel="0" max="4167" min="4167" style="1" width="0.71"/>
    <col collapsed="false" customWidth="true" hidden="false" outlineLevel="0" max="4168" min="4168" style="1" width="7"/>
    <col collapsed="false" customWidth="false" hidden="false" outlineLevel="0" max="4171" min="4169" style="1" width="0.71"/>
    <col collapsed="false" customWidth="true" hidden="false" outlineLevel="0" max="4172" min="4172" style="1" width="2.42"/>
    <col collapsed="false" customWidth="false" hidden="false" outlineLevel="0" max="4178" min="4173" style="1" width="0.71"/>
    <col collapsed="false" customWidth="true" hidden="false" outlineLevel="0" max="4179" min="4179" style="1" width="16.57"/>
    <col collapsed="false" customWidth="false" hidden="false" outlineLevel="0" max="4182" min="4180" style="1" width="0.71"/>
    <col collapsed="false" customWidth="true" hidden="false" outlineLevel="0" max="4183" min="4183" style="1" width="9.86"/>
    <col collapsed="false" customWidth="true" hidden="false" outlineLevel="0" max="4186" min="4184" style="1" width="9.29"/>
    <col collapsed="false" customWidth="false" hidden="false" outlineLevel="0" max="4399" min="4187" style="1" width="0.71"/>
    <col collapsed="false" customWidth="true" hidden="false" outlineLevel="0" max="4400" min="4400" style="1" width="3.42"/>
    <col collapsed="false" customWidth="true" hidden="false" outlineLevel="0" max="4401" min="4401" style="1" width="2.42"/>
    <col collapsed="false" customWidth="true" hidden="false" outlineLevel="0" max="4402" min="4402" style="1" width="7"/>
    <col collapsed="false" customWidth="false" hidden="false" outlineLevel="0" max="4403" min="4403" style="1" width="0.71"/>
    <col collapsed="false" customWidth="true" hidden="false" outlineLevel="0" max="4404" min="4404" style="1" width="1.57"/>
    <col collapsed="false" customWidth="false" hidden="false" outlineLevel="0" max="4405" min="4405" style="1" width="0.71"/>
    <col collapsed="false" customWidth="true" hidden="false" outlineLevel="0" max="4406" min="4406" style="1" width="11.29"/>
    <col collapsed="false" customWidth="false" hidden="false" outlineLevel="0" max="4407" min="4407" style="1" width="0.71"/>
    <col collapsed="false" customWidth="true" hidden="false" outlineLevel="0" max="4408" min="4408" style="1" width="1.57"/>
    <col collapsed="false" customWidth="false" hidden="false" outlineLevel="0" max="4413" min="4409" style="1" width="0.71"/>
    <col collapsed="false" customWidth="true" hidden="false" outlineLevel="0" max="4414" min="4414" style="1" width="2.15"/>
    <col collapsed="false" customWidth="false" hidden="false" outlineLevel="0" max="4415" min="4415" style="1" width="0.71"/>
    <col collapsed="false" customWidth="true" hidden="false" outlineLevel="0" max="4416" min="4416" style="1" width="1.57"/>
    <col collapsed="false" customWidth="false" hidden="false" outlineLevel="0" max="4417" min="4417" style="1" width="0.71"/>
    <col collapsed="false" customWidth="true" hidden="false" outlineLevel="0" max="4418" min="4418" style="1" width="7"/>
    <col collapsed="false" customWidth="false" hidden="false" outlineLevel="0" max="4419" min="4419" style="1" width="0.71"/>
    <col collapsed="false" customWidth="true" hidden="false" outlineLevel="0" max="4420" min="4420" style="1" width="4"/>
    <col collapsed="false" customWidth="false" hidden="false" outlineLevel="0" max="4421" min="4421" style="1" width="0.71"/>
    <col collapsed="false" customWidth="true" hidden="false" outlineLevel="0" max="4422" min="4422" style="1" width="1.57"/>
    <col collapsed="false" customWidth="false" hidden="false" outlineLevel="0" max="4423" min="4423" style="1" width="0.71"/>
    <col collapsed="false" customWidth="true" hidden="false" outlineLevel="0" max="4424" min="4424" style="1" width="7"/>
    <col collapsed="false" customWidth="false" hidden="false" outlineLevel="0" max="4427" min="4425" style="1" width="0.71"/>
    <col collapsed="false" customWidth="true" hidden="false" outlineLevel="0" max="4428" min="4428" style="1" width="2.42"/>
    <col collapsed="false" customWidth="false" hidden="false" outlineLevel="0" max="4434" min="4429" style="1" width="0.71"/>
    <col collapsed="false" customWidth="true" hidden="false" outlineLevel="0" max="4435" min="4435" style="1" width="16.57"/>
    <col collapsed="false" customWidth="false" hidden="false" outlineLevel="0" max="4438" min="4436" style="1" width="0.71"/>
    <col collapsed="false" customWidth="true" hidden="false" outlineLevel="0" max="4439" min="4439" style="1" width="9.86"/>
    <col collapsed="false" customWidth="true" hidden="false" outlineLevel="0" max="4442" min="4440" style="1" width="9.29"/>
    <col collapsed="false" customWidth="false" hidden="false" outlineLevel="0" max="4655" min="4443" style="1" width="0.71"/>
    <col collapsed="false" customWidth="true" hidden="false" outlineLevel="0" max="4656" min="4656" style="1" width="3.42"/>
    <col collapsed="false" customWidth="true" hidden="false" outlineLevel="0" max="4657" min="4657" style="1" width="2.42"/>
    <col collapsed="false" customWidth="true" hidden="false" outlineLevel="0" max="4658" min="4658" style="1" width="7"/>
    <col collapsed="false" customWidth="false" hidden="false" outlineLevel="0" max="4659" min="4659" style="1" width="0.71"/>
    <col collapsed="false" customWidth="true" hidden="false" outlineLevel="0" max="4660" min="4660" style="1" width="1.57"/>
    <col collapsed="false" customWidth="false" hidden="false" outlineLevel="0" max="4661" min="4661" style="1" width="0.71"/>
    <col collapsed="false" customWidth="true" hidden="false" outlineLevel="0" max="4662" min="4662" style="1" width="11.29"/>
    <col collapsed="false" customWidth="false" hidden="false" outlineLevel="0" max="4663" min="4663" style="1" width="0.71"/>
    <col collapsed="false" customWidth="true" hidden="false" outlineLevel="0" max="4664" min="4664" style="1" width="1.57"/>
    <col collapsed="false" customWidth="false" hidden="false" outlineLevel="0" max="4669" min="4665" style="1" width="0.71"/>
    <col collapsed="false" customWidth="true" hidden="false" outlineLevel="0" max="4670" min="4670" style="1" width="2.15"/>
    <col collapsed="false" customWidth="false" hidden="false" outlineLevel="0" max="4671" min="4671" style="1" width="0.71"/>
    <col collapsed="false" customWidth="true" hidden="false" outlineLevel="0" max="4672" min="4672" style="1" width="1.57"/>
    <col collapsed="false" customWidth="false" hidden="false" outlineLevel="0" max="4673" min="4673" style="1" width="0.71"/>
    <col collapsed="false" customWidth="true" hidden="false" outlineLevel="0" max="4674" min="4674" style="1" width="7"/>
    <col collapsed="false" customWidth="false" hidden="false" outlineLevel="0" max="4675" min="4675" style="1" width="0.71"/>
    <col collapsed="false" customWidth="true" hidden="false" outlineLevel="0" max="4676" min="4676" style="1" width="4"/>
    <col collapsed="false" customWidth="false" hidden="false" outlineLevel="0" max="4677" min="4677" style="1" width="0.71"/>
    <col collapsed="false" customWidth="true" hidden="false" outlineLevel="0" max="4678" min="4678" style="1" width="1.57"/>
    <col collapsed="false" customWidth="false" hidden="false" outlineLevel="0" max="4679" min="4679" style="1" width="0.71"/>
    <col collapsed="false" customWidth="true" hidden="false" outlineLevel="0" max="4680" min="4680" style="1" width="7"/>
    <col collapsed="false" customWidth="false" hidden="false" outlineLevel="0" max="4683" min="4681" style="1" width="0.71"/>
    <col collapsed="false" customWidth="true" hidden="false" outlineLevel="0" max="4684" min="4684" style="1" width="2.42"/>
    <col collapsed="false" customWidth="false" hidden="false" outlineLevel="0" max="4690" min="4685" style="1" width="0.71"/>
    <col collapsed="false" customWidth="true" hidden="false" outlineLevel="0" max="4691" min="4691" style="1" width="16.57"/>
    <col collapsed="false" customWidth="false" hidden="false" outlineLevel="0" max="4694" min="4692" style="1" width="0.71"/>
    <col collapsed="false" customWidth="true" hidden="false" outlineLevel="0" max="4695" min="4695" style="1" width="9.86"/>
    <col collapsed="false" customWidth="true" hidden="false" outlineLevel="0" max="4698" min="4696" style="1" width="9.29"/>
    <col collapsed="false" customWidth="false" hidden="false" outlineLevel="0" max="4911" min="4699" style="1" width="0.71"/>
    <col collapsed="false" customWidth="true" hidden="false" outlineLevel="0" max="4912" min="4912" style="1" width="3.42"/>
    <col collapsed="false" customWidth="true" hidden="false" outlineLevel="0" max="4913" min="4913" style="1" width="2.42"/>
    <col collapsed="false" customWidth="true" hidden="false" outlineLevel="0" max="4914" min="4914" style="1" width="7"/>
    <col collapsed="false" customWidth="false" hidden="false" outlineLevel="0" max="4915" min="4915" style="1" width="0.71"/>
    <col collapsed="false" customWidth="true" hidden="false" outlineLevel="0" max="4916" min="4916" style="1" width="1.57"/>
    <col collapsed="false" customWidth="false" hidden="false" outlineLevel="0" max="4917" min="4917" style="1" width="0.71"/>
    <col collapsed="false" customWidth="true" hidden="false" outlineLevel="0" max="4918" min="4918" style="1" width="11.29"/>
    <col collapsed="false" customWidth="false" hidden="false" outlineLevel="0" max="4919" min="4919" style="1" width="0.71"/>
    <col collapsed="false" customWidth="true" hidden="false" outlineLevel="0" max="4920" min="4920" style="1" width="1.57"/>
    <col collapsed="false" customWidth="false" hidden="false" outlineLevel="0" max="4925" min="4921" style="1" width="0.71"/>
    <col collapsed="false" customWidth="true" hidden="false" outlineLevel="0" max="4926" min="4926" style="1" width="2.15"/>
    <col collapsed="false" customWidth="false" hidden="false" outlineLevel="0" max="4927" min="4927" style="1" width="0.71"/>
    <col collapsed="false" customWidth="true" hidden="false" outlineLevel="0" max="4928" min="4928" style="1" width="1.57"/>
    <col collapsed="false" customWidth="false" hidden="false" outlineLevel="0" max="4929" min="4929" style="1" width="0.71"/>
    <col collapsed="false" customWidth="true" hidden="false" outlineLevel="0" max="4930" min="4930" style="1" width="7"/>
    <col collapsed="false" customWidth="false" hidden="false" outlineLevel="0" max="4931" min="4931" style="1" width="0.71"/>
    <col collapsed="false" customWidth="true" hidden="false" outlineLevel="0" max="4932" min="4932" style="1" width="4"/>
    <col collapsed="false" customWidth="false" hidden="false" outlineLevel="0" max="4933" min="4933" style="1" width="0.71"/>
    <col collapsed="false" customWidth="true" hidden="false" outlineLevel="0" max="4934" min="4934" style="1" width="1.57"/>
    <col collapsed="false" customWidth="false" hidden="false" outlineLevel="0" max="4935" min="4935" style="1" width="0.71"/>
    <col collapsed="false" customWidth="true" hidden="false" outlineLevel="0" max="4936" min="4936" style="1" width="7"/>
    <col collapsed="false" customWidth="false" hidden="false" outlineLevel="0" max="4939" min="4937" style="1" width="0.71"/>
    <col collapsed="false" customWidth="true" hidden="false" outlineLevel="0" max="4940" min="4940" style="1" width="2.42"/>
    <col collapsed="false" customWidth="false" hidden="false" outlineLevel="0" max="4946" min="4941" style="1" width="0.71"/>
    <col collapsed="false" customWidth="true" hidden="false" outlineLevel="0" max="4947" min="4947" style="1" width="16.57"/>
    <col collapsed="false" customWidth="false" hidden="false" outlineLevel="0" max="4950" min="4948" style="1" width="0.71"/>
    <col collapsed="false" customWidth="true" hidden="false" outlineLevel="0" max="4951" min="4951" style="1" width="9.86"/>
    <col collapsed="false" customWidth="true" hidden="false" outlineLevel="0" max="4954" min="4952" style="1" width="9.29"/>
    <col collapsed="false" customWidth="false" hidden="false" outlineLevel="0" max="5167" min="4955" style="1" width="0.71"/>
    <col collapsed="false" customWidth="true" hidden="false" outlineLevel="0" max="5168" min="5168" style="1" width="3.42"/>
    <col collapsed="false" customWidth="true" hidden="false" outlineLevel="0" max="5169" min="5169" style="1" width="2.42"/>
    <col collapsed="false" customWidth="true" hidden="false" outlineLevel="0" max="5170" min="5170" style="1" width="7"/>
    <col collapsed="false" customWidth="false" hidden="false" outlineLevel="0" max="5171" min="5171" style="1" width="0.71"/>
    <col collapsed="false" customWidth="true" hidden="false" outlineLevel="0" max="5172" min="5172" style="1" width="1.57"/>
    <col collapsed="false" customWidth="false" hidden="false" outlineLevel="0" max="5173" min="5173" style="1" width="0.71"/>
    <col collapsed="false" customWidth="true" hidden="false" outlineLevel="0" max="5174" min="5174" style="1" width="11.29"/>
    <col collapsed="false" customWidth="false" hidden="false" outlineLevel="0" max="5175" min="5175" style="1" width="0.71"/>
    <col collapsed="false" customWidth="true" hidden="false" outlineLevel="0" max="5176" min="5176" style="1" width="1.57"/>
    <col collapsed="false" customWidth="false" hidden="false" outlineLevel="0" max="5181" min="5177" style="1" width="0.71"/>
    <col collapsed="false" customWidth="true" hidden="false" outlineLevel="0" max="5182" min="5182" style="1" width="2.15"/>
    <col collapsed="false" customWidth="false" hidden="false" outlineLevel="0" max="5183" min="5183" style="1" width="0.71"/>
    <col collapsed="false" customWidth="true" hidden="false" outlineLevel="0" max="5184" min="5184" style="1" width="1.57"/>
    <col collapsed="false" customWidth="false" hidden="false" outlineLevel="0" max="5185" min="5185" style="1" width="0.71"/>
    <col collapsed="false" customWidth="true" hidden="false" outlineLevel="0" max="5186" min="5186" style="1" width="7"/>
    <col collapsed="false" customWidth="false" hidden="false" outlineLevel="0" max="5187" min="5187" style="1" width="0.71"/>
    <col collapsed="false" customWidth="true" hidden="false" outlineLevel="0" max="5188" min="5188" style="1" width="4"/>
    <col collapsed="false" customWidth="false" hidden="false" outlineLevel="0" max="5189" min="5189" style="1" width="0.71"/>
    <col collapsed="false" customWidth="true" hidden="false" outlineLevel="0" max="5190" min="5190" style="1" width="1.57"/>
    <col collapsed="false" customWidth="false" hidden="false" outlineLevel="0" max="5191" min="5191" style="1" width="0.71"/>
    <col collapsed="false" customWidth="true" hidden="false" outlineLevel="0" max="5192" min="5192" style="1" width="7"/>
    <col collapsed="false" customWidth="false" hidden="false" outlineLevel="0" max="5195" min="5193" style="1" width="0.71"/>
    <col collapsed="false" customWidth="true" hidden="false" outlineLevel="0" max="5196" min="5196" style="1" width="2.42"/>
    <col collapsed="false" customWidth="false" hidden="false" outlineLevel="0" max="5202" min="5197" style="1" width="0.71"/>
    <col collapsed="false" customWidth="true" hidden="false" outlineLevel="0" max="5203" min="5203" style="1" width="16.57"/>
    <col collapsed="false" customWidth="false" hidden="false" outlineLevel="0" max="5206" min="5204" style="1" width="0.71"/>
    <col collapsed="false" customWidth="true" hidden="false" outlineLevel="0" max="5207" min="5207" style="1" width="9.86"/>
    <col collapsed="false" customWidth="true" hidden="false" outlineLevel="0" max="5210" min="5208" style="1" width="9.29"/>
    <col collapsed="false" customWidth="false" hidden="false" outlineLevel="0" max="5423" min="5211" style="1" width="0.71"/>
    <col collapsed="false" customWidth="true" hidden="false" outlineLevel="0" max="5424" min="5424" style="1" width="3.42"/>
    <col collapsed="false" customWidth="true" hidden="false" outlineLevel="0" max="5425" min="5425" style="1" width="2.42"/>
    <col collapsed="false" customWidth="true" hidden="false" outlineLevel="0" max="5426" min="5426" style="1" width="7"/>
    <col collapsed="false" customWidth="false" hidden="false" outlineLevel="0" max="5427" min="5427" style="1" width="0.71"/>
    <col collapsed="false" customWidth="true" hidden="false" outlineLevel="0" max="5428" min="5428" style="1" width="1.57"/>
    <col collapsed="false" customWidth="false" hidden="false" outlineLevel="0" max="5429" min="5429" style="1" width="0.71"/>
    <col collapsed="false" customWidth="true" hidden="false" outlineLevel="0" max="5430" min="5430" style="1" width="11.29"/>
    <col collapsed="false" customWidth="false" hidden="false" outlineLevel="0" max="5431" min="5431" style="1" width="0.71"/>
    <col collapsed="false" customWidth="true" hidden="false" outlineLevel="0" max="5432" min="5432" style="1" width="1.57"/>
    <col collapsed="false" customWidth="false" hidden="false" outlineLevel="0" max="5437" min="5433" style="1" width="0.71"/>
    <col collapsed="false" customWidth="true" hidden="false" outlineLevel="0" max="5438" min="5438" style="1" width="2.15"/>
    <col collapsed="false" customWidth="false" hidden="false" outlineLevel="0" max="5439" min="5439" style="1" width="0.71"/>
    <col collapsed="false" customWidth="true" hidden="false" outlineLevel="0" max="5440" min="5440" style="1" width="1.57"/>
    <col collapsed="false" customWidth="false" hidden="false" outlineLevel="0" max="5441" min="5441" style="1" width="0.71"/>
    <col collapsed="false" customWidth="true" hidden="false" outlineLevel="0" max="5442" min="5442" style="1" width="7"/>
    <col collapsed="false" customWidth="false" hidden="false" outlineLevel="0" max="5443" min="5443" style="1" width="0.71"/>
    <col collapsed="false" customWidth="true" hidden="false" outlineLevel="0" max="5444" min="5444" style="1" width="4"/>
    <col collapsed="false" customWidth="false" hidden="false" outlineLevel="0" max="5445" min="5445" style="1" width="0.71"/>
    <col collapsed="false" customWidth="true" hidden="false" outlineLevel="0" max="5446" min="5446" style="1" width="1.57"/>
    <col collapsed="false" customWidth="false" hidden="false" outlineLevel="0" max="5447" min="5447" style="1" width="0.71"/>
    <col collapsed="false" customWidth="true" hidden="false" outlineLevel="0" max="5448" min="5448" style="1" width="7"/>
    <col collapsed="false" customWidth="false" hidden="false" outlineLevel="0" max="5451" min="5449" style="1" width="0.71"/>
    <col collapsed="false" customWidth="true" hidden="false" outlineLevel="0" max="5452" min="5452" style="1" width="2.42"/>
    <col collapsed="false" customWidth="false" hidden="false" outlineLevel="0" max="5458" min="5453" style="1" width="0.71"/>
    <col collapsed="false" customWidth="true" hidden="false" outlineLevel="0" max="5459" min="5459" style="1" width="16.57"/>
    <col collapsed="false" customWidth="false" hidden="false" outlineLevel="0" max="5462" min="5460" style="1" width="0.71"/>
    <col collapsed="false" customWidth="true" hidden="false" outlineLevel="0" max="5463" min="5463" style="1" width="9.86"/>
    <col collapsed="false" customWidth="true" hidden="false" outlineLevel="0" max="5466" min="5464" style="1" width="9.29"/>
    <col collapsed="false" customWidth="false" hidden="false" outlineLevel="0" max="5679" min="5467" style="1" width="0.71"/>
    <col collapsed="false" customWidth="true" hidden="false" outlineLevel="0" max="5680" min="5680" style="1" width="3.42"/>
    <col collapsed="false" customWidth="true" hidden="false" outlineLevel="0" max="5681" min="5681" style="1" width="2.42"/>
    <col collapsed="false" customWidth="true" hidden="false" outlineLevel="0" max="5682" min="5682" style="1" width="7"/>
    <col collapsed="false" customWidth="false" hidden="false" outlineLevel="0" max="5683" min="5683" style="1" width="0.71"/>
    <col collapsed="false" customWidth="true" hidden="false" outlineLevel="0" max="5684" min="5684" style="1" width="1.57"/>
    <col collapsed="false" customWidth="false" hidden="false" outlineLevel="0" max="5685" min="5685" style="1" width="0.71"/>
    <col collapsed="false" customWidth="true" hidden="false" outlineLevel="0" max="5686" min="5686" style="1" width="11.29"/>
    <col collapsed="false" customWidth="false" hidden="false" outlineLevel="0" max="5687" min="5687" style="1" width="0.71"/>
    <col collapsed="false" customWidth="true" hidden="false" outlineLevel="0" max="5688" min="5688" style="1" width="1.57"/>
    <col collapsed="false" customWidth="false" hidden="false" outlineLevel="0" max="5693" min="5689" style="1" width="0.71"/>
    <col collapsed="false" customWidth="true" hidden="false" outlineLevel="0" max="5694" min="5694" style="1" width="2.15"/>
    <col collapsed="false" customWidth="false" hidden="false" outlineLevel="0" max="5695" min="5695" style="1" width="0.71"/>
    <col collapsed="false" customWidth="true" hidden="false" outlineLevel="0" max="5696" min="5696" style="1" width="1.57"/>
    <col collapsed="false" customWidth="false" hidden="false" outlineLevel="0" max="5697" min="5697" style="1" width="0.71"/>
    <col collapsed="false" customWidth="true" hidden="false" outlineLevel="0" max="5698" min="5698" style="1" width="7"/>
    <col collapsed="false" customWidth="false" hidden="false" outlineLevel="0" max="5699" min="5699" style="1" width="0.71"/>
    <col collapsed="false" customWidth="true" hidden="false" outlineLevel="0" max="5700" min="5700" style="1" width="4"/>
    <col collapsed="false" customWidth="false" hidden="false" outlineLevel="0" max="5701" min="5701" style="1" width="0.71"/>
    <col collapsed="false" customWidth="true" hidden="false" outlineLevel="0" max="5702" min="5702" style="1" width="1.57"/>
    <col collapsed="false" customWidth="false" hidden="false" outlineLevel="0" max="5703" min="5703" style="1" width="0.71"/>
    <col collapsed="false" customWidth="true" hidden="false" outlineLevel="0" max="5704" min="5704" style="1" width="7"/>
    <col collapsed="false" customWidth="false" hidden="false" outlineLevel="0" max="5707" min="5705" style="1" width="0.71"/>
    <col collapsed="false" customWidth="true" hidden="false" outlineLevel="0" max="5708" min="5708" style="1" width="2.42"/>
    <col collapsed="false" customWidth="false" hidden="false" outlineLevel="0" max="5714" min="5709" style="1" width="0.71"/>
    <col collapsed="false" customWidth="true" hidden="false" outlineLevel="0" max="5715" min="5715" style="1" width="16.57"/>
    <col collapsed="false" customWidth="false" hidden="false" outlineLevel="0" max="5718" min="5716" style="1" width="0.71"/>
    <col collapsed="false" customWidth="true" hidden="false" outlineLevel="0" max="5719" min="5719" style="1" width="9.86"/>
    <col collapsed="false" customWidth="true" hidden="false" outlineLevel="0" max="5722" min="5720" style="1" width="9.29"/>
    <col collapsed="false" customWidth="false" hidden="false" outlineLevel="0" max="5935" min="5723" style="1" width="0.71"/>
    <col collapsed="false" customWidth="true" hidden="false" outlineLevel="0" max="5936" min="5936" style="1" width="3.42"/>
    <col collapsed="false" customWidth="true" hidden="false" outlineLevel="0" max="5937" min="5937" style="1" width="2.42"/>
    <col collapsed="false" customWidth="true" hidden="false" outlineLevel="0" max="5938" min="5938" style="1" width="7"/>
    <col collapsed="false" customWidth="false" hidden="false" outlineLevel="0" max="5939" min="5939" style="1" width="0.71"/>
    <col collapsed="false" customWidth="true" hidden="false" outlineLevel="0" max="5940" min="5940" style="1" width="1.57"/>
    <col collapsed="false" customWidth="false" hidden="false" outlineLevel="0" max="5941" min="5941" style="1" width="0.71"/>
    <col collapsed="false" customWidth="true" hidden="false" outlineLevel="0" max="5942" min="5942" style="1" width="11.29"/>
    <col collapsed="false" customWidth="false" hidden="false" outlineLevel="0" max="5943" min="5943" style="1" width="0.71"/>
    <col collapsed="false" customWidth="true" hidden="false" outlineLevel="0" max="5944" min="5944" style="1" width="1.57"/>
    <col collapsed="false" customWidth="false" hidden="false" outlineLevel="0" max="5949" min="5945" style="1" width="0.71"/>
    <col collapsed="false" customWidth="true" hidden="false" outlineLevel="0" max="5950" min="5950" style="1" width="2.15"/>
    <col collapsed="false" customWidth="false" hidden="false" outlineLevel="0" max="5951" min="5951" style="1" width="0.71"/>
    <col collapsed="false" customWidth="true" hidden="false" outlineLevel="0" max="5952" min="5952" style="1" width="1.57"/>
    <col collapsed="false" customWidth="false" hidden="false" outlineLevel="0" max="5953" min="5953" style="1" width="0.71"/>
    <col collapsed="false" customWidth="true" hidden="false" outlineLevel="0" max="5954" min="5954" style="1" width="7"/>
    <col collapsed="false" customWidth="false" hidden="false" outlineLevel="0" max="5955" min="5955" style="1" width="0.71"/>
    <col collapsed="false" customWidth="true" hidden="false" outlineLevel="0" max="5956" min="5956" style="1" width="4"/>
    <col collapsed="false" customWidth="false" hidden="false" outlineLevel="0" max="5957" min="5957" style="1" width="0.71"/>
    <col collapsed="false" customWidth="true" hidden="false" outlineLevel="0" max="5958" min="5958" style="1" width="1.57"/>
    <col collapsed="false" customWidth="false" hidden="false" outlineLevel="0" max="5959" min="5959" style="1" width="0.71"/>
    <col collapsed="false" customWidth="true" hidden="false" outlineLevel="0" max="5960" min="5960" style="1" width="7"/>
    <col collapsed="false" customWidth="false" hidden="false" outlineLevel="0" max="5963" min="5961" style="1" width="0.71"/>
    <col collapsed="false" customWidth="true" hidden="false" outlineLevel="0" max="5964" min="5964" style="1" width="2.42"/>
    <col collapsed="false" customWidth="false" hidden="false" outlineLevel="0" max="5970" min="5965" style="1" width="0.71"/>
    <col collapsed="false" customWidth="true" hidden="false" outlineLevel="0" max="5971" min="5971" style="1" width="16.57"/>
    <col collapsed="false" customWidth="false" hidden="false" outlineLevel="0" max="5974" min="5972" style="1" width="0.71"/>
    <col collapsed="false" customWidth="true" hidden="false" outlineLevel="0" max="5975" min="5975" style="1" width="9.86"/>
    <col collapsed="false" customWidth="true" hidden="false" outlineLevel="0" max="5978" min="5976" style="1" width="9.29"/>
    <col collapsed="false" customWidth="false" hidden="false" outlineLevel="0" max="6191" min="5979" style="1" width="0.71"/>
    <col collapsed="false" customWidth="true" hidden="false" outlineLevel="0" max="6192" min="6192" style="1" width="3.42"/>
    <col collapsed="false" customWidth="true" hidden="false" outlineLevel="0" max="6193" min="6193" style="1" width="2.42"/>
    <col collapsed="false" customWidth="true" hidden="false" outlineLevel="0" max="6194" min="6194" style="1" width="7"/>
    <col collapsed="false" customWidth="false" hidden="false" outlineLevel="0" max="6195" min="6195" style="1" width="0.71"/>
    <col collapsed="false" customWidth="true" hidden="false" outlineLevel="0" max="6196" min="6196" style="1" width="1.57"/>
    <col collapsed="false" customWidth="false" hidden="false" outlineLevel="0" max="6197" min="6197" style="1" width="0.71"/>
    <col collapsed="false" customWidth="true" hidden="false" outlineLevel="0" max="6198" min="6198" style="1" width="11.29"/>
    <col collapsed="false" customWidth="false" hidden="false" outlineLevel="0" max="6199" min="6199" style="1" width="0.71"/>
    <col collapsed="false" customWidth="true" hidden="false" outlineLevel="0" max="6200" min="6200" style="1" width="1.57"/>
    <col collapsed="false" customWidth="false" hidden="false" outlineLevel="0" max="6205" min="6201" style="1" width="0.71"/>
    <col collapsed="false" customWidth="true" hidden="false" outlineLevel="0" max="6206" min="6206" style="1" width="2.15"/>
    <col collapsed="false" customWidth="false" hidden="false" outlineLevel="0" max="6207" min="6207" style="1" width="0.71"/>
    <col collapsed="false" customWidth="true" hidden="false" outlineLevel="0" max="6208" min="6208" style="1" width="1.57"/>
    <col collapsed="false" customWidth="false" hidden="false" outlineLevel="0" max="6209" min="6209" style="1" width="0.71"/>
    <col collapsed="false" customWidth="true" hidden="false" outlineLevel="0" max="6210" min="6210" style="1" width="7"/>
    <col collapsed="false" customWidth="false" hidden="false" outlineLevel="0" max="6211" min="6211" style="1" width="0.71"/>
    <col collapsed="false" customWidth="true" hidden="false" outlineLevel="0" max="6212" min="6212" style="1" width="4"/>
    <col collapsed="false" customWidth="false" hidden="false" outlineLevel="0" max="6213" min="6213" style="1" width="0.71"/>
    <col collapsed="false" customWidth="true" hidden="false" outlineLevel="0" max="6214" min="6214" style="1" width="1.57"/>
    <col collapsed="false" customWidth="false" hidden="false" outlineLevel="0" max="6215" min="6215" style="1" width="0.71"/>
    <col collapsed="false" customWidth="true" hidden="false" outlineLevel="0" max="6216" min="6216" style="1" width="7"/>
    <col collapsed="false" customWidth="false" hidden="false" outlineLevel="0" max="6219" min="6217" style="1" width="0.71"/>
    <col collapsed="false" customWidth="true" hidden="false" outlineLevel="0" max="6220" min="6220" style="1" width="2.42"/>
    <col collapsed="false" customWidth="false" hidden="false" outlineLevel="0" max="6226" min="6221" style="1" width="0.71"/>
    <col collapsed="false" customWidth="true" hidden="false" outlineLevel="0" max="6227" min="6227" style="1" width="16.57"/>
    <col collapsed="false" customWidth="false" hidden="false" outlineLevel="0" max="6230" min="6228" style="1" width="0.71"/>
    <col collapsed="false" customWidth="true" hidden="false" outlineLevel="0" max="6231" min="6231" style="1" width="9.86"/>
    <col collapsed="false" customWidth="true" hidden="false" outlineLevel="0" max="6234" min="6232" style="1" width="9.29"/>
    <col collapsed="false" customWidth="false" hidden="false" outlineLevel="0" max="6447" min="6235" style="1" width="0.71"/>
    <col collapsed="false" customWidth="true" hidden="false" outlineLevel="0" max="6448" min="6448" style="1" width="3.42"/>
    <col collapsed="false" customWidth="true" hidden="false" outlineLevel="0" max="6449" min="6449" style="1" width="2.42"/>
    <col collapsed="false" customWidth="true" hidden="false" outlineLevel="0" max="6450" min="6450" style="1" width="7"/>
    <col collapsed="false" customWidth="false" hidden="false" outlineLevel="0" max="6451" min="6451" style="1" width="0.71"/>
    <col collapsed="false" customWidth="true" hidden="false" outlineLevel="0" max="6452" min="6452" style="1" width="1.57"/>
    <col collapsed="false" customWidth="false" hidden="false" outlineLevel="0" max="6453" min="6453" style="1" width="0.71"/>
    <col collapsed="false" customWidth="true" hidden="false" outlineLevel="0" max="6454" min="6454" style="1" width="11.29"/>
    <col collapsed="false" customWidth="false" hidden="false" outlineLevel="0" max="6455" min="6455" style="1" width="0.71"/>
    <col collapsed="false" customWidth="true" hidden="false" outlineLevel="0" max="6456" min="6456" style="1" width="1.57"/>
    <col collapsed="false" customWidth="false" hidden="false" outlineLevel="0" max="6461" min="6457" style="1" width="0.71"/>
    <col collapsed="false" customWidth="true" hidden="false" outlineLevel="0" max="6462" min="6462" style="1" width="2.15"/>
    <col collapsed="false" customWidth="false" hidden="false" outlineLevel="0" max="6463" min="6463" style="1" width="0.71"/>
    <col collapsed="false" customWidth="true" hidden="false" outlineLevel="0" max="6464" min="6464" style="1" width="1.57"/>
    <col collapsed="false" customWidth="false" hidden="false" outlineLevel="0" max="6465" min="6465" style="1" width="0.71"/>
    <col collapsed="false" customWidth="true" hidden="false" outlineLevel="0" max="6466" min="6466" style="1" width="7"/>
    <col collapsed="false" customWidth="false" hidden="false" outlineLevel="0" max="6467" min="6467" style="1" width="0.71"/>
    <col collapsed="false" customWidth="true" hidden="false" outlineLevel="0" max="6468" min="6468" style="1" width="4"/>
    <col collapsed="false" customWidth="false" hidden="false" outlineLevel="0" max="6469" min="6469" style="1" width="0.71"/>
    <col collapsed="false" customWidth="true" hidden="false" outlineLevel="0" max="6470" min="6470" style="1" width="1.57"/>
    <col collapsed="false" customWidth="false" hidden="false" outlineLevel="0" max="6471" min="6471" style="1" width="0.71"/>
    <col collapsed="false" customWidth="true" hidden="false" outlineLevel="0" max="6472" min="6472" style="1" width="7"/>
    <col collapsed="false" customWidth="false" hidden="false" outlineLevel="0" max="6475" min="6473" style="1" width="0.71"/>
    <col collapsed="false" customWidth="true" hidden="false" outlineLevel="0" max="6476" min="6476" style="1" width="2.42"/>
    <col collapsed="false" customWidth="false" hidden="false" outlineLevel="0" max="6482" min="6477" style="1" width="0.71"/>
    <col collapsed="false" customWidth="true" hidden="false" outlineLevel="0" max="6483" min="6483" style="1" width="16.57"/>
    <col collapsed="false" customWidth="false" hidden="false" outlineLevel="0" max="6486" min="6484" style="1" width="0.71"/>
    <col collapsed="false" customWidth="true" hidden="false" outlineLevel="0" max="6487" min="6487" style="1" width="9.86"/>
    <col collapsed="false" customWidth="true" hidden="false" outlineLevel="0" max="6490" min="6488" style="1" width="9.29"/>
    <col collapsed="false" customWidth="false" hidden="false" outlineLevel="0" max="6703" min="6491" style="1" width="0.71"/>
    <col collapsed="false" customWidth="true" hidden="false" outlineLevel="0" max="6704" min="6704" style="1" width="3.42"/>
    <col collapsed="false" customWidth="true" hidden="false" outlineLevel="0" max="6705" min="6705" style="1" width="2.42"/>
    <col collapsed="false" customWidth="true" hidden="false" outlineLevel="0" max="6706" min="6706" style="1" width="7"/>
    <col collapsed="false" customWidth="false" hidden="false" outlineLevel="0" max="6707" min="6707" style="1" width="0.71"/>
    <col collapsed="false" customWidth="true" hidden="false" outlineLevel="0" max="6708" min="6708" style="1" width="1.57"/>
    <col collapsed="false" customWidth="false" hidden="false" outlineLevel="0" max="6709" min="6709" style="1" width="0.71"/>
    <col collapsed="false" customWidth="true" hidden="false" outlineLevel="0" max="6710" min="6710" style="1" width="11.29"/>
    <col collapsed="false" customWidth="false" hidden="false" outlineLevel="0" max="6711" min="6711" style="1" width="0.71"/>
    <col collapsed="false" customWidth="true" hidden="false" outlineLevel="0" max="6712" min="6712" style="1" width="1.57"/>
    <col collapsed="false" customWidth="false" hidden="false" outlineLevel="0" max="6717" min="6713" style="1" width="0.71"/>
    <col collapsed="false" customWidth="true" hidden="false" outlineLevel="0" max="6718" min="6718" style="1" width="2.15"/>
    <col collapsed="false" customWidth="false" hidden="false" outlineLevel="0" max="6719" min="6719" style="1" width="0.71"/>
    <col collapsed="false" customWidth="true" hidden="false" outlineLevel="0" max="6720" min="6720" style="1" width="1.57"/>
    <col collapsed="false" customWidth="false" hidden="false" outlineLevel="0" max="6721" min="6721" style="1" width="0.71"/>
    <col collapsed="false" customWidth="true" hidden="false" outlineLevel="0" max="6722" min="6722" style="1" width="7"/>
    <col collapsed="false" customWidth="false" hidden="false" outlineLevel="0" max="6723" min="6723" style="1" width="0.71"/>
    <col collapsed="false" customWidth="true" hidden="false" outlineLevel="0" max="6724" min="6724" style="1" width="4"/>
    <col collapsed="false" customWidth="false" hidden="false" outlineLevel="0" max="6725" min="6725" style="1" width="0.71"/>
    <col collapsed="false" customWidth="true" hidden="false" outlineLevel="0" max="6726" min="6726" style="1" width="1.57"/>
    <col collapsed="false" customWidth="false" hidden="false" outlineLevel="0" max="6727" min="6727" style="1" width="0.71"/>
    <col collapsed="false" customWidth="true" hidden="false" outlineLevel="0" max="6728" min="6728" style="1" width="7"/>
    <col collapsed="false" customWidth="false" hidden="false" outlineLevel="0" max="6731" min="6729" style="1" width="0.71"/>
    <col collapsed="false" customWidth="true" hidden="false" outlineLevel="0" max="6732" min="6732" style="1" width="2.42"/>
    <col collapsed="false" customWidth="false" hidden="false" outlineLevel="0" max="6738" min="6733" style="1" width="0.71"/>
    <col collapsed="false" customWidth="true" hidden="false" outlineLevel="0" max="6739" min="6739" style="1" width="16.57"/>
    <col collapsed="false" customWidth="false" hidden="false" outlineLevel="0" max="6742" min="6740" style="1" width="0.71"/>
    <col collapsed="false" customWidth="true" hidden="false" outlineLevel="0" max="6743" min="6743" style="1" width="9.86"/>
    <col collapsed="false" customWidth="true" hidden="false" outlineLevel="0" max="6746" min="6744" style="1" width="9.29"/>
    <col collapsed="false" customWidth="false" hidden="false" outlineLevel="0" max="6959" min="6747" style="1" width="0.71"/>
    <col collapsed="false" customWidth="true" hidden="false" outlineLevel="0" max="6960" min="6960" style="1" width="3.42"/>
    <col collapsed="false" customWidth="true" hidden="false" outlineLevel="0" max="6961" min="6961" style="1" width="2.42"/>
    <col collapsed="false" customWidth="true" hidden="false" outlineLevel="0" max="6962" min="6962" style="1" width="7"/>
    <col collapsed="false" customWidth="false" hidden="false" outlineLevel="0" max="6963" min="6963" style="1" width="0.71"/>
    <col collapsed="false" customWidth="true" hidden="false" outlineLevel="0" max="6964" min="6964" style="1" width="1.57"/>
    <col collapsed="false" customWidth="false" hidden="false" outlineLevel="0" max="6965" min="6965" style="1" width="0.71"/>
    <col collapsed="false" customWidth="true" hidden="false" outlineLevel="0" max="6966" min="6966" style="1" width="11.29"/>
    <col collapsed="false" customWidth="false" hidden="false" outlineLevel="0" max="6967" min="6967" style="1" width="0.71"/>
    <col collapsed="false" customWidth="true" hidden="false" outlineLevel="0" max="6968" min="6968" style="1" width="1.57"/>
    <col collapsed="false" customWidth="false" hidden="false" outlineLevel="0" max="6973" min="6969" style="1" width="0.71"/>
    <col collapsed="false" customWidth="true" hidden="false" outlineLevel="0" max="6974" min="6974" style="1" width="2.15"/>
    <col collapsed="false" customWidth="false" hidden="false" outlineLevel="0" max="6975" min="6975" style="1" width="0.71"/>
    <col collapsed="false" customWidth="true" hidden="false" outlineLevel="0" max="6976" min="6976" style="1" width="1.57"/>
    <col collapsed="false" customWidth="false" hidden="false" outlineLevel="0" max="6977" min="6977" style="1" width="0.71"/>
    <col collapsed="false" customWidth="true" hidden="false" outlineLevel="0" max="6978" min="6978" style="1" width="7"/>
    <col collapsed="false" customWidth="false" hidden="false" outlineLevel="0" max="6979" min="6979" style="1" width="0.71"/>
    <col collapsed="false" customWidth="true" hidden="false" outlineLevel="0" max="6980" min="6980" style="1" width="4"/>
    <col collapsed="false" customWidth="false" hidden="false" outlineLevel="0" max="6981" min="6981" style="1" width="0.71"/>
    <col collapsed="false" customWidth="true" hidden="false" outlineLevel="0" max="6982" min="6982" style="1" width="1.57"/>
    <col collapsed="false" customWidth="false" hidden="false" outlineLevel="0" max="6983" min="6983" style="1" width="0.71"/>
    <col collapsed="false" customWidth="true" hidden="false" outlineLevel="0" max="6984" min="6984" style="1" width="7"/>
    <col collapsed="false" customWidth="false" hidden="false" outlineLevel="0" max="6987" min="6985" style="1" width="0.71"/>
    <col collapsed="false" customWidth="true" hidden="false" outlineLevel="0" max="6988" min="6988" style="1" width="2.42"/>
    <col collapsed="false" customWidth="false" hidden="false" outlineLevel="0" max="6994" min="6989" style="1" width="0.71"/>
    <col collapsed="false" customWidth="true" hidden="false" outlineLevel="0" max="6995" min="6995" style="1" width="16.57"/>
    <col collapsed="false" customWidth="false" hidden="false" outlineLevel="0" max="6998" min="6996" style="1" width="0.71"/>
    <col collapsed="false" customWidth="true" hidden="false" outlineLevel="0" max="6999" min="6999" style="1" width="9.86"/>
    <col collapsed="false" customWidth="true" hidden="false" outlineLevel="0" max="7002" min="7000" style="1" width="9.29"/>
    <col collapsed="false" customWidth="false" hidden="false" outlineLevel="0" max="7215" min="7003" style="1" width="0.71"/>
    <col collapsed="false" customWidth="true" hidden="false" outlineLevel="0" max="7216" min="7216" style="1" width="3.42"/>
    <col collapsed="false" customWidth="true" hidden="false" outlineLevel="0" max="7217" min="7217" style="1" width="2.42"/>
    <col collapsed="false" customWidth="true" hidden="false" outlineLevel="0" max="7218" min="7218" style="1" width="7"/>
    <col collapsed="false" customWidth="false" hidden="false" outlineLevel="0" max="7219" min="7219" style="1" width="0.71"/>
    <col collapsed="false" customWidth="true" hidden="false" outlineLevel="0" max="7220" min="7220" style="1" width="1.57"/>
    <col collapsed="false" customWidth="false" hidden="false" outlineLevel="0" max="7221" min="7221" style="1" width="0.71"/>
    <col collapsed="false" customWidth="true" hidden="false" outlineLevel="0" max="7222" min="7222" style="1" width="11.29"/>
    <col collapsed="false" customWidth="false" hidden="false" outlineLevel="0" max="7223" min="7223" style="1" width="0.71"/>
    <col collapsed="false" customWidth="true" hidden="false" outlineLevel="0" max="7224" min="7224" style="1" width="1.57"/>
    <col collapsed="false" customWidth="false" hidden="false" outlineLevel="0" max="7229" min="7225" style="1" width="0.71"/>
    <col collapsed="false" customWidth="true" hidden="false" outlineLevel="0" max="7230" min="7230" style="1" width="2.15"/>
    <col collapsed="false" customWidth="false" hidden="false" outlineLevel="0" max="7231" min="7231" style="1" width="0.71"/>
    <col collapsed="false" customWidth="true" hidden="false" outlineLevel="0" max="7232" min="7232" style="1" width="1.57"/>
    <col collapsed="false" customWidth="false" hidden="false" outlineLevel="0" max="7233" min="7233" style="1" width="0.71"/>
    <col collapsed="false" customWidth="true" hidden="false" outlineLevel="0" max="7234" min="7234" style="1" width="7"/>
    <col collapsed="false" customWidth="false" hidden="false" outlineLevel="0" max="7235" min="7235" style="1" width="0.71"/>
    <col collapsed="false" customWidth="true" hidden="false" outlineLevel="0" max="7236" min="7236" style="1" width="4"/>
    <col collapsed="false" customWidth="false" hidden="false" outlineLevel="0" max="7237" min="7237" style="1" width="0.71"/>
    <col collapsed="false" customWidth="true" hidden="false" outlineLevel="0" max="7238" min="7238" style="1" width="1.57"/>
    <col collapsed="false" customWidth="false" hidden="false" outlineLevel="0" max="7239" min="7239" style="1" width="0.71"/>
    <col collapsed="false" customWidth="true" hidden="false" outlineLevel="0" max="7240" min="7240" style="1" width="7"/>
    <col collapsed="false" customWidth="false" hidden="false" outlineLevel="0" max="7243" min="7241" style="1" width="0.71"/>
    <col collapsed="false" customWidth="true" hidden="false" outlineLevel="0" max="7244" min="7244" style="1" width="2.42"/>
    <col collapsed="false" customWidth="false" hidden="false" outlineLevel="0" max="7250" min="7245" style="1" width="0.71"/>
    <col collapsed="false" customWidth="true" hidden="false" outlineLevel="0" max="7251" min="7251" style="1" width="16.57"/>
    <col collapsed="false" customWidth="false" hidden="false" outlineLevel="0" max="7254" min="7252" style="1" width="0.71"/>
    <col collapsed="false" customWidth="true" hidden="false" outlineLevel="0" max="7255" min="7255" style="1" width="9.86"/>
    <col collapsed="false" customWidth="true" hidden="false" outlineLevel="0" max="7258" min="7256" style="1" width="9.29"/>
    <col collapsed="false" customWidth="false" hidden="false" outlineLevel="0" max="7471" min="7259" style="1" width="0.71"/>
    <col collapsed="false" customWidth="true" hidden="false" outlineLevel="0" max="7472" min="7472" style="1" width="3.42"/>
    <col collapsed="false" customWidth="true" hidden="false" outlineLevel="0" max="7473" min="7473" style="1" width="2.42"/>
    <col collapsed="false" customWidth="true" hidden="false" outlineLevel="0" max="7474" min="7474" style="1" width="7"/>
    <col collapsed="false" customWidth="false" hidden="false" outlineLevel="0" max="7475" min="7475" style="1" width="0.71"/>
    <col collapsed="false" customWidth="true" hidden="false" outlineLevel="0" max="7476" min="7476" style="1" width="1.57"/>
    <col collapsed="false" customWidth="false" hidden="false" outlineLevel="0" max="7477" min="7477" style="1" width="0.71"/>
    <col collapsed="false" customWidth="true" hidden="false" outlineLevel="0" max="7478" min="7478" style="1" width="11.29"/>
    <col collapsed="false" customWidth="false" hidden="false" outlineLevel="0" max="7479" min="7479" style="1" width="0.71"/>
    <col collapsed="false" customWidth="true" hidden="false" outlineLevel="0" max="7480" min="7480" style="1" width="1.57"/>
    <col collapsed="false" customWidth="false" hidden="false" outlineLevel="0" max="7485" min="7481" style="1" width="0.71"/>
    <col collapsed="false" customWidth="true" hidden="false" outlineLevel="0" max="7486" min="7486" style="1" width="2.15"/>
    <col collapsed="false" customWidth="false" hidden="false" outlineLevel="0" max="7487" min="7487" style="1" width="0.71"/>
    <col collapsed="false" customWidth="true" hidden="false" outlineLevel="0" max="7488" min="7488" style="1" width="1.57"/>
    <col collapsed="false" customWidth="false" hidden="false" outlineLevel="0" max="7489" min="7489" style="1" width="0.71"/>
    <col collapsed="false" customWidth="true" hidden="false" outlineLevel="0" max="7490" min="7490" style="1" width="7"/>
    <col collapsed="false" customWidth="false" hidden="false" outlineLevel="0" max="7491" min="7491" style="1" width="0.71"/>
    <col collapsed="false" customWidth="true" hidden="false" outlineLevel="0" max="7492" min="7492" style="1" width="4"/>
    <col collapsed="false" customWidth="false" hidden="false" outlineLevel="0" max="7493" min="7493" style="1" width="0.71"/>
    <col collapsed="false" customWidth="true" hidden="false" outlineLevel="0" max="7494" min="7494" style="1" width="1.57"/>
    <col collapsed="false" customWidth="false" hidden="false" outlineLevel="0" max="7495" min="7495" style="1" width="0.71"/>
    <col collapsed="false" customWidth="true" hidden="false" outlineLevel="0" max="7496" min="7496" style="1" width="7"/>
    <col collapsed="false" customWidth="false" hidden="false" outlineLevel="0" max="7499" min="7497" style="1" width="0.71"/>
    <col collapsed="false" customWidth="true" hidden="false" outlineLevel="0" max="7500" min="7500" style="1" width="2.42"/>
    <col collapsed="false" customWidth="false" hidden="false" outlineLevel="0" max="7506" min="7501" style="1" width="0.71"/>
    <col collapsed="false" customWidth="true" hidden="false" outlineLevel="0" max="7507" min="7507" style="1" width="16.57"/>
    <col collapsed="false" customWidth="false" hidden="false" outlineLevel="0" max="7510" min="7508" style="1" width="0.71"/>
    <col collapsed="false" customWidth="true" hidden="false" outlineLevel="0" max="7511" min="7511" style="1" width="9.86"/>
    <col collapsed="false" customWidth="true" hidden="false" outlineLevel="0" max="7514" min="7512" style="1" width="9.29"/>
    <col collapsed="false" customWidth="false" hidden="false" outlineLevel="0" max="7727" min="7515" style="1" width="0.71"/>
    <col collapsed="false" customWidth="true" hidden="false" outlineLevel="0" max="7728" min="7728" style="1" width="3.42"/>
    <col collapsed="false" customWidth="true" hidden="false" outlineLevel="0" max="7729" min="7729" style="1" width="2.42"/>
    <col collapsed="false" customWidth="true" hidden="false" outlineLevel="0" max="7730" min="7730" style="1" width="7"/>
    <col collapsed="false" customWidth="false" hidden="false" outlineLevel="0" max="7731" min="7731" style="1" width="0.71"/>
    <col collapsed="false" customWidth="true" hidden="false" outlineLevel="0" max="7732" min="7732" style="1" width="1.57"/>
    <col collapsed="false" customWidth="false" hidden="false" outlineLevel="0" max="7733" min="7733" style="1" width="0.71"/>
    <col collapsed="false" customWidth="true" hidden="false" outlineLevel="0" max="7734" min="7734" style="1" width="11.29"/>
    <col collapsed="false" customWidth="false" hidden="false" outlineLevel="0" max="7735" min="7735" style="1" width="0.71"/>
    <col collapsed="false" customWidth="true" hidden="false" outlineLevel="0" max="7736" min="7736" style="1" width="1.57"/>
    <col collapsed="false" customWidth="false" hidden="false" outlineLevel="0" max="7741" min="7737" style="1" width="0.71"/>
    <col collapsed="false" customWidth="true" hidden="false" outlineLevel="0" max="7742" min="7742" style="1" width="2.15"/>
    <col collapsed="false" customWidth="false" hidden="false" outlineLevel="0" max="7743" min="7743" style="1" width="0.71"/>
    <col collapsed="false" customWidth="true" hidden="false" outlineLevel="0" max="7744" min="7744" style="1" width="1.57"/>
    <col collapsed="false" customWidth="false" hidden="false" outlineLevel="0" max="7745" min="7745" style="1" width="0.71"/>
    <col collapsed="false" customWidth="true" hidden="false" outlineLevel="0" max="7746" min="7746" style="1" width="7"/>
    <col collapsed="false" customWidth="false" hidden="false" outlineLevel="0" max="7747" min="7747" style="1" width="0.71"/>
    <col collapsed="false" customWidth="true" hidden="false" outlineLevel="0" max="7748" min="7748" style="1" width="4"/>
    <col collapsed="false" customWidth="false" hidden="false" outlineLevel="0" max="7749" min="7749" style="1" width="0.71"/>
    <col collapsed="false" customWidth="true" hidden="false" outlineLevel="0" max="7750" min="7750" style="1" width="1.57"/>
    <col collapsed="false" customWidth="false" hidden="false" outlineLevel="0" max="7751" min="7751" style="1" width="0.71"/>
    <col collapsed="false" customWidth="true" hidden="false" outlineLevel="0" max="7752" min="7752" style="1" width="7"/>
    <col collapsed="false" customWidth="false" hidden="false" outlineLevel="0" max="7755" min="7753" style="1" width="0.71"/>
    <col collapsed="false" customWidth="true" hidden="false" outlineLevel="0" max="7756" min="7756" style="1" width="2.42"/>
    <col collapsed="false" customWidth="false" hidden="false" outlineLevel="0" max="7762" min="7757" style="1" width="0.71"/>
    <col collapsed="false" customWidth="true" hidden="false" outlineLevel="0" max="7763" min="7763" style="1" width="16.57"/>
    <col collapsed="false" customWidth="false" hidden="false" outlineLevel="0" max="7766" min="7764" style="1" width="0.71"/>
    <col collapsed="false" customWidth="true" hidden="false" outlineLevel="0" max="7767" min="7767" style="1" width="9.86"/>
    <col collapsed="false" customWidth="true" hidden="false" outlineLevel="0" max="7770" min="7768" style="1" width="9.29"/>
    <col collapsed="false" customWidth="false" hidden="false" outlineLevel="0" max="7983" min="7771" style="1" width="0.71"/>
    <col collapsed="false" customWidth="true" hidden="false" outlineLevel="0" max="7984" min="7984" style="1" width="3.42"/>
    <col collapsed="false" customWidth="true" hidden="false" outlineLevel="0" max="7985" min="7985" style="1" width="2.42"/>
    <col collapsed="false" customWidth="true" hidden="false" outlineLevel="0" max="7986" min="7986" style="1" width="7"/>
    <col collapsed="false" customWidth="false" hidden="false" outlineLevel="0" max="7987" min="7987" style="1" width="0.71"/>
    <col collapsed="false" customWidth="true" hidden="false" outlineLevel="0" max="7988" min="7988" style="1" width="1.57"/>
    <col collapsed="false" customWidth="false" hidden="false" outlineLevel="0" max="7989" min="7989" style="1" width="0.71"/>
    <col collapsed="false" customWidth="true" hidden="false" outlineLevel="0" max="7990" min="7990" style="1" width="11.29"/>
    <col collapsed="false" customWidth="false" hidden="false" outlineLevel="0" max="7991" min="7991" style="1" width="0.71"/>
    <col collapsed="false" customWidth="true" hidden="false" outlineLevel="0" max="7992" min="7992" style="1" width="1.57"/>
    <col collapsed="false" customWidth="false" hidden="false" outlineLevel="0" max="7997" min="7993" style="1" width="0.71"/>
    <col collapsed="false" customWidth="true" hidden="false" outlineLevel="0" max="7998" min="7998" style="1" width="2.15"/>
    <col collapsed="false" customWidth="false" hidden="false" outlineLevel="0" max="7999" min="7999" style="1" width="0.71"/>
    <col collapsed="false" customWidth="true" hidden="false" outlineLevel="0" max="8000" min="8000" style="1" width="1.57"/>
    <col collapsed="false" customWidth="false" hidden="false" outlineLevel="0" max="8001" min="8001" style="1" width="0.71"/>
    <col collapsed="false" customWidth="true" hidden="false" outlineLevel="0" max="8002" min="8002" style="1" width="7"/>
    <col collapsed="false" customWidth="false" hidden="false" outlineLevel="0" max="8003" min="8003" style="1" width="0.71"/>
    <col collapsed="false" customWidth="true" hidden="false" outlineLevel="0" max="8004" min="8004" style="1" width="4"/>
    <col collapsed="false" customWidth="false" hidden="false" outlineLevel="0" max="8005" min="8005" style="1" width="0.71"/>
    <col collapsed="false" customWidth="true" hidden="false" outlineLevel="0" max="8006" min="8006" style="1" width="1.57"/>
    <col collapsed="false" customWidth="false" hidden="false" outlineLevel="0" max="8007" min="8007" style="1" width="0.71"/>
    <col collapsed="false" customWidth="true" hidden="false" outlineLevel="0" max="8008" min="8008" style="1" width="7"/>
    <col collapsed="false" customWidth="false" hidden="false" outlineLevel="0" max="8011" min="8009" style="1" width="0.71"/>
    <col collapsed="false" customWidth="true" hidden="false" outlineLevel="0" max="8012" min="8012" style="1" width="2.42"/>
    <col collapsed="false" customWidth="false" hidden="false" outlineLevel="0" max="8018" min="8013" style="1" width="0.71"/>
    <col collapsed="false" customWidth="true" hidden="false" outlineLevel="0" max="8019" min="8019" style="1" width="16.57"/>
    <col collapsed="false" customWidth="false" hidden="false" outlineLevel="0" max="8022" min="8020" style="1" width="0.71"/>
    <col collapsed="false" customWidth="true" hidden="false" outlineLevel="0" max="8023" min="8023" style="1" width="9.86"/>
    <col collapsed="false" customWidth="true" hidden="false" outlineLevel="0" max="8026" min="8024" style="1" width="9.29"/>
    <col collapsed="false" customWidth="false" hidden="false" outlineLevel="0" max="8239" min="8027" style="1" width="0.71"/>
    <col collapsed="false" customWidth="true" hidden="false" outlineLevel="0" max="8240" min="8240" style="1" width="3.42"/>
    <col collapsed="false" customWidth="true" hidden="false" outlineLevel="0" max="8241" min="8241" style="1" width="2.42"/>
    <col collapsed="false" customWidth="true" hidden="false" outlineLevel="0" max="8242" min="8242" style="1" width="7"/>
    <col collapsed="false" customWidth="false" hidden="false" outlineLevel="0" max="8243" min="8243" style="1" width="0.71"/>
    <col collapsed="false" customWidth="true" hidden="false" outlineLevel="0" max="8244" min="8244" style="1" width="1.57"/>
    <col collapsed="false" customWidth="false" hidden="false" outlineLevel="0" max="8245" min="8245" style="1" width="0.71"/>
    <col collapsed="false" customWidth="true" hidden="false" outlineLevel="0" max="8246" min="8246" style="1" width="11.29"/>
    <col collapsed="false" customWidth="false" hidden="false" outlineLevel="0" max="8247" min="8247" style="1" width="0.71"/>
    <col collapsed="false" customWidth="true" hidden="false" outlineLevel="0" max="8248" min="8248" style="1" width="1.57"/>
    <col collapsed="false" customWidth="false" hidden="false" outlineLevel="0" max="8253" min="8249" style="1" width="0.71"/>
    <col collapsed="false" customWidth="true" hidden="false" outlineLevel="0" max="8254" min="8254" style="1" width="2.15"/>
    <col collapsed="false" customWidth="false" hidden="false" outlineLevel="0" max="8255" min="8255" style="1" width="0.71"/>
    <col collapsed="false" customWidth="true" hidden="false" outlineLevel="0" max="8256" min="8256" style="1" width="1.57"/>
    <col collapsed="false" customWidth="false" hidden="false" outlineLevel="0" max="8257" min="8257" style="1" width="0.71"/>
    <col collapsed="false" customWidth="true" hidden="false" outlineLevel="0" max="8258" min="8258" style="1" width="7"/>
    <col collapsed="false" customWidth="false" hidden="false" outlineLevel="0" max="8259" min="8259" style="1" width="0.71"/>
    <col collapsed="false" customWidth="true" hidden="false" outlineLevel="0" max="8260" min="8260" style="1" width="4"/>
    <col collapsed="false" customWidth="false" hidden="false" outlineLevel="0" max="8261" min="8261" style="1" width="0.71"/>
    <col collapsed="false" customWidth="true" hidden="false" outlineLevel="0" max="8262" min="8262" style="1" width="1.57"/>
    <col collapsed="false" customWidth="false" hidden="false" outlineLevel="0" max="8263" min="8263" style="1" width="0.71"/>
    <col collapsed="false" customWidth="true" hidden="false" outlineLevel="0" max="8264" min="8264" style="1" width="7"/>
    <col collapsed="false" customWidth="false" hidden="false" outlineLevel="0" max="8267" min="8265" style="1" width="0.71"/>
    <col collapsed="false" customWidth="true" hidden="false" outlineLevel="0" max="8268" min="8268" style="1" width="2.42"/>
    <col collapsed="false" customWidth="false" hidden="false" outlineLevel="0" max="8274" min="8269" style="1" width="0.71"/>
    <col collapsed="false" customWidth="true" hidden="false" outlineLevel="0" max="8275" min="8275" style="1" width="16.57"/>
    <col collapsed="false" customWidth="false" hidden="false" outlineLevel="0" max="8278" min="8276" style="1" width="0.71"/>
    <col collapsed="false" customWidth="true" hidden="false" outlineLevel="0" max="8279" min="8279" style="1" width="9.86"/>
    <col collapsed="false" customWidth="true" hidden="false" outlineLevel="0" max="8282" min="8280" style="1" width="9.29"/>
    <col collapsed="false" customWidth="false" hidden="false" outlineLevel="0" max="8495" min="8283" style="1" width="0.71"/>
    <col collapsed="false" customWidth="true" hidden="false" outlineLevel="0" max="8496" min="8496" style="1" width="3.42"/>
    <col collapsed="false" customWidth="true" hidden="false" outlineLevel="0" max="8497" min="8497" style="1" width="2.42"/>
    <col collapsed="false" customWidth="true" hidden="false" outlineLevel="0" max="8498" min="8498" style="1" width="7"/>
    <col collapsed="false" customWidth="false" hidden="false" outlineLevel="0" max="8499" min="8499" style="1" width="0.71"/>
    <col collapsed="false" customWidth="true" hidden="false" outlineLevel="0" max="8500" min="8500" style="1" width="1.57"/>
    <col collapsed="false" customWidth="false" hidden="false" outlineLevel="0" max="8501" min="8501" style="1" width="0.71"/>
    <col collapsed="false" customWidth="true" hidden="false" outlineLevel="0" max="8502" min="8502" style="1" width="11.29"/>
    <col collapsed="false" customWidth="false" hidden="false" outlineLevel="0" max="8503" min="8503" style="1" width="0.71"/>
    <col collapsed="false" customWidth="true" hidden="false" outlineLevel="0" max="8504" min="8504" style="1" width="1.57"/>
    <col collapsed="false" customWidth="false" hidden="false" outlineLevel="0" max="8509" min="8505" style="1" width="0.71"/>
    <col collapsed="false" customWidth="true" hidden="false" outlineLevel="0" max="8510" min="8510" style="1" width="2.15"/>
    <col collapsed="false" customWidth="false" hidden="false" outlineLevel="0" max="8511" min="8511" style="1" width="0.71"/>
    <col collapsed="false" customWidth="true" hidden="false" outlineLevel="0" max="8512" min="8512" style="1" width="1.57"/>
    <col collapsed="false" customWidth="false" hidden="false" outlineLevel="0" max="8513" min="8513" style="1" width="0.71"/>
    <col collapsed="false" customWidth="true" hidden="false" outlineLevel="0" max="8514" min="8514" style="1" width="7"/>
    <col collapsed="false" customWidth="false" hidden="false" outlineLevel="0" max="8515" min="8515" style="1" width="0.71"/>
    <col collapsed="false" customWidth="true" hidden="false" outlineLevel="0" max="8516" min="8516" style="1" width="4"/>
    <col collapsed="false" customWidth="false" hidden="false" outlineLevel="0" max="8517" min="8517" style="1" width="0.71"/>
    <col collapsed="false" customWidth="true" hidden="false" outlineLevel="0" max="8518" min="8518" style="1" width="1.57"/>
    <col collapsed="false" customWidth="false" hidden="false" outlineLevel="0" max="8519" min="8519" style="1" width="0.71"/>
    <col collapsed="false" customWidth="true" hidden="false" outlineLevel="0" max="8520" min="8520" style="1" width="7"/>
    <col collapsed="false" customWidth="false" hidden="false" outlineLevel="0" max="8523" min="8521" style="1" width="0.71"/>
    <col collapsed="false" customWidth="true" hidden="false" outlineLevel="0" max="8524" min="8524" style="1" width="2.42"/>
    <col collapsed="false" customWidth="false" hidden="false" outlineLevel="0" max="8530" min="8525" style="1" width="0.71"/>
    <col collapsed="false" customWidth="true" hidden="false" outlineLevel="0" max="8531" min="8531" style="1" width="16.57"/>
    <col collapsed="false" customWidth="false" hidden="false" outlineLevel="0" max="8534" min="8532" style="1" width="0.71"/>
    <col collapsed="false" customWidth="true" hidden="false" outlineLevel="0" max="8535" min="8535" style="1" width="9.86"/>
    <col collapsed="false" customWidth="true" hidden="false" outlineLevel="0" max="8538" min="8536" style="1" width="9.29"/>
    <col collapsed="false" customWidth="false" hidden="false" outlineLevel="0" max="8751" min="8539" style="1" width="0.71"/>
    <col collapsed="false" customWidth="true" hidden="false" outlineLevel="0" max="8752" min="8752" style="1" width="3.42"/>
    <col collapsed="false" customWidth="true" hidden="false" outlineLevel="0" max="8753" min="8753" style="1" width="2.42"/>
    <col collapsed="false" customWidth="true" hidden="false" outlineLevel="0" max="8754" min="8754" style="1" width="7"/>
    <col collapsed="false" customWidth="false" hidden="false" outlineLevel="0" max="8755" min="8755" style="1" width="0.71"/>
    <col collapsed="false" customWidth="true" hidden="false" outlineLevel="0" max="8756" min="8756" style="1" width="1.57"/>
    <col collapsed="false" customWidth="false" hidden="false" outlineLevel="0" max="8757" min="8757" style="1" width="0.71"/>
    <col collapsed="false" customWidth="true" hidden="false" outlineLevel="0" max="8758" min="8758" style="1" width="11.29"/>
    <col collapsed="false" customWidth="false" hidden="false" outlineLevel="0" max="8759" min="8759" style="1" width="0.71"/>
    <col collapsed="false" customWidth="true" hidden="false" outlineLevel="0" max="8760" min="8760" style="1" width="1.57"/>
    <col collapsed="false" customWidth="false" hidden="false" outlineLevel="0" max="8765" min="8761" style="1" width="0.71"/>
    <col collapsed="false" customWidth="true" hidden="false" outlineLevel="0" max="8766" min="8766" style="1" width="2.15"/>
    <col collapsed="false" customWidth="false" hidden="false" outlineLevel="0" max="8767" min="8767" style="1" width="0.71"/>
    <col collapsed="false" customWidth="true" hidden="false" outlineLevel="0" max="8768" min="8768" style="1" width="1.57"/>
    <col collapsed="false" customWidth="false" hidden="false" outlineLevel="0" max="8769" min="8769" style="1" width="0.71"/>
    <col collapsed="false" customWidth="true" hidden="false" outlineLevel="0" max="8770" min="8770" style="1" width="7"/>
    <col collapsed="false" customWidth="false" hidden="false" outlineLevel="0" max="8771" min="8771" style="1" width="0.71"/>
    <col collapsed="false" customWidth="true" hidden="false" outlineLevel="0" max="8772" min="8772" style="1" width="4"/>
    <col collapsed="false" customWidth="false" hidden="false" outlineLevel="0" max="8773" min="8773" style="1" width="0.71"/>
    <col collapsed="false" customWidth="true" hidden="false" outlineLevel="0" max="8774" min="8774" style="1" width="1.57"/>
    <col collapsed="false" customWidth="false" hidden="false" outlineLevel="0" max="8775" min="8775" style="1" width="0.71"/>
    <col collapsed="false" customWidth="true" hidden="false" outlineLevel="0" max="8776" min="8776" style="1" width="7"/>
    <col collapsed="false" customWidth="false" hidden="false" outlineLevel="0" max="8779" min="8777" style="1" width="0.71"/>
    <col collapsed="false" customWidth="true" hidden="false" outlineLevel="0" max="8780" min="8780" style="1" width="2.42"/>
    <col collapsed="false" customWidth="false" hidden="false" outlineLevel="0" max="8786" min="8781" style="1" width="0.71"/>
    <col collapsed="false" customWidth="true" hidden="false" outlineLevel="0" max="8787" min="8787" style="1" width="16.57"/>
    <col collapsed="false" customWidth="false" hidden="false" outlineLevel="0" max="8790" min="8788" style="1" width="0.71"/>
    <col collapsed="false" customWidth="true" hidden="false" outlineLevel="0" max="8791" min="8791" style="1" width="9.86"/>
    <col collapsed="false" customWidth="true" hidden="false" outlineLevel="0" max="8794" min="8792" style="1" width="9.29"/>
    <col collapsed="false" customWidth="false" hidden="false" outlineLevel="0" max="9007" min="8795" style="1" width="0.71"/>
    <col collapsed="false" customWidth="true" hidden="false" outlineLevel="0" max="9008" min="9008" style="1" width="3.42"/>
    <col collapsed="false" customWidth="true" hidden="false" outlineLevel="0" max="9009" min="9009" style="1" width="2.42"/>
    <col collapsed="false" customWidth="true" hidden="false" outlineLevel="0" max="9010" min="9010" style="1" width="7"/>
    <col collapsed="false" customWidth="false" hidden="false" outlineLevel="0" max="9011" min="9011" style="1" width="0.71"/>
    <col collapsed="false" customWidth="true" hidden="false" outlineLevel="0" max="9012" min="9012" style="1" width="1.57"/>
    <col collapsed="false" customWidth="false" hidden="false" outlineLevel="0" max="9013" min="9013" style="1" width="0.71"/>
    <col collapsed="false" customWidth="true" hidden="false" outlineLevel="0" max="9014" min="9014" style="1" width="11.29"/>
    <col collapsed="false" customWidth="false" hidden="false" outlineLevel="0" max="9015" min="9015" style="1" width="0.71"/>
    <col collapsed="false" customWidth="true" hidden="false" outlineLevel="0" max="9016" min="9016" style="1" width="1.57"/>
    <col collapsed="false" customWidth="false" hidden="false" outlineLevel="0" max="9021" min="9017" style="1" width="0.71"/>
    <col collapsed="false" customWidth="true" hidden="false" outlineLevel="0" max="9022" min="9022" style="1" width="2.15"/>
    <col collapsed="false" customWidth="false" hidden="false" outlineLevel="0" max="9023" min="9023" style="1" width="0.71"/>
    <col collapsed="false" customWidth="true" hidden="false" outlineLevel="0" max="9024" min="9024" style="1" width="1.57"/>
    <col collapsed="false" customWidth="false" hidden="false" outlineLevel="0" max="9025" min="9025" style="1" width="0.71"/>
    <col collapsed="false" customWidth="true" hidden="false" outlineLevel="0" max="9026" min="9026" style="1" width="7"/>
    <col collapsed="false" customWidth="false" hidden="false" outlineLevel="0" max="9027" min="9027" style="1" width="0.71"/>
    <col collapsed="false" customWidth="true" hidden="false" outlineLevel="0" max="9028" min="9028" style="1" width="4"/>
    <col collapsed="false" customWidth="false" hidden="false" outlineLevel="0" max="9029" min="9029" style="1" width="0.71"/>
    <col collapsed="false" customWidth="true" hidden="false" outlineLevel="0" max="9030" min="9030" style="1" width="1.57"/>
    <col collapsed="false" customWidth="false" hidden="false" outlineLevel="0" max="9031" min="9031" style="1" width="0.71"/>
    <col collapsed="false" customWidth="true" hidden="false" outlineLevel="0" max="9032" min="9032" style="1" width="7"/>
    <col collapsed="false" customWidth="false" hidden="false" outlineLevel="0" max="9035" min="9033" style="1" width="0.71"/>
    <col collapsed="false" customWidth="true" hidden="false" outlineLevel="0" max="9036" min="9036" style="1" width="2.42"/>
    <col collapsed="false" customWidth="false" hidden="false" outlineLevel="0" max="9042" min="9037" style="1" width="0.71"/>
    <col collapsed="false" customWidth="true" hidden="false" outlineLevel="0" max="9043" min="9043" style="1" width="16.57"/>
    <col collapsed="false" customWidth="false" hidden="false" outlineLevel="0" max="9046" min="9044" style="1" width="0.71"/>
    <col collapsed="false" customWidth="true" hidden="false" outlineLevel="0" max="9047" min="9047" style="1" width="9.86"/>
    <col collapsed="false" customWidth="true" hidden="false" outlineLevel="0" max="9050" min="9048" style="1" width="9.29"/>
    <col collapsed="false" customWidth="false" hidden="false" outlineLevel="0" max="9263" min="9051" style="1" width="0.71"/>
    <col collapsed="false" customWidth="true" hidden="false" outlineLevel="0" max="9264" min="9264" style="1" width="3.42"/>
    <col collapsed="false" customWidth="true" hidden="false" outlineLevel="0" max="9265" min="9265" style="1" width="2.42"/>
    <col collapsed="false" customWidth="true" hidden="false" outlineLevel="0" max="9266" min="9266" style="1" width="7"/>
    <col collapsed="false" customWidth="false" hidden="false" outlineLevel="0" max="9267" min="9267" style="1" width="0.71"/>
    <col collapsed="false" customWidth="true" hidden="false" outlineLevel="0" max="9268" min="9268" style="1" width="1.57"/>
    <col collapsed="false" customWidth="false" hidden="false" outlineLevel="0" max="9269" min="9269" style="1" width="0.71"/>
    <col collapsed="false" customWidth="true" hidden="false" outlineLevel="0" max="9270" min="9270" style="1" width="11.29"/>
    <col collapsed="false" customWidth="false" hidden="false" outlineLevel="0" max="9271" min="9271" style="1" width="0.71"/>
    <col collapsed="false" customWidth="true" hidden="false" outlineLevel="0" max="9272" min="9272" style="1" width="1.57"/>
    <col collapsed="false" customWidth="false" hidden="false" outlineLevel="0" max="9277" min="9273" style="1" width="0.71"/>
    <col collapsed="false" customWidth="true" hidden="false" outlineLevel="0" max="9278" min="9278" style="1" width="2.15"/>
    <col collapsed="false" customWidth="false" hidden="false" outlineLevel="0" max="9279" min="9279" style="1" width="0.71"/>
    <col collapsed="false" customWidth="true" hidden="false" outlineLevel="0" max="9280" min="9280" style="1" width="1.57"/>
    <col collapsed="false" customWidth="false" hidden="false" outlineLevel="0" max="9281" min="9281" style="1" width="0.71"/>
    <col collapsed="false" customWidth="true" hidden="false" outlineLevel="0" max="9282" min="9282" style="1" width="7"/>
    <col collapsed="false" customWidth="false" hidden="false" outlineLevel="0" max="9283" min="9283" style="1" width="0.71"/>
    <col collapsed="false" customWidth="true" hidden="false" outlineLevel="0" max="9284" min="9284" style="1" width="4"/>
    <col collapsed="false" customWidth="false" hidden="false" outlineLevel="0" max="9285" min="9285" style="1" width="0.71"/>
    <col collapsed="false" customWidth="true" hidden="false" outlineLevel="0" max="9286" min="9286" style="1" width="1.57"/>
    <col collapsed="false" customWidth="false" hidden="false" outlineLevel="0" max="9287" min="9287" style="1" width="0.71"/>
    <col collapsed="false" customWidth="true" hidden="false" outlineLevel="0" max="9288" min="9288" style="1" width="7"/>
    <col collapsed="false" customWidth="false" hidden="false" outlineLevel="0" max="9291" min="9289" style="1" width="0.71"/>
    <col collapsed="false" customWidth="true" hidden="false" outlineLevel="0" max="9292" min="9292" style="1" width="2.42"/>
    <col collapsed="false" customWidth="false" hidden="false" outlineLevel="0" max="9298" min="9293" style="1" width="0.71"/>
    <col collapsed="false" customWidth="true" hidden="false" outlineLevel="0" max="9299" min="9299" style="1" width="16.57"/>
    <col collapsed="false" customWidth="false" hidden="false" outlineLevel="0" max="9302" min="9300" style="1" width="0.71"/>
    <col collapsed="false" customWidth="true" hidden="false" outlineLevel="0" max="9303" min="9303" style="1" width="9.86"/>
    <col collapsed="false" customWidth="true" hidden="false" outlineLevel="0" max="9306" min="9304" style="1" width="9.29"/>
    <col collapsed="false" customWidth="false" hidden="false" outlineLevel="0" max="9519" min="9307" style="1" width="0.71"/>
    <col collapsed="false" customWidth="true" hidden="false" outlineLevel="0" max="9520" min="9520" style="1" width="3.42"/>
    <col collapsed="false" customWidth="true" hidden="false" outlineLevel="0" max="9521" min="9521" style="1" width="2.42"/>
    <col collapsed="false" customWidth="true" hidden="false" outlineLevel="0" max="9522" min="9522" style="1" width="7"/>
    <col collapsed="false" customWidth="false" hidden="false" outlineLevel="0" max="9523" min="9523" style="1" width="0.71"/>
    <col collapsed="false" customWidth="true" hidden="false" outlineLevel="0" max="9524" min="9524" style="1" width="1.57"/>
    <col collapsed="false" customWidth="false" hidden="false" outlineLevel="0" max="9525" min="9525" style="1" width="0.71"/>
    <col collapsed="false" customWidth="true" hidden="false" outlineLevel="0" max="9526" min="9526" style="1" width="11.29"/>
    <col collapsed="false" customWidth="false" hidden="false" outlineLevel="0" max="9527" min="9527" style="1" width="0.71"/>
    <col collapsed="false" customWidth="true" hidden="false" outlineLevel="0" max="9528" min="9528" style="1" width="1.57"/>
    <col collapsed="false" customWidth="false" hidden="false" outlineLevel="0" max="9533" min="9529" style="1" width="0.71"/>
    <col collapsed="false" customWidth="true" hidden="false" outlineLevel="0" max="9534" min="9534" style="1" width="2.15"/>
    <col collapsed="false" customWidth="false" hidden="false" outlineLevel="0" max="9535" min="9535" style="1" width="0.71"/>
    <col collapsed="false" customWidth="true" hidden="false" outlineLevel="0" max="9536" min="9536" style="1" width="1.57"/>
    <col collapsed="false" customWidth="false" hidden="false" outlineLevel="0" max="9537" min="9537" style="1" width="0.71"/>
    <col collapsed="false" customWidth="true" hidden="false" outlineLevel="0" max="9538" min="9538" style="1" width="7"/>
    <col collapsed="false" customWidth="false" hidden="false" outlineLevel="0" max="9539" min="9539" style="1" width="0.71"/>
    <col collapsed="false" customWidth="true" hidden="false" outlineLevel="0" max="9540" min="9540" style="1" width="4"/>
    <col collapsed="false" customWidth="false" hidden="false" outlineLevel="0" max="9541" min="9541" style="1" width="0.71"/>
    <col collapsed="false" customWidth="true" hidden="false" outlineLevel="0" max="9542" min="9542" style="1" width="1.57"/>
    <col collapsed="false" customWidth="false" hidden="false" outlineLevel="0" max="9543" min="9543" style="1" width="0.71"/>
    <col collapsed="false" customWidth="true" hidden="false" outlineLevel="0" max="9544" min="9544" style="1" width="7"/>
    <col collapsed="false" customWidth="false" hidden="false" outlineLevel="0" max="9547" min="9545" style="1" width="0.71"/>
    <col collapsed="false" customWidth="true" hidden="false" outlineLevel="0" max="9548" min="9548" style="1" width="2.42"/>
    <col collapsed="false" customWidth="false" hidden="false" outlineLevel="0" max="9554" min="9549" style="1" width="0.71"/>
    <col collapsed="false" customWidth="true" hidden="false" outlineLevel="0" max="9555" min="9555" style="1" width="16.57"/>
    <col collapsed="false" customWidth="false" hidden="false" outlineLevel="0" max="9558" min="9556" style="1" width="0.71"/>
    <col collapsed="false" customWidth="true" hidden="false" outlineLevel="0" max="9559" min="9559" style="1" width="9.86"/>
    <col collapsed="false" customWidth="true" hidden="false" outlineLevel="0" max="9562" min="9560" style="1" width="9.29"/>
    <col collapsed="false" customWidth="false" hidden="false" outlineLevel="0" max="9775" min="9563" style="1" width="0.71"/>
    <col collapsed="false" customWidth="true" hidden="false" outlineLevel="0" max="9776" min="9776" style="1" width="3.42"/>
    <col collapsed="false" customWidth="true" hidden="false" outlineLevel="0" max="9777" min="9777" style="1" width="2.42"/>
    <col collapsed="false" customWidth="true" hidden="false" outlineLevel="0" max="9778" min="9778" style="1" width="7"/>
    <col collapsed="false" customWidth="false" hidden="false" outlineLevel="0" max="9779" min="9779" style="1" width="0.71"/>
    <col collapsed="false" customWidth="true" hidden="false" outlineLevel="0" max="9780" min="9780" style="1" width="1.57"/>
    <col collapsed="false" customWidth="false" hidden="false" outlineLevel="0" max="9781" min="9781" style="1" width="0.71"/>
    <col collapsed="false" customWidth="true" hidden="false" outlineLevel="0" max="9782" min="9782" style="1" width="11.29"/>
    <col collapsed="false" customWidth="false" hidden="false" outlineLevel="0" max="9783" min="9783" style="1" width="0.71"/>
    <col collapsed="false" customWidth="true" hidden="false" outlineLevel="0" max="9784" min="9784" style="1" width="1.57"/>
    <col collapsed="false" customWidth="false" hidden="false" outlineLevel="0" max="9789" min="9785" style="1" width="0.71"/>
    <col collapsed="false" customWidth="true" hidden="false" outlineLevel="0" max="9790" min="9790" style="1" width="2.15"/>
    <col collapsed="false" customWidth="false" hidden="false" outlineLevel="0" max="9791" min="9791" style="1" width="0.71"/>
    <col collapsed="false" customWidth="true" hidden="false" outlineLevel="0" max="9792" min="9792" style="1" width="1.57"/>
    <col collapsed="false" customWidth="false" hidden="false" outlineLevel="0" max="9793" min="9793" style="1" width="0.71"/>
    <col collapsed="false" customWidth="true" hidden="false" outlineLevel="0" max="9794" min="9794" style="1" width="7"/>
    <col collapsed="false" customWidth="false" hidden="false" outlineLevel="0" max="9795" min="9795" style="1" width="0.71"/>
    <col collapsed="false" customWidth="true" hidden="false" outlineLevel="0" max="9796" min="9796" style="1" width="4"/>
    <col collapsed="false" customWidth="false" hidden="false" outlineLevel="0" max="9797" min="9797" style="1" width="0.71"/>
    <col collapsed="false" customWidth="true" hidden="false" outlineLevel="0" max="9798" min="9798" style="1" width="1.57"/>
    <col collapsed="false" customWidth="false" hidden="false" outlineLevel="0" max="9799" min="9799" style="1" width="0.71"/>
    <col collapsed="false" customWidth="true" hidden="false" outlineLevel="0" max="9800" min="9800" style="1" width="7"/>
    <col collapsed="false" customWidth="false" hidden="false" outlineLevel="0" max="9803" min="9801" style="1" width="0.71"/>
    <col collapsed="false" customWidth="true" hidden="false" outlineLevel="0" max="9804" min="9804" style="1" width="2.42"/>
    <col collapsed="false" customWidth="false" hidden="false" outlineLevel="0" max="9810" min="9805" style="1" width="0.71"/>
    <col collapsed="false" customWidth="true" hidden="false" outlineLevel="0" max="9811" min="9811" style="1" width="16.57"/>
    <col collapsed="false" customWidth="false" hidden="false" outlineLevel="0" max="9814" min="9812" style="1" width="0.71"/>
    <col collapsed="false" customWidth="true" hidden="false" outlineLevel="0" max="9815" min="9815" style="1" width="9.86"/>
    <col collapsed="false" customWidth="true" hidden="false" outlineLevel="0" max="9818" min="9816" style="1" width="9.29"/>
    <col collapsed="false" customWidth="false" hidden="false" outlineLevel="0" max="10031" min="9819" style="1" width="0.71"/>
    <col collapsed="false" customWidth="true" hidden="false" outlineLevel="0" max="10032" min="10032" style="1" width="3.42"/>
    <col collapsed="false" customWidth="true" hidden="false" outlineLevel="0" max="10033" min="10033" style="1" width="2.42"/>
    <col collapsed="false" customWidth="true" hidden="false" outlineLevel="0" max="10034" min="10034" style="1" width="7"/>
    <col collapsed="false" customWidth="false" hidden="false" outlineLevel="0" max="10035" min="10035" style="1" width="0.71"/>
    <col collapsed="false" customWidth="true" hidden="false" outlineLevel="0" max="10036" min="10036" style="1" width="1.57"/>
    <col collapsed="false" customWidth="false" hidden="false" outlineLevel="0" max="10037" min="10037" style="1" width="0.71"/>
    <col collapsed="false" customWidth="true" hidden="false" outlineLevel="0" max="10038" min="10038" style="1" width="11.29"/>
    <col collapsed="false" customWidth="false" hidden="false" outlineLevel="0" max="10039" min="10039" style="1" width="0.71"/>
    <col collapsed="false" customWidth="true" hidden="false" outlineLevel="0" max="10040" min="10040" style="1" width="1.57"/>
    <col collapsed="false" customWidth="false" hidden="false" outlineLevel="0" max="10045" min="10041" style="1" width="0.71"/>
    <col collapsed="false" customWidth="true" hidden="false" outlineLevel="0" max="10046" min="10046" style="1" width="2.15"/>
    <col collapsed="false" customWidth="false" hidden="false" outlineLevel="0" max="10047" min="10047" style="1" width="0.71"/>
    <col collapsed="false" customWidth="true" hidden="false" outlineLevel="0" max="10048" min="10048" style="1" width="1.57"/>
    <col collapsed="false" customWidth="false" hidden="false" outlineLevel="0" max="10049" min="10049" style="1" width="0.71"/>
    <col collapsed="false" customWidth="true" hidden="false" outlineLevel="0" max="10050" min="10050" style="1" width="7"/>
    <col collapsed="false" customWidth="false" hidden="false" outlineLevel="0" max="10051" min="10051" style="1" width="0.71"/>
    <col collapsed="false" customWidth="true" hidden="false" outlineLevel="0" max="10052" min="10052" style="1" width="4"/>
    <col collapsed="false" customWidth="false" hidden="false" outlineLevel="0" max="10053" min="10053" style="1" width="0.71"/>
    <col collapsed="false" customWidth="true" hidden="false" outlineLevel="0" max="10054" min="10054" style="1" width="1.57"/>
    <col collapsed="false" customWidth="false" hidden="false" outlineLevel="0" max="10055" min="10055" style="1" width="0.71"/>
    <col collapsed="false" customWidth="true" hidden="false" outlineLevel="0" max="10056" min="10056" style="1" width="7"/>
    <col collapsed="false" customWidth="false" hidden="false" outlineLevel="0" max="10059" min="10057" style="1" width="0.71"/>
    <col collapsed="false" customWidth="true" hidden="false" outlineLevel="0" max="10060" min="10060" style="1" width="2.42"/>
    <col collapsed="false" customWidth="false" hidden="false" outlineLevel="0" max="10066" min="10061" style="1" width="0.71"/>
    <col collapsed="false" customWidth="true" hidden="false" outlineLevel="0" max="10067" min="10067" style="1" width="16.57"/>
    <col collapsed="false" customWidth="false" hidden="false" outlineLevel="0" max="10070" min="10068" style="1" width="0.71"/>
    <col collapsed="false" customWidth="true" hidden="false" outlineLevel="0" max="10071" min="10071" style="1" width="9.86"/>
    <col collapsed="false" customWidth="true" hidden="false" outlineLevel="0" max="10074" min="10072" style="1" width="9.29"/>
    <col collapsed="false" customWidth="false" hidden="false" outlineLevel="0" max="10287" min="10075" style="1" width="0.71"/>
    <col collapsed="false" customWidth="true" hidden="false" outlineLevel="0" max="10288" min="10288" style="1" width="3.42"/>
    <col collapsed="false" customWidth="true" hidden="false" outlineLevel="0" max="10289" min="10289" style="1" width="2.42"/>
    <col collapsed="false" customWidth="true" hidden="false" outlineLevel="0" max="10290" min="10290" style="1" width="7"/>
    <col collapsed="false" customWidth="false" hidden="false" outlineLevel="0" max="10291" min="10291" style="1" width="0.71"/>
    <col collapsed="false" customWidth="true" hidden="false" outlineLevel="0" max="10292" min="10292" style="1" width="1.57"/>
    <col collapsed="false" customWidth="false" hidden="false" outlineLevel="0" max="10293" min="10293" style="1" width="0.71"/>
    <col collapsed="false" customWidth="true" hidden="false" outlineLevel="0" max="10294" min="10294" style="1" width="11.29"/>
    <col collapsed="false" customWidth="false" hidden="false" outlineLevel="0" max="10295" min="10295" style="1" width="0.71"/>
    <col collapsed="false" customWidth="true" hidden="false" outlineLevel="0" max="10296" min="10296" style="1" width="1.57"/>
    <col collapsed="false" customWidth="false" hidden="false" outlineLevel="0" max="10301" min="10297" style="1" width="0.71"/>
    <col collapsed="false" customWidth="true" hidden="false" outlineLevel="0" max="10302" min="10302" style="1" width="2.15"/>
    <col collapsed="false" customWidth="false" hidden="false" outlineLevel="0" max="10303" min="10303" style="1" width="0.71"/>
    <col collapsed="false" customWidth="true" hidden="false" outlineLevel="0" max="10304" min="10304" style="1" width="1.57"/>
    <col collapsed="false" customWidth="false" hidden="false" outlineLevel="0" max="10305" min="10305" style="1" width="0.71"/>
    <col collapsed="false" customWidth="true" hidden="false" outlineLevel="0" max="10306" min="10306" style="1" width="7"/>
    <col collapsed="false" customWidth="false" hidden="false" outlineLevel="0" max="10307" min="10307" style="1" width="0.71"/>
    <col collapsed="false" customWidth="true" hidden="false" outlineLevel="0" max="10308" min="10308" style="1" width="4"/>
    <col collapsed="false" customWidth="false" hidden="false" outlineLevel="0" max="10309" min="10309" style="1" width="0.71"/>
    <col collapsed="false" customWidth="true" hidden="false" outlineLevel="0" max="10310" min="10310" style="1" width="1.57"/>
    <col collapsed="false" customWidth="false" hidden="false" outlineLevel="0" max="10311" min="10311" style="1" width="0.71"/>
    <col collapsed="false" customWidth="true" hidden="false" outlineLevel="0" max="10312" min="10312" style="1" width="7"/>
    <col collapsed="false" customWidth="false" hidden="false" outlineLevel="0" max="10315" min="10313" style="1" width="0.71"/>
    <col collapsed="false" customWidth="true" hidden="false" outlineLevel="0" max="10316" min="10316" style="1" width="2.42"/>
    <col collapsed="false" customWidth="false" hidden="false" outlineLevel="0" max="10322" min="10317" style="1" width="0.71"/>
    <col collapsed="false" customWidth="true" hidden="false" outlineLevel="0" max="10323" min="10323" style="1" width="16.57"/>
    <col collapsed="false" customWidth="false" hidden="false" outlineLevel="0" max="10326" min="10324" style="1" width="0.71"/>
    <col collapsed="false" customWidth="true" hidden="false" outlineLevel="0" max="10327" min="10327" style="1" width="9.86"/>
    <col collapsed="false" customWidth="true" hidden="false" outlineLevel="0" max="10330" min="10328" style="1" width="9.29"/>
    <col collapsed="false" customWidth="false" hidden="false" outlineLevel="0" max="10543" min="10331" style="1" width="0.71"/>
    <col collapsed="false" customWidth="true" hidden="false" outlineLevel="0" max="10544" min="10544" style="1" width="3.42"/>
    <col collapsed="false" customWidth="true" hidden="false" outlineLevel="0" max="10545" min="10545" style="1" width="2.42"/>
    <col collapsed="false" customWidth="true" hidden="false" outlineLevel="0" max="10546" min="10546" style="1" width="7"/>
    <col collapsed="false" customWidth="false" hidden="false" outlineLevel="0" max="10547" min="10547" style="1" width="0.71"/>
    <col collapsed="false" customWidth="true" hidden="false" outlineLevel="0" max="10548" min="10548" style="1" width="1.57"/>
    <col collapsed="false" customWidth="false" hidden="false" outlineLevel="0" max="10549" min="10549" style="1" width="0.71"/>
    <col collapsed="false" customWidth="true" hidden="false" outlineLevel="0" max="10550" min="10550" style="1" width="11.29"/>
    <col collapsed="false" customWidth="false" hidden="false" outlineLevel="0" max="10551" min="10551" style="1" width="0.71"/>
    <col collapsed="false" customWidth="true" hidden="false" outlineLevel="0" max="10552" min="10552" style="1" width="1.57"/>
    <col collapsed="false" customWidth="false" hidden="false" outlineLevel="0" max="10557" min="10553" style="1" width="0.71"/>
    <col collapsed="false" customWidth="true" hidden="false" outlineLevel="0" max="10558" min="10558" style="1" width="2.15"/>
    <col collapsed="false" customWidth="false" hidden="false" outlineLevel="0" max="10559" min="10559" style="1" width="0.71"/>
    <col collapsed="false" customWidth="true" hidden="false" outlineLevel="0" max="10560" min="10560" style="1" width="1.57"/>
    <col collapsed="false" customWidth="false" hidden="false" outlineLevel="0" max="10561" min="10561" style="1" width="0.71"/>
    <col collapsed="false" customWidth="true" hidden="false" outlineLevel="0" max="10562" min="10562" style="1" width="7"/>
    <col collapsed="false" customWidth="false" hidden="false" outlineLevel="0" max="10563" min="10563" style="1" width="0.71"/>
    <col collapsed="false" customWidth="true" hidden="false" outlineLevel="0" max="10564" min="10564" style="1" width="4"/>
    <col collapsed="false" customWidth="false" hidden="false" outlineLevel="0" max="10565" min="10565" style="1" width="0.71"/>
    <col collapsed="false" customWidth="true" hidden="false" outlineLevel="0" max="10566" min="10566" style="1" width="1.57"/>
    <col collapsed="false" customWidth="false" hidden="false" outlineLevel="0" max="10567" min="10567" style="1" width="0.71"/>
    <col collapsed="false" customWidth="true" hidden="false" outlineLevel="0" max="10568" min="10568" style="1" width="7"/>
    <col collapsed="false" customWidth="false" hidden="false" outlineLevel="0" max="10571" min="10569" style="1" width="0.71"/>
    <col collapsed="false" customWidth="true" hidden="false" outlineLevel="0" max="10572" min="10572" style="1" width="2.42"/>
    <col collapsed="false" customWidth="false" hidden="false" outlineLevel="0" max="10578" min="10573" style="1" width="0.71"/>
    <col collapsed="false" customWidth="true" hidden="false" outlineLevel="0" max="10579" min="10579" style="1" width="16.57"/>
    <col collapsed="false" customWidth="false" hidden="false" outlineLevel="0" max="10582" min="10580" style="1" width="0.71"/>
    <col collapsed="false" customWidth="true" hidden="false" outlineLevel="0" max="10583" min="10583" style="1" width="9.86"/>
    <col collapsed="false" customWidth="true" hidden="false" outlineLevel="0" max="10586" min="10584" style="1" width="9.29"/>
    <col collapsed="false" customWidth="false" hidden="false" outlineLevel="0" max="10799" min="10587" style="1" width="0.71"/>
    <col collapsed="false" customWidth="true" hidden="false" outlineLevel="0" max="10800" min="10800" style="1" width="3.42"/>
    <col collapsed="false" customWidth="true" hidden="false" outlineLevel="0" max="10801" min="10801" style="1" width="2.42"/>
    <col collapsed="false" customWidth="true" hidden="false" outlineLevel="0" max="10802" min="10802" style="1" width="7"/>
    <col collapsed="false" customWidth="false" hidden="false" outlineLevel="0" max="10803" min="10803" style="1" width="0.71"/>
    <col collapsed="false" customWidth="true" hidden="false" outlineLevel="0" max="10804" min="10804" style="1" width="1.57"/>
    <col collapsed="false" customWidth="false" hidden="false" outlineLevel="0" max="10805" min="10805" style="1" width="0.71"/>
    <col collapsed="false" customWidth="true" hidden="false" outlineLevel="0" max="10806" min="10806" style="1" width="11.29"/>
    <col collapsed="false" customWidth="false" hidden="false" outlineLevel="0" max="10807" min="10807" style="1" width="0.71"/>
    <col collapsed="false" customWidth="true" hidden="false" outlineLevel="0" max="10808" min="10808" style="1" width="1.57"/>
    <col collapsed="false" customWidth="false" hidden="false" outlineLevel="0" max="10813" min="10809" style="1" width="0.71"/>
    <col collapsed="false" customWidth="true" hidden="false" outlineLevel="0" max="10814" min="10814" style="1" width="2.15"/>
    <col collapsed="false" customWidth="false" hidden="false" outlineLevel="0" max="10815" min="10815" style="1" width="0.71"/>
    <col collapsed="false" customWidth="true" hidden="false" outlineLevel="0" max="10816" min="10816" style="1" width="1.57"/>
    <col collapsed="false" customWidth="false" hidden="false" outlineLevel="0" max="10817" min="10817" style="1" width="0.71"/>
    <col collapsed="false" customWidth="true" hidden="false" outlineLevel="0" max="10818" min="10818" style="1" width="7"/>
    <col collapsed="false" customWidth="false" hidden="false" outlineLevel="0" max="10819" min="10819" style="1" width="0.71"/>
    <col collapsed="false" customWidth="true" hidden="false" outlineLevel="0" max="10820" min="10820" style="1" width="4"/>
    <col collapsed="false" customWidth="false" hidden="false" outlineLevel="0" max="10821" min="10821" style="1" width="0.71"/>
    <col collapsed="false" customWidth="true" hidden="false" outlineLevel="0" max="10822" min="10822" style="1" width="1.57"/>
    <col collapsed="false" customWidth="false" hidden="false" outlineLevel="0" max="10823" min="10823" style="1" width="0.71"/>
    <col collapsed="false" customWidth="true" hidden="false" outlineLevel="0" max="10824" min="10824" style="1" width="7"/>
    <col collapsed="false" customWidth="false" hidden="false" outlineLevel="0" max="10827" min="10825" style="1" width="0.71"/>
    <col collapsed="false" customWidth="true" hidden="false" outlineLevel="0" max="10828" min="10828" style="1" width="2.42"/>
    <col collapsed="false" customWidth="false" hidden="false" outlineLevel="0" max="10834" min="10829" style="1" width="0.71"/>
    <col collapsed="false" customWidth="true" hidden="false" outlineLevel="0" max="10835" min="10835" style="1" width="16.57"/>
    <col collapsed="false" customWidth="false" hidden="false" outlineLevel="0" max="10838" min="10836" style="1" width="0.71"/>
    <col collapsed="false" customWidth="true" hidden="false" outlineLevel="0" max="10839" min="10839" style="1" width="9.86"/>
    <col collapsed="false" customWidth="true" hidden="false" outlineLevel="0" max="10842" min="10840" style="1" width="9.29"/>
    <col collapsed="false" customWidth="false" hidden="false" outlineLevel="0" max="11055" min="10843" style="1" width="0.71"/>
    <col collapsed="false" customWidth="true" hidden="false" outlineLevel="0" max="11056" min="11056" style="1" width="3.42"/>
    <col collapsed="false" customWidth="true" hidden="false" outlineLevel="0" max="11057" min="11057" style="1" width="2.42"/>
    <col collapsed="false" customWidth="true" hidden="false" outlineLevel="0" max="11058" min="11058" style="1" width="7"/>
    <col collapsed="false" customWidth="false" hidden="false" outlineLevel="0" max="11059" min="11059" style="1" width="0.71"/>
    <col collapsed="false" customWidth="true" hidden="false" outlineLevel="0" max="11060" min="11060" style="1" width="1.57"/>
    <col collapsed="false" customWidth="false" hidden="false" outlineLevel="0" max="11061" min="11061" style="1" width="0.71"/>
    <col collapsed="false" customWidth="true" hidden="false" outlineLevel="0" max="11062" min="11062" style="1" width="11.29"/>
    <col collapsed="false" customWidth="false" hidden="false" outlineLevel="0" max="11063" min="11063" style="1" width="0.71"/>
    <col collapsed="false" customWidth="true" hidden="false" outlineLevel="0" max="11064" min="11064" style="1" width="1.57"/>
    <col collapsed="false" customWidth="false" hidden="false" outlineLevel="0" max="11069" min="11065" style="1" width="0.71"/>
    <col collapsed="false" customWidth="true" hidden="false" outlineLevel="0" max="11070" min="11070" style="1" width="2.15"/>
    <col collapsed="false" customWidth="false" hidden="false" outlineLevel="0" max="11071" min="11071" style="1" width="0.71"/>
    <col collapsed="false" customWidth="true" hidden="false" outlineLevel="0" max="11072" min="11072" style="1" width="1.57"/>
    <col collapsed="false" customWidth="false" hidden="false" outlineLevel="0" max="11073" min="11073" style="1" width="0.71"/>
    <col collapsed="false" customWidth="true" hidden="false" outlineLevel="0" max="11074" min="11074" style="1" width="7"/>
    <col collapsed="false" customWidth="false" hidden="false" outlineLevel="0" max="11075" min="11075" style="1" width="0.71"/>
    <col collapsed="false" customWidth="true" hidden="false" outlineLevel="0" max="11076" min="11076" style="1" width="4"/>
    <col collapsed="false" customWidth="false" hidden="false" outlineLevel="0" max="11077" min="11077" style="1" width="0.71"/>
    <col collapsed="false" customWidth="true" hidden="false" outlineLevel="0" max="11078" min="11078" style="1" width="1.57"/>
    <col collapsed="false" customWidth="false" hidden="false" outlineLevel="0" max="11079" min="11079" style="1" width="0.71"/>
    <col collapsed="false" customWidth="true" hidden="false" outlineLevel="0" max="11080" min="11080" style="1" width="7"/>
    <col collapsed="false" customWidth="false" hidden="false" outlineLevel="0" max="11083" min="11081" style="1" width="0.71"/>
    <col collapsed="false" customWidth="true" hidden="false" outlineLevel="0" max="11084" min="11084" style="1" width="2.42"/>
    <col collapsed="false" customWidth="false" hidden="false" outlineLevel="0" max="11090" min="11085" style="1" width="0.71"/>
    <col collapsed="false" customWidth="true" hidden="false" outlineLevel="0" max="11091" min="11091" style="1" width="16.57"/>
    <col collapsed="false" customWidth="false" hidden="false" outlineLevel="0" max="11094" min="11092" style="1" width="0.71"/>
    <col collapsed="false" customWidth="true" hidden="false" outlineLevel="0" max="11095" min="11095" style="1" width="9.86"/>
    <col collapsed="false" customWidth="true" hidden="false" outlineLevel="0" max="11098" min="11096" style="1" width="9.29"/>
    <col collapsed="false" customWidth="false" hidden="false" outlineLevel="0" max="11311" min="11099" style="1" width="0.71"/>
    <col collapsed="false" customWidth="true" hidden="false" outlineLevel="0" max="11312" min="11312" style="1" width="3.42"/>
    <col collapsed="false" customWidth="true" hidden="false" outlineLevel="0" max="11313" min="11313" style="1" width="2.42"/>
    <col collapsed="false" customWidth="true" hidden="false" outlineLevel="0" max="11314" min="11314" style="1" width="7"/>
    <col collapsed="false" customWidth="false" hidden="false" outlineLevel="0" max="11315" min="11315" style="1" width="0.71"/>
    <col collapsed="false" customWidth="true" hidden="false" outlineLevel="0" max="11316" min="11316" style="1" width="1.57"/>
    <col collapsed="false" customWidth="false" hidden="false" outlineLevel="0" max="11317" min="11317" style="1" width="0.71"/>
    <col collapsed="false" customWidth="true" hidden="false" outlineLevel="0" max="11318" min="11318" style="1" width="11.29"/>
    <col collapsed="false" customWidth="false" hidden="false" outlineLevel="0" max="11319" min="11319" style="1" width="0.71"/>
    <col collapsed="false" customWidth="true" hidden="false" outlineLevel="0" max="11320" min="11320" style="1" width="1.57"/>
    <col collapsed="false" customWidth="false" hidden="false" outlineLevel="0" max="11325" min="11321" style="1" width="0.71"/>
    <col collapsed="false" customWidth="true" hidden="false" outlineLevel="0" max="11326" min="11326" style="1" width="2.15"/>
    <col collapsed="false" customWidth="false" hidden="false" outlineLevel="0" max="11327" min="11327" style="1" width="0.71"/>
    <col collapsed="false" customWidth="true" hidden="false" outlineLevel="0" max="11328" min="11328" style="1" width="1.57"/>
    <col collapsed="false" customWidth="false" hidden="false" outlineLevel="0" max="11329" min="11329" style="1" width="0.71"/>
    <col collapsed="false" customWidth="true" hidden="false" outlineLevel="0" max="11330" min="11330" style="1" width="7"/>
    <col collapsed="false" customWidth="false" hidden="false" outlineLevel="0" max="11331" min="11331" style="1" width="0.71"/>
    <col collapsed="false" customWidth="true" hidden="false" outlineLevel="0" max="11332" min="11332" style="1" width="4"/>
    <col collapsed="false" customWidth="false" hidden="false" outlineLevel="0" max="11333" min="11333" style="1" width="0.71"/>
    <col collapsed="false" customWidth="true" hidden="false" outlineLevel="0" max="11334" min="11334" style="1" width="1.57"/>
    <col collapsed="false" customWidth="false" hidden="false" outlineLevel="0" max="11335" min="11335" style="1" width="0.71"/>
    <col collapsed="false" customWidth="true" hidden="false" outlineLevel="0" max="11336" min="11336" style="1" width="7"/>
    <col collapsed="false" customWidth="false" hidden="false" outlineLevel="0" max="11339" min="11337" style="1" width="0.71"/>
    <col collapsed="false" customWidth="true" hidden="false" outlineLevel="0" max="11340" min="11340" style="1" width="2.42"/>
    <col collapsed="false" customWidth="false" hidden="false" outlineLevel="0" max="11346" min="11341" style="1" width="0.71"/>
    <col collapsed="false" customWidth="true" hidden="false" outlineLevel="0" max="11347" min="11347" style="1" width="16.57"/>
    <col collapsed="false" customWidth="false" hidden="false" outlineLevel="0" max="11350" min="11348" style="1" width="0.71"/>
    <col collapsed="false" customWidth="true" hidden="false" outlineLevel="0" max="11351" min="11351" style="1" width="9.86"/>
    <col collapsed="false" customWidth="true" hidden="false" outlineLevel="0" max="11354" min="11352" style="1" width="9.29"/>
    <col collapsed="false" customWidth="false" hidden="false" outlineLevel="0" max="11567" min="11355" style="1" width="0.71"/>
    <col collapsed="false" customWidth="true" hidden="false" outlineLevel="0" max="11568" min="11568" style="1" width="3.42"/>
    <col collapsed="false" customWidth="true" hidden="false" outlineLevel="0" max="11569" min="11569" style="1" width="2.42"/>
    <col collapsed="false" customWidth="true" hidden="false" outlineLevel="0" max="11570" min="11570" style="1" width="7"/>
    <col collapsed="false" customWidth="false" hidden="false" outlineLevel="0" max="11571" min="11571" style="1" width="0.71"/>
    <col collapsed="false" customWidth="true" hidden="false" outlineLevel="0" max="11572" min="11572" style="1" width="1.57"/>
    <col collapsed="false" customWidth="false" hidden="false" outlineLevel="0" max="11573" min="11573" style="1" width="0.71"/>
    <col collapsed="false" customWidth="true" hidden="false" outlineLevel="0" max="11574" min="11574" style="1" width="11.29"/>
    <col collapsed="false" customWidth="false" hidden="false" outlineLevel="0" max="11575" min="11575" style="1" width="0.71"/>
    <col collapsed="false" customWidth="true" hidden="false" outlineLevel="0" max="11576" min="11576" style="1" width="1.57"/>
    <col collapsed="false" customWidth="false" hidden="false" outlineLevel="0" max="11581" min="11577" style="1" width="0.71"/>
    <col collapsed="false" customWidth="true" hidden="false" outlineLevel="0" max="11582" min="11582" style="1" width="2.15"/>
    <col collapsed="false" customWidth="false" hidden="false" outlineLevel="0" max="11583" min="11583" style="1" width="0.71"/>
    <col collapsed="false" customWidth="true" hidden="false" outlineLevel="0" max="11584" min="11584" style="1" width="1.57"/>
    <col collapsed="false" customWidth="false" hidden="false" outlineLevel="0" max="11585" min="11585" style="1" width="0.71"/>
    <col collapsed="false" customWidth="true" hidden="false" outlineLevel="0" max="11586" min="11586" style="1" width="7"/>
    <col collapsed="false" customWidth="false" hidden="false" outlineLevel="0" max="11587" min="11587" style="1" width="0.71"/>
    <col collapsed="false" customWidth="true" hidden="false" outlineLevel="0" max="11588" min="11588" style="1" width="4"/>
    <col collapsed="false" customWidth="false" hidden="false" outlineLevel="0" max="11589" min="11589" style="1" width="0.71"/>
    <col collapsed="false" customWidth="true" hidden="false" outlineLevel="0" max="11590" min="11590" style="1" width="1.57"/>
    <col collapsed="false" customWidth="false" hidden="false" outlineLevel="0" max="11591" min="11591" style="1" width="0.71"/>
    <col collapsed="false" customWidth="true" hidden="false" outlineLevel="0" max="11592" min="11592" style="1" width="7"/>
    <col collapsed="false" customWidth="false" hidden="false" outlineLevel="0" max="11595" min="11593" style="1" width="0.71"/>
    <col collapsed="false" customWidth="true" hidden="false" outlineLevel="0" max="11596" min="11596" style="1" width="2.42"/>
    <col collapsed="false" customWidth="false" hidden="false" outlineLevel="0" max="11602" min="11597" style="1" width="0.71"/>
    <col collapsed="false" customWidth="true" hidden="false" outlineLevel="0" max="11603" min="11603" style="1" width="16.57"/>
    <col collapsed="false" customWidth="false" hidden="false" outlineLevel="0" max="11606" min="11604" style="1" width="0.71"/>
    <col collapsed="false" customWidth="true" hidden="false" outlineLevel="0" max="11607" min="11607" style="1" width="9.86"/>
    <col collapsed="false" customWidth="true" hidden="false" outlineLevel="0" max="11610" min="11608" style="1" width="9.29"/>
    <col collapsed="false" customWidth="false" hidden="false" outlineLevel="0" max="11823" min="11611" style="1" width="0.71"/>
    <col collapsed="false" customWidth="true" hidden="false" outlineLevel="0" max="11824" min="11824" style="1" width="3.42"/>
    <col collapsed="false" customWidth="true" hidden="false" outlineLevel="0" max="11825" min="11825" style="1" width="2.42"/>
    <col collapsed="false" customWidth="true" hidden="false" outlineLevel="0" max="11826" min="11826" style="1" width="7"/>
    <col collapsed="false" customWidth="false" hidden="false" outlineLevel="0" max="11827" min="11827" style="1" width="0.71"/>
    <col collapsed="false" customWidth="true" hidden="false" outlineLevel="0" max="11828" min="11828" style="1" width="1.57"/>
    <col collapsed="false" customWidth="false" hidden="false" outlineLevel="0" max="11829" min="11829" style="1" width="0.71"/>
    <col collapsed="false" customWidth="true" hidden="false" outlineLevel="0" max="11830" min="11830" style="1" width="11.29"/>
    <col collapsed="false" customWidth="false" hidden="false" outlineLevel="0" max="11831" min="11831" style="1" width="0.71"/>
    <col collapsed="false" customWidth="true" hidden="false" outlineLevel="0" max="11832" min="11832" style="1" width="1.57"/>
    <col collapsed="false" customWidth="false" hidden="false" outlineLevel="0" max="11837" min="11833" style="1" width="0.71"/>
    <col collapsed="false" customWidth="true" hidden="false" outlineLevel="0" max="11838" min="11838" style="1" width="2.15"/>
    <col collapsed="false" customWidth="false" hidden="false" outlineLevel="0" max="11839" min="11839" style="1" width="0.71"/>
    <col collapsed="false" customWidth="true" hidden="false" outlineLevel="0" max="11840" min="11840" style="1" width="1.57"/>
    <col collapsed="false" customWidth="false" hidden="false" outlineLevel="0" max="11841" min="11841" style="1" width="0.71"/>
    <col collapsed="false" customWidth="true" hidden="false" outlineLevel="0" max="11842" min="11842" style="1" width="7"/>
    <col collapsed="false" customWidth="false" hidden="false" outlineLevel="0" max="11843" min="11843" style="1" width="0.71"/>
    <col collapsed="false" customWidth="true" hidden="false" outlineLevel="0" max="11844" min="11844" style="1" width="4"/>
    <col collapsed="false" customWidth="false" hidden="false" outlineLevel="0" max="11845" min="11845" style="1" width="0.71"/>
    <col collapsed="false" customWidth="true" hidden="false" outlineLevel="0" max="11846" min="11846" style="1" width="1.57"/>
    <col collapsed="false" customWidth="false" hidden="false" outlineLevel="0" max="11847" min="11847" style="1" width="0.71"/>
    <col collapsed="false" customWidth="true" hidden="false" outlineLevel="0" max="11848" min="11848" style="1" width="7"/>
    <col collapsed="false" customWidth="false" hidden="false" outlineLevel="0" max="11851" min="11849" style="1" width="0.71"/>
    <col collapsed="false" customWidth="true" hidden="false" outlineLevel="0" max="11852" min="11852" style="1" width="2.42"/>
    <col collapsed="false" customWidth="false" hidden="false" outlineLevel="0" max="11858" min="11853" style="1" width="0.71"/>
    <col collapsed="false" customWidth="true" hidden="false" outlineLevel="0" max="11859" min="11859" style="1" width="16.57"/>
    <col collapsed="false" customWidth="false" hidden="false" outlineLevel="0" max="11862" min="11860" style="1" width="0.71"/>
    <col collapsed="false" customWidth="true" hidden="false" outlineLevel="0" max="11863" min="11863" style="1" width="9.86"/>
    <col collapsed="false" customWidth="true" hidden="false" outlineLevel="0" max="11866" min="11864" style="1" width="9.29"/>
    <col collapsed="false" customWidth="false" hidden="false" outlineLevel="0" max="12079" min="11867" style="1" width="0.71"/>
    <col collapsed="false" customWidth="true" hidden="false" outlineLevel="0" max="12080" min="12080" style="1" width="3.42"/>
    <col collapsed="false" customWidth="true" hidden="false" outlineLevel="0" max="12081" min="12081" style="1" width="2.42"/>
    <col collapsed="false" customWidth="true" hidden="false" outlineLevel="0" max="12082" min="12082" style="1" width="7"/>
    <col collapsed="false" customWidth="false" hidden="false" outlineLevel="0" max="12083" min="12083" style="1" width="0.71"/>
    <col collapsed="false" customWidth="true" hidden="false" outlineLevel="0" max="12084" min="12084" style="1" width="1.57"/>
    <col collapsed="false" customWidth="false" hidden="false" outlineLevel="0" max="12085" min="12085" style="1" width="0.71"/>
    <col collapsed="false" customWidth="true" hidden="false" outlineLevel="0" max="12086" min="12086" style="1" width="11.29"/>
    <col collapsed="false" customWidth="false" hidden="false" outlineLevel="0" max="12087" min="12087" style="1" width="0.71"/>
    <col collapsed="false" customWidth="true" hidden="false" outlineLevel="0" max="12088" min="12088" style="1" width="1.57"/>
    <col collapsed="false" customWidth="false" hidden="false" outlineLevel="0" max="12093" min="12089" style="1" width="0.71"/>
    <col collapsed="false" customWidth="true" hidden="false" outlineLevel="0" max="12094" min="12094" style="1" width="2.15"/>
    <col collapsed="false" customWidth="false" hidden="false" outlineLevel="0" max="12095" min="12095" style="1" width="0.71"/>
    <col collapsed="false" customWidth="true" hidden="false" outlineLevel="0" max="12096" min="12096" style="1" width="1.57"/>
    <col collapsed="false" customWidth="false" hidden="false" outlineLevel="0" max="12097" min="12097" style="1" width="0.71"/>
    <col collapsed="false" customWidth="true" hidden="false" outlineLevel="0" max="12098" min="12098" style="1" width="7"/>
    <col collapsed="false" customWidth="false" hidden="false" outlineLevel="0" max="12099" min="12099" style="1" width="0.71"/>
    <col collapsed="false" customWidth="true" hidden="false" outlineLevel="0" max="12100" min="12100" style="1" width="4"/>
    <col collapsed="false" customWidth="false" hidden="false" outlineLevel="0" max="12101" min="12101" style="1" width="0.71"/>
    <col collapsed="false" customWidth="true" hidden="false" outlineLevel="0" max="12102" min="12102" style="1" width="1.57"/>
    <col collapsed="false" customWidth="false" hidden="false" outlineLevel="0" max="12103" min="12103" style="1" width="0.71"/>
    <col collapsed="false" customWidth="true" hidden="false" outlineLevel="0" max="12104" min="12104" style="1" width="7"/>
    <col collapsed="false" customWidth="false" hidden="false" outlineLevel="0" max="12107" min="12105" style="1" width="0.71"/>
    <col collapsed="false" customWidth="true" hidden="false" outlineLevel="0" max="12108" min="12108" style="1" width="2.42"/>
    <col collapsed="false" customWidth="false" hidden="false" outlineLevel="0" max="12114" min="12109" style="1" width="0.71"/>
    <col collapsed="false" customWidth="true" hidden="false" outlineLevel="0" max="12115" min="12115" style="1" width="16.57"/>
    <col collapsed="false" customWidth="false" hidden="false" outlineLevel="0" max="12118" min="12116" style="1" width="0.71"/>
    <col collapsed="false" customWidth="true" hidden="false" outlineLevel="0" max="12119" min="12119" style="1" width="9.86"/>
    <col collapsed="false" customWidth="true" hidden="false" outlineLevel="0" max="12122" min="12120" style="1" width="9.29"/>
    <col collapsed="false" customWidth="false" hidden="false" outlineLevel="0" max="12335" min="12123" style="1" width="0.71"/>
    <col collapsed="false" customWidth="true" hidden="false" outlineLevel="0" max="12336" min="12336" style="1" width="3.42"/>
    <col collapsed="false" customWidth="true" hidden="false" outlineLevel="0" max="12337" min="12337" style="1" width="2.42"/>
    <col collapsed="false" customWidth="true" hidden="false" outlineLevel="0" max="12338" min="12338" style="1" width="7"/>
    <col collapsed="false" customWidth="false" hidden="false" outlineLevel="0" max="12339" min="12339" style="1" width="0.71"/>
    <col collapsed="false" customWidth="true" hidden="false" outlineLevel="0" max="12340" min="12340" style="1" width="1.57"/>
    <col collapsed="false" customWidth="false" hidden="false" outlineLevel="0" max="12341" min="12341" style="1" width="0.71"/>
    <col collapsed="false" customWidth="true" hidden="false" outlineLevel="0" max="12342" min="12342" style="1" width="11.29"/>
    <col collapsed="false" customWidth="false" hidden="false" outlineLevel="0" max="12343" min="12343" style="1" width="0.71"/>
    <col collapsed="false" customWidth="true" hidden="false" outlineLevel="0" max="12344" min="12344" style="1" width="1.57"/>
    <col collapsed="false" customWidth="false" hidden="false" outlineLevel="0" max="12349" min="12345" style="1" width="0.71"/>
    <col collapsed="false" customWidth="true" hidden="false" outlineLevel="0" max="12350" min="12350" style="1" width="2.15"/>
    <col collapsed="false" customWidth="false" hidden="false" outlineLevel="0" max="12351" min="12351" style="1" width="0.71"/>
    <col collapsed="false" customWidth="true" hidden="false" outlineLevel="0" max="12352" min="12352" style="1" width="1.57"/>
    <col collapsed="false" customWidth="false" hidden="false" outlineLevel="0" max="12353" min="12353" style="1" width="0.71"/>
    <col collapsed="false" customWidth="true" hidden="false" outlineLevel="0" max="12354" min="12354" style="1" width="7"/>
    <col collapsed="false" customWidth="false" hidden="false" outlineLevel="0" max="12355" min="12355" style="1" width="0.71"/>
    <col collapsed="false" customWidth="true" hidden="false" outlineLevel="0" max="12356" min="12356" style="1" width="4"/>
    <col collapsed="false" customWidth="false" hidden="false" outlineLevel="0" max="12357" min="12357" style="1" width="0.71"/>
    <col collapsed="false" customWidth="true" hidden="false" outlineLevel="0" max="12358" min="12358" style="1" width="1.57"/>
    <col collapsed="false" customWidth="false" hidden="false" outlineLevel="0" max="12359" min="12359" style="1" width="0.71"/>
    <col collapsed="false" customWidth="true" hidden="false" outlineLevel="0" max="12360" min="12360" style="1" width="7"/>
    <col collapsed="false" customWidth="false" hidden="false" outlineLevel="0" max="12363" min="12361" style="1" width="0.71"/>
    <col collapsed="false" customWidth="true" hidden="false" outlineLevel="0" max="12364" min="12364" style="1" width="2.42"/>
    <col collapsed="false" customWidth="false" hidden="false" outlineLevel="0" max="12370" min="12365" style="1" width="0.71"/>
    <col collapsed="false" customWidth="true" hidden="false" outlineLevel="0" max="12371" min="12371" style="1" width="16.57"/>
    <col collapsed="false" customWidth="false" hidden="false" outlineLevel="0" max="12374" min="12372" style="1" width="0.71"/>
    <col collapsed="false" customWidth="true" hidden="false" outlineLevel="0" max="12375" min="12375" style="1" width="9.86"/>
    <col collapsed="false" customWidth="true" hidden="false" outlineLevel="0" max="12378" min="12376" style="1" width="9.29"/>
    <col collapsed="false" customWidth="false" hidden="false" outlineLevel="0" max="12591" min="12379" style="1" width="0.71"/>
    <col collapsed="false" customWidth="true" hidden="false" outlineLevel="0" max="12592" min="12592" style="1" width="3.42"/>
    <col collapsed="false" customWidth="true" hidden="false" outlineLevel="0" max="12593" min="12593" style="1" width="2.42"/>
    <col collapsed="false" customWidth="true" hidden="false" outlineLevel="0" max="12594" min="12594" style="1" width="7"/>
    <col collapsed="false" customWidth="false" hidden="false" outlineLevel="0" max="12595" min="12595" style="1" width="0.71"/>
    <col collapsed="false" customWidth="true" hidden="false" outlineLevel="0" max="12596" min="12596" style="1" width="1.57"/>
    <col collapsed="false" customWidth="false" hidden="false" outlineLevel="0" max="12597" min="12597" style="1" width="0.71"/>
    <col collapsed="false" customWidth="true" hidden="false" outlineLevel="0" max="12598" min="12598" style="1" width="11.29"/>
    <col collapsed="false" customWidth="false" hidden="false" outlineLevel="0" max="12599" min="12599" style="1" width="0.71"/>
    <col collapsed="false" customWidth="true" hidden="false" outlineLevel="0" max="12600" min="12600" style="1" width="1.57"/>
    <col collapsed="false" customWidth="false" hidden="false" outlineLevel="0" max="12605" min="12601" style="1" width="0.71"/>
    <col collapsed="false" customWidth="true" hidden="false" outlineLevel="0" max="12606" min="12606" style="1" width="2.15"/>
    <col collapsed="false" customWidth="false" hidden="false" outlineLevel="0" max="12607" min="12607" style="1" width="0.71"/>
    <col collapsed="false" customWidth="true" hidden="false" outlineLevel="0" max="12608" min="12608" style="1" width="1.57"/>
    <col collapsed="false" customWidth="false" hidden="false" outlineLevel="0" max="12609" min="12609" style="1" width="0.71"/>
    <col collapsed="false" customWidth="true" hidden="false" outlineLevel="0" max="12610" min="12610" style="1" width="7"/>
    <col collapsed="false" customWidth="false" hidden="false" outlineLevel="0" max="12611" min="12611" style="1" width="0.71"/>
    <col collapsed="false" customWidth="true" hidden="false" outlineLevel="0" max="12612" min="12612" style="1" width="4"/>
    <col collapsed="false" customWidth="false" hidden="false" outlineLevel="0" max="12613" min="12613" style="1" width="0.71"/>
    <col collapsed="false" customWidth="true" hidden="false" outlineLevel="0" max="12614" min="12614" style="1" width="1.57"/>
    <col collapsed="false" customWidth="false" hidden="false" outlineLevel="0" max="12615" min="12615" style="1" width="0.71"/>
    <col collapsed="false" customWidth="true" hidden="false" outlineLevel="0" max="12616" min="12616" style="1" width="7"/>
    <col collapsed="false" customWidth="false" hidden="false" outlineLevel="0" max="12619" min="12617" style="1" width="0.71"/>
    <col collapsed="false" customWidth="true" hidden="false" outlineLevel="0" max="12620" min="12620" style="1" width="2.42"/>
    <col collapsed="false" customWidth="false" hidden="false" outlineLevel="0" max="12626" min="12621" style="1" width="0.71"/>
    <col collapsed="false" customWidth="true" hidden="false" outlineLevel="0" max="12627" min="12627" style="1" width="16.57"/>
    <col collapsed="false" customWidth="false" hidden="false" outlineLevel="0" max="12630" min="12628" style="1" width="0.71"/>
    <col collapsed="false" customWidth="true" hidden="false" outlineLevel="0" max="12631" min="12631" style="1" width="9.86"/>
    <col collapsed="false" customWidth="true" hidden="false" outlineLevel="0" max="12634" min="12632" style="1" width="9.29"/>
    <col collapsed="false" customWidth="false" hidden="false" outlineLevel="0" max="12847" min="12635" style="1" width="0.71"/>
    <col collapsed="false" customWidth="true" hidden="false" outlineLevel="0" max="12848" min="12848" style="1" width="3.42"/>
    <col collapsed="false" customWidth="true" hidden="false" outlineLevel="0" max="12849" min="12849" style="1" width="2.42"/>
    <col collapsed="false" customWidth="true" hidden="false" outlineLevel="0" max="12850" min="12850" style="1" width="7"/>
    <col collapsed="false" customWidth="false" hidden="false" outlineLevel="0" max="12851" min="12851" style="1" width="0.71"/>
    <col collapsed="false" customWidth="true" hidden="false" outlineLevel="0" max="12852" min="12852" style="1" width="1.57"/>
    <col collapsed="false" customWidth="false" hidden="false" outlineLevel="0" max="12853" min="12853" style="1" width="0.71"/>
    <col collapsed="false" customWidth="true" hidden="false" outlineLevel="0" max="12854" min="12854" style="1" width="11.29"/>
    <col collapsed="false" customWidth="false" hidden="false" outlineLevel="0" max="12855" min="12855" style="1" width="0.71"/>
    <col collapsed="false" customWidth="true" hidden="false" outlineLevel="0" max="12856" min="12856" style="1" width="1.57"/>
    <col collapsed="false" customWidth="false" hidden="false" outlineLevel="0" max="12861" min="12857" style="1" width="0.71"/>
    <col collapsed="false" customWidth="true" hidden="false" outlineLevel="0" max="12862" min="12862" style="1" width="2.15"/>
    <col collapsed="false" customWidth="false" hidden="false" outlineLevel="0" max="12863" min="12863" style="1" width="0.71"/>
    <col collapsed="false" customWidth="true" hidden="false" outlineLevel="0" max="12864" min="12864" style="1" width="1.57"/>
    <col collapsed="false" customWidth="false" hidden="false" outlineLevel="0" max="12865" min="12865" style="1" width="0.71"/>
    <col collapsed="false" customWidth="true" hidden="false" outlineLevel="0" max="12866" min="12866" style="1" width="7"/>
    <col collapsed="false" customWidth="false" hidden="false" outlineLevel="0" max="12867" min="12867" style="1" width="0.71"/>
    <col collapsed="false" customWidth="true" hidden="false" outlineLevel="0" max="12868" min="12868" style="1" width="4"/>
    <col collapsed="false" customWidth="false" hidden="false" outlineLevel="0" max="12869" min="12869" style="1" width="0.71"/>
    <col collapsed="false" customWidth="true" hidden="false" outlineLevel="0" max="12870" min="12870" style="1" width="1.57"/>
    <col collapsed="false" customWidth="false" hidden="false" outlineLevel="0" max="12871" min="12871" style="1" width="0.71"/>
    <col collapsed="false" customWidth="true" hidden="false" outlineLevel="0" max="12872" min="12872" style="1" width="7"/>
    <col collapsed="false" customWidth="false" hidden="false" outlineLevel="0" max="12875" min="12873" style="1" width="0.71"/>
    <col collapsed="false" customWidth="true" hidden="false" outlineLevel="0" max="12876" min="12876" style="1" width="2.42"/>
    <col collapsed="false" customWidth="false" hidden="false" outlineLevel="0" max="12882" min="12877" style="1" width="0.71"/>
    <col collapsed="false" customWidth="true" hidden="false" outlineLevel="0" max="12883" min="12883" style="1" width="16.57"/>
    <col collapsed="false" customWidth="false" hidden="false" outlineLevel="0" max="12886" min="12884" style="1" width="0.71"/>
    <col collapsed="false" customWidth="true" hidden="false" outlineLevel="0" max="12887" min="12887" style="1" width="9.86"/>
    <col collapsed="false" customWidth="true" hidden="false" outlineLevel="0" max="12890" min="12888" style="1" width="9.29"/>
    <col collapsed="false" customWidth="false" hidden="false" outlineLevel="0" max="13103" min="12891" style="1" width="0.71"/>
    <col collapsed="false" customWidth="true" hidden="false" outlineLevel="0" max="13104" min="13104" style="1" width="3.42"/>
    <col collapsed="false" customWidth="true" hidden="false" outlineLevel="0" max="13105" min="13105" style="1" width="2.42"/>
    <col collapsed="false" customWidth="true" hidden="false" outlineLevel="0" max="13106" min="13106" style="1" width="7"/>
    <col collapsed="false" customWidth="false" hidden="false" outlineLevel="0" max="13107" min="13107" style="1" width="0.71"/>
    <col collapsed="false" customWidth="true" hidden="false" outlineLevel="0" max="13108" min="13108" style="1" width="1.57"/>
    <col collapsed="false" customWidth="false" hidden="false" outlineLevel="0" max="13109" min="13109" style="1" width="0.71"/>
    <col collapsed="false" customWidth="true" hidden="false" outlineLevel="0" max="13110" min="13110" style="1" width="11.29"/>
    <col collapsed="false" customWidth="false" hidden="false" outlineLevel="0" max="13111" min="13111" style="1" width="0.71"/>
    <col collapsed="false" customWidth="true" hidden="false" outlineLevel="0" max="13112" min="13112" style="1" width="1.57"/>
    <col collapsed="false" customWidth="false" hidden="false" outlineLevel="0" max="13117" min="13113" style="1" width="0.71"/>
    <col collapsed="false" customWidth="true" hidden="false" outlineLevel="0" max="13118" min="13118" style="1" width="2.15"/>
    <col collapsed="false" customWidth="false" hidden="false" outlineLevel="0" max="13119" min="13119" style="1" width="0.71"/>
    <col collapsed="false" customWidth="true" hidden="false" outlineLevel="0" max="13120" min="13120" style="1" width="1.57"/>
    <col collapsed="false" customWidth="false" hidden="false" outlineLevel="0" max="13121" min="13121" style="1" width="0.71"/>
    <col collapsed="false" customWidth="true" hidden="false" outlineLevel="0" max="13122" min="13122" style="1" width="7"/>
    <col collapsed="false" customWidth="false" hidden="false" outlineLevel="0" max="13123" min="13123" style="1" width="0.71"/>
    <col collapsed="false" customWidth="true" hidden="false" outlineLevel="0" max="13124" min="13124" style="1" width="4"/>
    <col collapsed="false" customWidth="false" hidden="false" outlineLevel="0" max="13125" min="13125" style="1" width="0.71"/>
    <col collapsed="false" customWidth="true" hidden="false" outlineLevel="0" max="13126" min="13126" style="1" width="1.57"/>
    <col collapsed="false" customWidth="false" hidden="false" outlineLevel="0" max="13127" min="13127" style="1" width="0.71"/>
    <col collapsed="false" customWidth="true" hidden="false" outlineLevel="0" max="13128" min="13128" style="1" width="7"/>
    <col collapsed="false" customWidth="false" hidden="false" outlineLevel="0" max="13131" min="13129" style="1" width="0.71"/>
    <col collapsed="false" customWidth="true" hidden="false" outlineLevel="0" max="13132" min="13132" style="1" width="2.42"/>
    <col collapsed="false" customWidth="false" hidden="false" outlineLevel="0" max="13138" min="13133" style="1" width="0.71"/>
    <col collapsed="false" customWidth="true" hidden="false" outlineLevel="0" max="13139" min="13139" style="1" width="16.57"/>
    <col collapsed="false" customWidth="false" hidden="false" outlineLevel="0" max="13142" min="13140" style="1" width="0.71"/>
    <col collapsed="false" customWidth="true" hidden="false" outlineLevel="0" max="13143" min="13143" style="1" width="9.86"/>
    <col collapsed="false" customWidth="true" hidden="false" outlineLevel="0" max="13146" min="13144" style="1" width="9.29"/>
    <col collapsed="false" customWidth="false" hidden="false" outlineLevel="0" max="13359" min="13147" style="1" width="0.71"/>
    <col collapsed="false" customWidth="true" hidden="false" outlineLevel="0" max="13360" min="13360" style="1" width="3.42"/>
    <col collapsed="false" customWidth="true" hidden="false" outlineLevel="0" max="13361" min="13361" style="1" width="2.42"/>
    <col collapsed="false" customWidth="true" hidden="false" outlineLevel="0" max="13362" min="13362" style="1" width="7"/>
    <col collapsed="false" customWidth="false" hidden="false" outlineLevel="0" max="13363" min="13363" style="1" width="0.71"/>
    <col collapsed="false" customWidth="true" hidden="false" outlineLevel="0" max="13364" min="13364" style="1" width="1.57"/>
    <col collapsed="false" customWidth="false" hidden="false" outlineLevel="0" max="13365" min="13365" style="1" width="0.71"/>
    <col collapsed="false" customWidth="true" hidden="false" outlineLevel="0" max="13366" min="13366" style="1" width="11.29"/>
    <col collapsed="false" customWidth="false" hidden="false" outlineLevel="0" max="13367" min="13367" style="1" width="0.71"/>
    <col collapsed="false" customWidth="true" hidden="false" outlineLevel="0" max="13368" min="13368" style="1" width="1.57"/>
    <col collapsed="false" customWidth="false" hidden="false" outlineLevel="0" max="13373" min="13369" style="1" width="0.71"/>
    <col collapsed="false" customWidth="true" hidden="false" outlineLevel="0" max="13374" min="13374" style="1" width="2.15"/>
    <col collapsed="false" customWidth="false" hidden="false" outlineLevel="0" max="13375" min="13375" style="1" width="0.71"/>
    <col collapsed="false" customWidth="true" hidden="false" outlineLevel="0" max="13376" min="13376" style="1" width="1.57"/>
    <col collapsed="false" customWidth="false" hidden="false" outlineLevel="0" max="13377" min="13377" style="1" width="0.71"/>
    <col collapsed="false" customWidth="true" hidden="false" outlineLevel="0" max="13378" min="13378" style="1" width="7"/>
    <col collapsed="false" customWidth="false" hidden="false" outlineLevel="0" max="13379" min="13379" style="1" width="0.71"/>
    <col collapsed="false" customWidth="true" hidden="false" outlineLevel="0" max="13380" min="13380" style="1" width="4"/>
    <col collapsed="false" customWidth="false" hidden="false" outlineLevel="0" max="13381" min="13381" style="1" width="0.71"/>
    <col collapsed="false" customWidth="true" hidden="false" outlineLevel="0" max="13382" min="13382" style="1" width="1.57"/>
    <col collapsed="false" customWidth="false" hidden="false" outlineLevel="0" max="13383" min="13383" style="1" width="0.71"/>
    <col collapsed="false" customWidth="true" hidden="false" outlineLevel="0" max="13384" min="13384" style="1" width="7"/>
    <col collapsed="false" customWidth="false" hidden="false" outlineLevel="0" max="13387" min="13385" style="1" width="0.71"/>
    <col collapsed="false" customWidth="true" hidden="false" outlineLevel="0" max="13388" min="13388" style="1" width="2.42"/>
    <col collapsed="false" customWidth="false" hidden="false" outlineLevel="0" max="13394" min="13389" style="1" width="0.71"/>
    <col collapsed="false" customWidth="true" hidden="false" outlineLevel="0" max="13395" min="13395" style="1" width="16.57"/>
    <col collapsed="false" customWidth="false" hidden="false" outlineLevel="0" max="13398" min="13396" style="1" width="0.71"/>
    <col collapsed="false" customWidth="true" hidden="false" outlineLevel="0" max="13399" min="13399" style="1" width="9.86"/>
    <col collapsed="false" customWidth="true" hidden="false" outlineLevel="0" max="13402" min="13400" style="1" width="9.29"/>
    <col collapsed="false" customWidth="false" hidden="false" outlineLevel="0" max="13615" min="13403" style="1" width="0.71"/>
    <col collapsed="false" customWidth="true" hidden="false" outlineLevel="0" max="13616" min="13616" style="1" width="3.42"/>
    <col collapsed="false" customWidth="true" hidden="false" outlineLevel="0" max="13617" min="13617" style="1" width="2.42"/>
    <col collapsed="false" customWidth="true" hidden="false" outlineLevel="0" max="13618" min="13618" style="1" width="7"/>
    <col collapsed="false" customWidth="false" hidden="false" outlineLevel="0" max="13619" min="13619" style="1" width="0.71"/>
    <col collapsed="false" customWidth="true" hidden="false" outlineLevel="0" max="13620" min="13620" style="1" width="1.57"/>
    <col collapsed="false" customWidth="false" hidden="false" outlineLevel="0" max="13621" min="13621" style="1" width="0.71"/>
    <col collapsed="false" customWidth="true" hidden="false" outlineLevel="0" max="13622" min="13622" style="1" width="11.29"/>
    <col collapsed="false" customWidth="false" hidden="false" outlineLevel="0" max="13623" min="13623" style="1" width="0.71"/>
    <col collapsed="false" customWidth="true" hidden="false" outlineLevel="0" max="13624" min="13624" style="1" width="1.57"/>
    <col collapsed="false" customWidth="false" hidden="false" outlineLevel="0" max="13629" min="13625" style="1" width="0.71"/>
    <col collapsed="false" customWidth="true" hidden="false" outlineLevel="0" max="13630" min="13630" style="1" width="2.15"/>
    <col collapsed="false" customWidth="false" hidden="false" outlineLevel="0" max="13631" min="13631" style="1" width="0.71"/>
    <col collapsed="false" customWidth="true" hidden="false" outlineLevel="0" max="13632" min="13632" style="1" width="1.57"/>
    <col collapsed="false" customWidth="false" hidden="false" outlineLevel="0" max="13633" min="13633" style="1" width="0.71"/>
    <col collapsed="false" customWidth="true" hidden="false" outlineLevel="0" max="13634" min="13634" style="1" width="7"/>
    <col collapsed="false" customWidth="false" hidden="false" outlineLevel="0" max="13635" min="13635" style="1" width="0.71"/>
    <col collapsed="false" customWidth="true" hidden="false" outlineLevel="0" max="13636" min="13636" style="1" width="4"/>
    <col collapsed="false" customWidth="false" hidden="false" outlineLevel="0" max="13637" min="13637" style="1" width="0.71"/>
    <col collapsed="false" customWidth="true" hidden="false" outlineLevel="0" max="13638" min="13638" style="1" width="1.57"/>
    <col collapsed="false" customWidth="false" hidden="false" outlineLevel="0" max="13639" min="13639" style="1" width="0.71"/>
    <col collapsed="false" customWidth="true" hidden="false" outlineLevel="0" max="13640" min="13640" style="1" width="7"/>
    <col collapsed="false" customWidth="false" hidden="false" outlineLevel="0" max="13643" min="13641" style="1" width="0.71"/>
    <col collapsed="false" customWidth="true" hidden="false" outlineLevel="0" max="13644" min="13644" style="1" width="2.42"/>
    <col collapsed="false" customWidth="false" hidden="false" outlineLevel="0" max="13650" min="13645" style="1" width="0.71"/>
    <col collapsed="false" customWidth="true" hidden="false" outlineLevel="0" max="13651" min="13651" style="1" width="16.57"/>
    <col collapsed="false" customWidth="false" hidden="false" outlineLevel="0" max="13654" min="13652" style="1" width="0.71"/>
    <col collapsed="false" customWidth="true" hidden="false" outlineLevel="0" max="13655" min="13655" style="1" width="9.86"/>
    <col collapsed="false" customWidth="true" hidden="false" outlineLevel="0" max="13658" min="13656" style="1" width="9.29"/>
    <col collapsed="false" customWidth="false" hidden="false" outlineLevel="0" max="13871" min="13659" style="1" width="0.71"/>
    <col collapsed="false" customWidth="true" hidden="false" outlineLevel="0" max="13872" min="13872" style="1" width="3.42"/>
    <col collapsed="false" customWidth="true" hidden="false" outlineLevel="0" max="13873" min="13873" style="1" width="2.42"/>
    <col collapsed="false" customWidth="true" hidden="false" outlineLevel="0" max="13874" min="13874" style="1" width="7"/>
    <col collapsed="false" customWidth="false" hidden="false" outlineLevel="0" max="13875" min="13875" style="1" width="0.71"/>
    <col collapsed="false" customWidth="true" hidden="false" outlineLevel="0" max="13876" min="13876" style="1" width="1.57"/>
    <col collapsed="false" customWidth="false" hidden="false" outlineLevel="0" max="13877" min="13877" style="1" width="0.71"/>
    <col collapsed="false" customWidth="true" hidden="false" outlineLevel="0" max="13878" min="13878" style="1" width="11.29"/>
    <col collapsed="false" customWidth="false" hidden="false" outlineLevel="0" max="13879" min="13879" style="1" width="0.71"/>
    <col collapsed="false" customWidth="true" hidden="false" outlineLevel="0" max="13880" min="13880" style="1" width="1.57"/>
    <col collapsed="false" customWidth="false" hidden="false" outlineLevel="0" max="13885" min="13881" style="1" width="0.71"/>
    <col collapsed="false" customWidth="true" hidden="false" outlineLevel="0" max="13886" min="13886" style="1" width="2.15"/>
    <col collapsed="false" customWidth="false" hidden="false" outlineLevel="0" max="13887" min="13887" style="1" width="0.71"/>
    <col collapsed="false" customWidth="true" hidden="false" outlineLevel="0" max="13888" min="13888" style="1" width="1.57"/>
    <col collapsed="false" customWidth="false" hidden="false" outlineLevel="0" max="13889" min="13889" style="1" width="0.71"/>
    <col collapsed="false" customWidth="true" hidden="false" outlineLevel="0" max="13890" min="13890" style="1" width="7"/>
    <col collapsed="false" customWidth="false" hidden="false" outlineLevel="0" max="13891" min="13891" style="1" width="0.71"/>
    <col collapsed="false" customWidth="true" hidden="false" outlineLevel="0" max="13892" min="13892" style="1" width="4"/>
    <col collapsed="false" customWidth="false" hidden="false" outlineLevel="0" max="13893" min="13893" style="1" width="0.71"/>
    <col collapsed="false" customWidth="true" hidden="false" outlineLevel="0" max="13894" min="13894" style="1" width="1.57"/>
    <col collapsed="false" customWidth="false" hidden="false" outlineLevel="0" max="13895" min="13895" style="1" width="0.71"/>
    <col collapsed="false" customWidth="true" hidden="false" outlineLevel="0" max="13896" min="13896" style="1" width="7"/>
    <col collapsed="false" customWidth="false" hidden="false" outlineLevel="0" max="13899" min="13897" style="1" width="0.71"/>
    <col collapsed="false" customWidth="true" hidden="false" outlineLevel="0" max="13900" min="13900" style="1" width="2.42"/>
    <col collapsed="false" customWidth="false" hidden="false" outlineLevel="0" max="13906" min="13901" style="1" width="0.71"/>
    <col collapsed="false" customWidth="true" hidden="false" outlineLevel="0" max="13907" min="13907" style="1" width="16.57"/>
    <col collapsed="false" customWidth="false" hidden="false" outlineLevel="0" max="13910" min="13908" style="1" width="0.71"/>
    <col collapsed="false" customWidth="true" hidden="false" outlineLevel="0" max="13911" min="13911" style="1" width="9.86"/>
    <col collapsed="false" customWidth="true" hidden="false" outlineLevel="0" max="13914" min="13912" style="1" width="9.29"/>
    <col collapsed="false" customWidth="false" hidden="false" outlineLevel="0" max="14127" min="13915" style="1" width="0.71"/>
    <col collapsed="false" customWidth="true" hidden="false" outlineLevel="0" max="14128" min="14128" style="1" width="3.42"/>
    <col collapsed="false" customWidth="true" hidden="false" outlineLevel="0" max="14129" min="14129" style="1" width="2.42"/>
    <col collapsed="false" customWidth="true" hidden="false" outlineLevel="0" max="14130" min="14130" style="1" width="7"/>
    <col collapsed="false" customWidth="false" hidden="false" outlineLevel="0" max="14131" min="14131" style="1" width="0.71"/>
    <col collapsed="false" customWidth="true" hidden="false" outlineLevel="0" max="14132" min="14132" style="1" width="1.57"/>
    <col collapsed="false" customWidth="false" hidden="false" outlineLevel="0" max="14133" min="14133" style="1" width="0.71"/>
    <col collapsed="false" customWidth="true" hidden="false" outlineLevel="0" max="14134" min="14134" style="1" width="11.29"/>
    <col collapsed="false" customWidth="false" hidden="false" outlineLevel="0" max="14135" min="14135" style="1" width="0.71"/>
    <col collapsed="false" customWidth="true" hidden="false" outlineLevel="0" max="14136" min="14136" style="1" width="1.57"/>
    <col collapsed="false" customWidth="false" hidden="false" outlineLevel="0" max="14141" min="14137" style="1" width="0.71"/>
    <col collapsed="false" customWidth="true" hidden="false" outlineLevel="0" max="14142" min="14142" style="1" width="2.15"/>
    <col collapsed="false" customWidth="false" hidden="false" outlineLevel="0" max="14143" min="14143" style="1" width="0.71"/>
    <col collapsed="false" customWidth="true" hidden="false" outlineLevel="0" max="14144" min="14144" style="1" width="1.57"/>
    <col collapsed="false" customWidth="false" hidden="false" outlineLevel="0" max="14145" min="14145" style="1" width="0.71"/>
    <col collapsed="false" customWidth="true" hidden="false" outlineLevel="0" max="14146" min="14146" style="1" width="7"/>
    <col collapsed="false" customWidth="false" hidden="false" outlineLevel="0" max="14147" min="14147" style="1" width="0.71"/>
    <col collapsed="false" customWidth="true" hidden="false" outlineLevel="0" max="14148" min="14148" style="1" width="4"/>
    <col collapsed="false" customWidth="false" hidden="false" outlineLevel="0" max="14149" min="14149" style="1" width="0.71"/>
    <col collapsed="false" customWidth="true" hidden="false" outlineLevel="0" max="14150" min="14150" style="1" width="1.57"/>
    <col collapsed="false" customWidth="false" hidden="false" outlineLevel="0" max="14151" min="14151" style="1" width="0.71"/>
    <col collapsed="false" customWidth="true" hidden="false" outlineLevel="0" max="14152" min="14152" style="1" width="7"/>
    <col collapsed="false" customWidth="false" hidden="false" outlineLevel="0" max="14155" min="14153" style="1" width="0.71"/>
    <col collapsed="false" customWidth="true" hidden="false" outlineLevel="0" max="14156" min="14156" style="1" width="2.42"/>
    <col collapsed="false" customWidth="false" hidden="false" outlineLevel="0" max="14162" min="14157" style="1" width="0.71"/>
    <col collapsed="false" customWidth="true" hidden="false" outlineLevel="0" max="14163" min="14163" style="1" width="16.57"/>
    <col collapsed="false" customWidth="false" hidden="false" outlineLevel="0" max="14166" min="14164" style="1" width="0.71"/>
    <col collapsed="false" customWidth="true" hidden="false" outlineLevel="0" max="14167" min="14167" style="1" width="9.86"/>
    <col collapsed="false" customWidth="true" hidden="false" outlineLevel="0" max="14170" min="14168" style="1" width="9.29"/>
    <col collapsed="false" customWidth="false" hidden="false" outlineLevel="0" max="14383" min="14171" style="1" width="0.71"/>
    <col collapsed="false" customWidth="true" hidden="false" outlineLevel="0" max="14384" min="14384" style="1" width="3.42"/>
    <col collapsed="false" customWidth="true" hidden="false" outlineLevel="0" max="14385" min="14385" style="1" width="2.42"/>
    <col collapsed="false" customWidth="true" hidden="false" outlineLevel="0" max="14386" min="14386" style="1" width="7"/>
    <col collapsed="false" customWidth="false" hidden="false" outlineLevel="0" max="14387" min="14387" style="1" width="0.71"/>
    <col collapsed="false" customWidth="true" hidden="false" outlineLevel="0" max="14388" min="14388" style="1" width="1.57"/>
    <col collapsed="false" customWidth="false" hidden="false" outlineLevel="0" max="14389" min="14389" style="1" width="0.71"/>
    <col collapsed="false" customWidth="true" hidden="false" outlineLevel="0" max="14390" min="14390" style="1" width="11.29"/>
    <col collapsed="false" customWidth="false" hidden="false" outlineLevel="0" max="14391" min="14391" style="1" width="0.71"/>
    <col collapsed="false" customWidth="true" hidden="false" outlineLevel="0" max="14392" min="14392" style="1" width="1.57"/>
    <col collapsed="false" customWidth="false" hidden="false" outlineLevel="0" max="14397" min="14393" style="1" width="0.71"/>
    <col collapsed="false" customWidth="true" hidden="false" outlineLevel="0" max="14398" min="14398" style="1" width="2.15"/>
    <col collapsed="false" customWidth="false" hidden="false" outlineLevel="0" max="14399" min="14399" style="1" width="0.71"/>
    <col collapsed="false" customWidth="true" hidden="false" outlineLevel="0" max="14400" min="14400" style="1" width="1.57"/>
    <col collapsed="false" customWidth="false" hidden="false" outlineLevel="0" max="14401" min="14401" style="1" width="0.71"/>
    <col collapsed="false" customWidth="true" hidden="false" outlineLevel="0" max="14402" min="14402" style="1" width="7"/>
    <col collapsed="false" customWidth="false" hidden="false" outlineLevel="0" max="14403" min="14403" style="1" width="0.71"/>
    <col collapsed="false" customWidth="true" hidden="false" outlineLevel="0" max="14404" min="14404" style="1" width="4"/>
    <col collapsed="false" customWidth="false" hidden="false" outlineLevel="0" max="14405" min="14405" style="1" width="0.71"/>
    <col collapsed="false" customWidth="true" hidden="false" outlineLevel="0" max="14406" min="14406" style="1" width="1.57"/>
    <col collapsed="false" customWidth="false" hidden="false" outlineLevel="0" max="14407" min="14407" style="1" width="0.71"/>
    <col collapsed="false" customWidth="true" hidden="false" outlineLevel="0" max="14408" min="14408" style="1" width="7"/>
    <col collapsed="false" customWidth="false" hidden="false" outlineLevel="0" max="14411" min="14409" style="1" width="0.71"/>
    <col collapsed="false" customWidth="true" hidden="false" outlineLevel="0" max="14412" min="14412" style="1" width="2.42"/>
    <col collapsed="false" customWidth="false" hidden="false" outlineLevel="0" max="14418" min="14413" style="1" width="0.71"/>
    <col collapsed="false" customWidth="true" hidden="false" outlineLevel="0" max="14419" min="14419" style="1" width="16.57"/>
    <col collapsed="false" customWidth="false" hidden="false" outlineLevel="0" max="14422" min="14420" style="1" width="0.71"/>
    <col collapsed="false" customWidth="true" hidden="false" outlineLevel="0" max="14423" min="14423" style="1" width="9.86"/>
    <col collapsed="false" customWidth="true" hidden="false" outlineLevel="0" max="14426" min="14424" style="1" width="9.29"/>
    <col collapsed="false" customWidth="false" hidden="false" outlineLevel="0" max="14639" min="14427" style="1" width="0.71"/>
    <col collapsed="false" customWidth="true" hidden="false" outlineLevel="0" max="14640" min="14640" style="1" width="3.42"/>
    <col collapsed="false" customWidth="true" hidden="false" outlineLevel="0" max="14641" min="14641" style="1" width="2.42"/>
    <col collapsed="false" customWidth="true" hidden="false" outlineLevel="0" max="14642" min="14642" style="1" width="7"/>
    <col collapsed="false" customWidth="false" hidden="false" outlineLevel="0" max="14643" min="14643" style="1" width="0.71"/>
    <col collapsed="false" customWidth="true" hidden="false" outlineLevel="0" max="14644" min="14644" style="1" width="1.57"/>
    <col collapsed="false" customWidth="false" hidden="false" outlineLevel="0" max="14645" min="14645" style="1" width="0.71"/>
    <col collapsed="false" customWidth="true" hidden="false" outlineLevel="0" max="14646" min="14646" style="1" width="11.29"/>
    <col collapsed="false" customWidth="false" hidden="false" outlineLevel="0" max="14647" min="14647" style="1" width="0.71"/>
    <col collapsed="false" customWidth="true" hidden="false" outlineLevel="0" max="14648" min="14648" style="1" width="1.57"/>
    <col collapsed="false" customWidth="false" hidden="false" outlineLevel="0" max="14653" min="14649" style="1" width="0.71"/>
    <col collapsed="false" customWidth="true" hidden="false" outlineLevel="0" max="14654" min="14654" style="1" width="2.15"/>
    <col collapsed="false" customWidth="false" hidden="false" outlineLevel="0" max="14655" min="14655" style="1" width="0.71"/>
    <col collapsed="false" customWidth="true" hidden="false" outlineLevel="0" max="14656" min="14656" style="1" width="1.57"/>
    <col collapsed="false" customWidth="false" hidden="false" outlineLevel="0" max="14657" min="14657" style="1" width="0.71"/>
    <col collapsed="false" customWidth="true" hidden="false" outlineLevel="0" max="14658" min="14658" style="1" width="7"/>
    <col collapsed="false" customWidth="false" hidden="false" outlineLevel="0" max="14659" min="14659" style="1" width="0.71"/>
    <col collapsed="false" customWidth="true" hidden="false" outlineLevel="0" max="14660" min="14660" style="1" width="4"/>
    <col collapsed="false" customWidth="false" hidden="false" outlineLevel="0" max="14661" min="14661" style="1" width="0.71"/>
    <col collapsed="false" customWidth="true" hidden="false" outlineLevel="0" max="14662" min="14662" style="1" width="1.57"/>
    <col collapsed="false" customWidth="false" hidden="false" outlineLevel="0" max="14663" min="14663" style="1" width="0.71"/>
    <col collapsed="false" customWidth="true" hidden="false" outlineLevel="0" max="14664" min="14664" style="1" width="7"/>
    <col collapsed="false" customWidth="false" hidden="false" outlineLevel="0" max="14667" min="14665" style="1" width="0.71"/>
    <col collapsed="false" customWidth="true" hidden="false" outlineLevel="0" max="14668" min="14668" style="1" width="2.42"/>
    <col collapsed="false" customWidth="false" hidden="false" outlineLevel="0" max="14674" min="14669" style="1" width="0.71"/>
    <col collapsed="false" customWidth="true" hidden="false" outlineLevel="0" max="14675" min="14675" style="1" width="16.57"/>
    <col collapsed="false" customWidth="false" hidden="false" outlineLevel="0" max="14678" min="14676" style="1" width="0.71"/>
    <col collapsed="false" customWidth="true" hidden="false" outlineLevel="0" max="14679" min="14679" style="1" width="9.86"/>
    <col collapsed="false" customWidth="true" hidden="false" outlineLevel="0" max="14682" min="14680" style="1" width="9.29"/>
    <col collapsed="false" customWidth="false" hidden="false" outlineLevel="0" max="14895" min="14683" style="1" width="0.71"/>
    <col collapsed="false" customWidth="true" hidden="false" outlineLevel="0" max="14896" min="14896" style="1" width="3.42"/>
    <col collapsed="false" customWidth="true" hidden="false" outlineLevel="0" max="14897" min="14897" style="1" width="2.42"/>
    <col collapsed="false" customWidth="true" hidden="false" outlineLevel="0" max="14898" min="14898" style="1" width="7"/>
    <col collapsed="false" customWidth="false" hidden="false" outlineLevel="0" max="14899" min="14899" style="1" width="0.71"/>
    <col collapsed="false" customWidth="true" hidden="false" outlineLevel="0" max="14900" min="14900" style="1" width="1.57"/>
    <col collapsed="false" customWidth="false" hidden="false" outlineLevel="0" max="14901" min="14901" style="1" width="0.71"/>
    <col collapsed="false" customWidth="true" hidden="false" outlineLevel="0" max="14902" min="14902" style="1" width="11.29"/>
    <col collapsed="false" customWidth="false" hidden="false" outlineLevel="0" max="14903" min="14903" style="1" width="0.71"/>
    <col collapsed="false" customWidth="true" hidden="false" outlineLevel="0" max="14904" min="14904" style="1" width="1.57"/>
    <col collapsed="false" customWidth="false" hidden="false" outlineLevel="0" max="14909" min="14905" style="1" width="0.71"/>
    <col collapsed="false" customWidth="true" hidden="false" outlineLevel="0" max="14910" min="14910" style="1" width="2.15"/>
    <col collapsed="false" customWidth="false" hidden="false" outlineLevel="0" max="14911" min="14911" style="1" width="0.71"/>
    <col collapsed="false" customWidth="true" hidden="false" outlineLevel="0" max="14912" min="14912" style="1" width="1.57"/>
    <col collapsed="false" customWidth="false" hidden="false" outlineLevel="0" max="14913" min="14913" style="1" width="0.71"/>
    <col collapsed="false" customWidth="true" hidden="false" outlineLevel="0" max="14914" min="14914" style="1" width="7"/>
    <col collapsed="false" customWidth="false" hidden="false" outlineLevel="0" max="14915" min="14915" style="1" width="0.71"/>
    <col collapsed="false" customWidth="true" hidden="false" outlineLevel="0" max="14916" min="14916" style="1" width="4"/>
    <col collapsed="false" customWidth="false" hidden="false" outlineLevel="0" max="14917" min="14917" style="1" width="0.71"/>
    <col collapsed="false" customWidth="true" hidden="false" outlineLevel="0" max="14918" min="14918" style="1" width="1.57"/>
    <col collapsed="false" customWidth="false" hidden="false" outlineLevel="0" max="14919" min="14919" style="1" width="0.71"/>
    <col collapsed="false" customWidth="true" hidden="false" outlineLevel="0" max="14920" min="14920" style="1" width="7"/>
    <col collapsed="false" customWidth="false" hidden="false" outlineLevel="0" max="14923" min="14921" style="1" width="0.71"/>
    <col collapsed="false" customWidth="true" hidden="false" outlineLevel="0" max="14924" min="14924" style="1" width="2.42"/>
    <col collapsed="false" customWidth="false" hidden="false" outlineLevel="0" max="14930" min="14925" style="1" width="0.71"/>
    <col collapsed="false" customWidth="true" hidden="false" outlineLevel="0" max="14931" min="14931" style="1" width="16.57"/>
    <col collapsed="false" customWidth="false" hidden="false" outlineLevel="0" max="14934" min="14932" style="1" width="0.71"/>
    <col collapsed="false" customWidth="true" hidden="false" outlineLevel="0" max="14935" min="14935" style="1" width="9.86"/>
    <col collapsed="false" customWidth="true" hidden="false" outlineLevel="0" max="14938" min="14936" style="1" width="9.29"/>
    <col collapsed="false" customWidth="false" hidden="false" outlineLevel="0" max="15151" min="14939" style="1" width="0.71"/>
    <col collapsed="false" customWidth="true" hidden="false" outlineLevel="0" max="15152" min="15152" style="1" width="3.42"/>
    <col collapsed="false" customWidth="true" hidden="false" outlineLevel="0" max="15153" min="15153" style="1" width="2.42"/>
    <col collapsed="false" customWidth="true" hidden="false" outlineLevel="0" max="15154" min="15154" style="1" width="7"/>
    <col collapsed="false" customWidth="false" hidden="false" outlineLevel="0" max="15155" min="15155" style="1" width="0.71"/>
    <col collapsed="false" customWidth="true" hidden="false" outlineLevel="0" max="15156" min="15156" style="1" width="1.57"/>
    <col collapsed="false" customWidth="false" hidden="false" outlineLevel="0" max="15157" min="15157" style="1" width="0.71"/>
    <col collapsed="false" customWidth="true" hidden="false" outlineLevel="0" max="15158" min="15158" style="1" width="11.29"/>
    <col collapsed="false" customWidth="false" hidden="false" outlineLevel="0" max="15159" min="15159" style="1" width="0.71"/>
    <col collapsed="false" customWidth="true" hidden="false" outlineLevel="0" max="15160" min="15160" style="1" width="1.57"/>
    <col collapsed="false" customWidth="false" hidden="false" outlineLevel="0" max="15165" min="15161" style="1" width="0.71"/>
    <col collapsed="false" customWidth="true" hidden="false" outlineLevel="0" max="15166" min="15166" style="1" width="2.15"/>
    <col collapsed="false" customWidth="false" hidden="false" outlineLevel="0" max="15167" min="15167" style="1" width="0.71"/>
    <col collapsed="false" customWidth="true" hidden="false" outlineLevel="0" max="15168" min="15168" style="1" width="1.57"/>
    <col collapsed="false" customWidth="false" hidden="false" outlineLevel="0" max="15169" min="15169" style="1" width="0.71"/>
    <col collapsed="false" customWidth="true" hidden="false" outlineLevel="0" max="15170" min="15170" style="1" width="7"/>
    <col collapsed="false" customWidth="false" hidden="false" outlineLevel="0" max="15171" min="15171" style="1" width="0.71"/>
    <col collapsed="false" customWidth="true" hidden="false" outlineLevel="0" max="15172" min="15172" style="1" width="4"/>
    <col collapsed="false" customWidth="false" hidden="false" outlineLevel="0" max="15173" min="15173" style="1" width="0.71"/>
    <col collapsed="false" customWidth="true" hidden="false" outlineLevel="0" max="15174" min="15174" style="1" width="1.57"/>
    <col collapsed="false" customWidth="false" hidden="false" outlineLevel="0" max="15175" min="15175" style="1" width="0.71"/>
    <col collapsed="false" customWidth="true" hidden="false" outlineLevel="0" max="15176" min="15176" style="1" width="7"/>
    <col collapsed="false" customWidth="false" hidden="false" outlineLevel="0" max="15179" min="15177" style="1" width="0.71"/>
    <col collapsed="false" customWidth="true" hidden="false" outlineLevel="0" max="15180" min="15180" style="1" width="2.42"/>
    <col collapsed="false" customWidth="false" hidden="false" outlineLevel="0" max="15186" min="15181" style="1" width="0.71"/>
    <col collapsed="false" customWidth="true" hidden="false" outlineLevel="0" max="15187" min="15187" style="1" width="16.57"/>
    <col collapsed="false" customWidth="false" hidden="false" outlineLevel="0" max="15190" min="15188" style="1" width="0.71"/>
    <col collapsed="false" customWidth="true" hidden="false" outlineLevel="0" max="15191" min="15191" style="1" width="9.86"/>
    <col collapsed="false" customWidth="true" hidden="false" outlineLevel="0" max="15194" min="15192" style="1" width="9.29"/>
    <col collapsed="false" customWidth="false" hidden="false" outlineLevel="0" max="15407" min="15195" style="1" width="0.71"/>
    <col collapsed="false" customWidth="true" hidden="false" outlineLevel="0" max="15408" min="15408" style="1" width="3.42"/>
    <col collapsed="false" customWidth="true" hidden="false" outlineLevel="0" max="15409" min="15409" style="1" width="2.42"/>
    <col collapsed="false" customWidth="true" hidden="false" outlineLevel="0" max="15410" min="15410" style="1" width="7"/>
    <col collapsed="false" customWidth="false" hidden="false" outlineLevel="0" max="15411" min="15411" style="1" width="0.71"/>
    <col collapsed="false" customWidth="true" hidden="false" outlineLevel="0" max="15412" min="15412" style="1" width="1.57"/>
    <col collapsed="false" customWidth="false" hidden="false" outlineLevel="0" max="15413" min="15413" style="1" width="0.71"/>
    <col collapsed="false" customWidth="true" hidden="false" outlineLevel="0" max="15414" min="15414" style="1" width="11.29"/>
    <col collapsed="false" customWidth="false" hidden="false" outlineLevel="0" max="15415" min="15415" style="1" width="0.71"/>
    <col collapsed="false" customWidth="true" hidden="false" outlineLevel="0" max="15416" min="15416" style="1" width="1.57"/>
    <col collapsed="false" customWidth="false" hidden="false" outlineLevel="0" max="15421" min="15417" style="1" width="0.71"/>
    <col collapsed="false" customWidth="true" hidden="false" outlineLevel="0" max="15422" min="15422" style="1" width="2.15"/>
    <col collapsed="false" customWidth="false" hidden="false" outlineLevel="0" max="15423" min="15423" style="1" width="0.71"/>
    <col collapsed="false" customWidth="true" hidden="false" outlineLevel="0" max="15424" min="15424" style="1" width="1.57"/>
    <col collapsed="false" customWidth="false" hidden="false" outlineLevel="0" max="15425" min="15425" style="1" width="0.71"/>
    <col collapsed="false" customWidth="true" hidden="false" outlineLevel="0" max="15426" min="15426" style="1" width="7"/>
    <col collapsed="false" customWidth="false" hidden="false" outlineLevel="0" max="15427" min="15427" style="1" width="0.71"/>
    <col collapsed="false" customWidth="true" hidden="false" outlineLevel="0" max="15428" min="15428" style="1" width="4"/>
    <col collapsed="false" customWidth="false" hidden="false" outlineLevel="0" max="15429" min="15429" style="1" width="0.71"/>
    <col collapsed="false" customWidth="true" hidden="false" outlineLevel="0" max="15430" min="15430" style="1" width="1.57"/>
    <col collapsed="false" customWidth="false" hidden="false" outlineLevel="0" max="15431" min="15431" style="1" width="0.71"/>
    <col collapsed="false" customWidth="true" hidden="false" outlineLevel="0" max="15432" min="15432" style="1" width="7"/>
    <col collapsed="false" customWidth="false" hidden="false" outlineLevel="0" max="15435" min="15433" style="1" width="0.71"/>
    <col collapsed="false" customWidth="true" hidden="false" outlineLevel="0" max="15436" min="15436" style="1" width="2.42"/>
    <col collapsed="false" customWidth="false" hidden="false" outlineLevel="0" max="15442" min="15437" style="1" width="0.71"/>
    <col collapsed="false" customWidth="true" hidden="false" outlineLevel="0" max="15443" min="15443" style="1" width="16.57"/>
    <col collapsed="false" customWidth="false" hidden="false" outlineLevel="0" max="15446" min="15444" style="1" width="0.71"/>
    <col collapsed="false" customWidth="true" hidden="false" outlineLevel="0" max="15447" min="15447" style="1" width="9.86"/>
    <col collapsed="false" customWidth="true" hidden="false" outlineLevel="0" max="15450" min="15448" style="1" width="9.29"/>
    <col collapsed="false" customWidth="false" hidden="false" outlineLevel="0" max="15663" min="15451" style="1" width="0.71"/>
    <col collapsed="false" customWidth="true" hidden="false" outlineLevel="0" max="15664" min="15664" style="1" width="3.42"/>
    <col collapsed="false" customWidth="true" hidden="false" outlineLevel="0" max="15665" min="15665" style="1" width="2.42"/>
    <col collapsed="false" customWidth="true" hidden="false" outlineLevel="0" max="15666" min="15666" style="1" width="7"/>
    <col collapsed="false" customWidth="false" hidden="false" outlineLevel="0" max="15667" min="15667" style="1" width="0.71"/>
    <col collapsed="false" customWidth="true" hidden="false" outlineLevel="0" max="15668" min="15668" style="1" width="1.57"/>
    <col collapsed="false" customWidth="false" hidden="false" outlineLevel="0" max="15669" min="15669" style="1" width="0.71"/>
    <col collapsed="false" customWidth="true" hidden="false" outlineLevel="0" max="15670" min="15670" style="1" width="11.29"/>
    <col collapsed="false" customWidth="false" hidden="false" outlineLevel="0" max="15671" min="15671" style="1" width="0.71"/>
    <col collapsed="false" customWidth="true" hidden="false" outlineLevel="0" max="15672" min="15672" style="1" width="1.57"/>
    <col collapsed="false" customWidth="false" hidden="false" outlineLevel="0" max="15677" min="15673" style="1" width="0.71"/>
    <col collapsed="false" customWidth="true" hidden="false" outlineLevel="0" max="15678" min="15678" style="1" width="2.15"/>
    <col collapsed="false" customWidth="false" hidden="false" outlineLevel="0" max="15679" min="15679" style="1" width="0.71"/>
    <col collapsed="false" customWidth="true" hidden="false" outlineLevel="0" max="15680" min="15680" style="1" width="1.57"/>
    <col collapsed="false" customWidth="false" hidden="false" outlineLevel="0" max="15681" min="15681" style="1" width="0.71"/>
    <col collapsed="false" customWidth="true" hidden="false" outlineLevel="0" max="15682" min="15682" style="1" width="7"/>
    <col collapsed="false" customWidth="false" hidden="false" outlineLevel="0" max="15683" min="15683" style="1" width="0.71"/>
    <col collapsed="false" customWidth="true" hidden="false" outlineLevel="0" max="15684" min="15684" style="1" width="4"/>
    <col collapsed="false" customWidth="false" hidden="false" outlineLevel="0" max="15685" min="15685" style="1" width="0.71"/>
    <col collapsed="false" customWidth="true" hidden="false" outlineLevel="0" max="15686" min="15686" style="1" width="1.57"/>
    <col collapsed="false" customWidth="false" hidden="false" outlineLevel="0" max="15687" min="15687" style="1" width="0.71"/>
    <col collapsed="false" customWidth="true" hidden="false" outlineLevel="0" max="15688" min="15688" style="1" width="7"/>
    <col collapsed="false" customWidth="false" hidden="false" outlineLevel="0" max="15691" min="15689" style="1" width="0.71"/>
    <col collapsed="false" customWidth="true" hidden="false" outlineLevel="0" max="15692" min="15692" style="1" width="2.42"/>
    <col collapsed="false" customWidth="false" hidden="false" outlineLevel="0" max="15698" min="15693" style="1" width="0.71"/>
    <col collapsed="false" customWidth="true" hidden="false" outlineLevel="0" max="15699" min="15699" style="1" width="16.57"/>
    <col collapsed="false" customWidth="false" hidden="false" outlineLevel="0" max="15702" min="15700" style="1" width="0.71"/>
    <col collapsed="false" customWidth="true" hidden="false" outlineLevel="0" max="15703" min="15703" style="1" width="9.86"/>
    <col collapsed="false" customWidth="true" hidden="false" outlineLevel="0" max="15706" min="15704" style="1" width="9.29"/>
    <col collapsed="false" customWidth="false" hidden="false" outlineLevel="0" max="15919" min="15707" style="1" width="0.71"/>
    <col collapsed="false" customWidth="true" hidden="false" outlineLevel="0" max="15920" min="15920" style="1" width="3.42"/>
    <col collapsed="false" customWidth="true" hidden="false" outlineLevel="0" max="15921" min="15921" style="1" width="2.42"/>
    <col collapsed="false" customWidth="true" hidden="false" outlineLevel="0" max="15922" min="15922" style="1" width="7"/>
    <col collapsed="false" customWidth="false" hidden="false" outlineLevel="0" max="15923" min="15923" style="1" width="0.71"/>
    <col collapsed="false" customWidth="true" hidden="false" outlineLevel="0" max="15924" min="15924" style="1" width="1.57"/>
    <col collapsed="false" customWidth="false" hidden="false" outlineLevel="0" max="15925" min="15925" style="1" width="0.71"/>
    <col collapsed="false" customWidth="true" hidden="false" outlineLevel="0" max="15926" min="15926" style="1" width="11.29"/>
    <col collapsed="false" customWidth="false" hidden="false" outlineLevel="0" max="15927" min="15927" style="1" width="0.71"/>
    <col collapsed="false" customWidth="true" hidden="false" outlineLevel="0" max="15928" min="15928" style="1" width="1.57"/>
    <col collapsed="false" customWidth="false" hidden="false" outlineLevel="0" max="15933" min="15929" style="1" width="0.71"/>
    <col collapsed="false" customWidth="true" hidden="false" outlineLevel="0" max="15934" min="15934" style="1" width="2.15"/>
    <col collapsed="false" customWidth="false" hidden="false" outlineLevel="0" max="15935" min="15935" style="1" width="0.71"/>
    <col collapsed="false" customWidth="true" hidden="false" outlineLevel="0" max="15936" min="15936" style="1" width="1.57"/>
    <col collapsed="false" customWidth="false" hidden="false" outlineLevel="0" max="15937" min="15937" style="1" width="0.71"/>
    <col collapsed="false" customWidth="true" hidden="false" outlineLevel="0" max="15938" min="15938" style="1" width="7"/>
    <col collapsed="false" customWidth="false" hidden="false" outlineLevel="0" max="15939" min="15939" style="1" width="0.71"/>
    <col collapsed="false" customWidth="true" hidden="false" outlineLevel="0" max="15940" min="15940" style="1" width="4"/>
    <col collapsed="false" customWidth="false" hidden="false" outlineLevel="0" max="15941" min="15941" style="1" width="0.71"/>
    <col collapsed="false" customWidth="true" hidden="false" outlineLevel="0" max="15942" min="15942" style="1" width="1.57"/>
    <col collapsed="false" customWidth="false" hidden="false" outlineLevel="0" max="15943" min="15943" style="1" width="0.71"/>
    <col collapsed="false" customWidth="true" hidden="false" outlineLevel="0" max="15944" min="15944" style="1" width="7"/>
    <col collapsed="false" customWidth="false" hidden="false" outlineLevel="0" max="15947" min="15945" style="1" width="0.71"/>
    <col collapsed="false" customWidth="true" hidden="false" outlineLevel="0" max="15948" min="15948" style="1" width="2.42"/>
    <col collapsed="false" customWidth="false" hidden="false" outlineLevel="0" max="15954" min="15949" style="1" width="0.71"/>
    <col collapsed="false" customWidth="true" hidden="false" outlineLevel="0" max="15955" min="15955" style="1" width="16.57"/>
    <col collapsed="false" customWidth="false" hidden="false" outlineLevel="0" max="15958" min="15956" style="1" width="0.71"/>
    <col collapsed="false" customWidth="true" hidden="false" outlineLevel="0" max="15959" min="15959" style="1" width="9.86"/>
    <col collapsed="false" customWidth="true" hidden="false" outlineLevel="0" max="15962" min="15960" style="1" width="9.29"/>
    <col collapsed="false" customWidth="false" hidden="false" outlineLevel="0" max="16175" min="15963" style="1" width="0.71"/>
    <col collapsed="false" customWidth="true" hidden="false" outlineLevel="0" max="16176" min="16176" style="1" width="3.42"/>
    <col collapsed="false" customWidth="true" hidden="false" outlineLevel="0" max="16177" min="16177" style="1" width="2.42"/>
    <col collapsed="false" customWidth="true" hidden="false" outlineLevel="0" max="16178" min="16178" style="1" width="7"/>
    <col collapsed="false" customWidth="false" hidden="false" outlineLevel="0" max="16179" min="16179" style="1" width="0.71"/>
    <col collapsed="false" customWidth="true" hidden="false" outlineLevel="0" max="16180" min="16180" style="1" width="1.57"/>
    <col collapsed="false" customWidth="false" hidden="false" outlineLevel="0" max="16181" min="16181" style="1" width="0.71"/>
    <col collapsed="false" customWidth="true" hidden="false" outlineLevel="0" max="16182" min="16182" style="1" width="11.29"/>
    <col collapsed="false" customWidth="false" hidden="false" outlineLevel="0" max="16183" min="16183" style="1" width="0.71"/>
    <col collapsed="false" customWidth="true" hidden="false" outlineLevel="0" max="16184" min="16184" style="1" width="1.57"/>
    <col collapsed="false" customWidth="false" hidden="false" outlineLevel="0" max="16189" min="16185" style="1" width="0.71"/>
    <col collapsed="false" customWidth="true" hidden="false" outlineLevel="0" max="16190" min="16190" style="1" width="2.15"/>
    <col collapsed="false" customWidth="false" hidden="false" outlineLevel="0" max="16191" min="16191" style="1" width="0.71"/>
    <col collapsed="false" customWidth="true" hidden="false" outlineLevel="0" max="16192" min="16192" style="1" width="1.57"/>
    <col collapsed="false" customWidth="false" hidden="false" outlineLevel="0" max="16193" min="16193" style="1" width="0.71"/>
    <col collapsed="false" customWidth="true" hidden="false" outlineLevel="0" max="16194" min="16194" style="1" width="7"/>
    <col collapsed="false" customWidth="false" hidden="false" outlineLevel="0" max="16195" min="16195" style="1" width="0.71"/>
    <col collapsed="false" customWidth="true" hidden="false" outlineLevel="0" max="16196" min="16196" style="1" width="4"/>
    <col collapsed="false" customWidth="false" hidden="false" outlineLevel="0" max="16197" min="16197" style="1" width="0.71"/>
    <col collapsed="false" customWidth="true" hidden="false" outlineLevel="0" max="16198" min="16198" style="1" width="1.57"/>
    <col collapsed="false" customWidth="false" hidden="false" outlineLevel="0" max="16199" min="16199" style="1" width="0.71"/>
    <col collapsed="false" customWidth="true" hidden="false" outlineLevel="0" max="16200" min="16200" style="1" width="7"/>
    <col collapsed="false" customWidth="false" hidden="false" outlineLevel="0" max="16203" min="16201" style="1" width="0.71"/>
    <col collapsed="false" customWidth="true" hidden="false" outlineLevel="0" max="16204" min="16204" style="1" width="2.42"/>
    <col collapsed="false" customWidth="false" hidden="false" outlineLevel="0" max="16210" min="16205" style="1" width="0.71"/>
    <col collapsed="false" customWidth="true" hidden="false" outlineLevel="0" max="16211" min="16211" style="1" width="16.57"/>
    <col collapsed="false" customWidth="false" hidden="false" outlineLevel="0" max="16214" min="16212" style="1" width="0.71"/>
    <col collapsed="false" customWidth="true" hidden="false" outlineLevel="0" max="16215" min="16215" style="1" width="9.86"/>
    <col collapsed="false" customWidth="true" hidden="false" outlineLevel="0" max="16218" min="16216" style="1" width="9.29"/>
    <col collapsed="false" customWidth="false" hidden="false" outlineLevel="0" max="16384" min="16219" style="1" width="0.71"/>
  </cols>
  <sheetData>
    <row r="1" customFormat="false" ht="16.5" hidden="false" customHeight="true" outlineLevel="0" collapsed="false"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</row>
    <row r="2" customFormat="false" ht="6" hidden="false" customHeight="true" outlineLevel="0" collapsed="false"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</row>
    <row r="3" customFormat="false" ht="15" hidden="false" customHeight="true" outlineLevel="0" collapsed="false">
      <c r="C3" s="7" t="s">
        <v>1</v>
      </c>
      <c r="D3" s="8" t="n">
        <v>45337</v>
      </c>
      <c r="E3" s="8"/>
      <c r="F3" s="8"/>
      <c r="G3" s="8"/>
      <c r="H3" s="8"/>
      <c r="I3" s="8"/>
      <c r="J3" s="8"/>
      <c r="K3" s="8"/>
      <c r="L3" s="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customFormat="false" ht="15.75" hidden="false" customHeight="true" outlineLevel="0" collapsed="false">
      <c r="C4" s="7" t="s">
        <v>2</v>
      </c>
      <c r="D4" s="8" t="n">
        <f aca="true">TODAY()</f>
        <v>46141</v>
      </c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customFormat="false" ht="6" hidden="false" customHeight="true" outlineLevel="0" collapsed="false">
      <c r="C5" s="7" t="s">
        <v>3</v>
      </c>
      <c r="D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</row>
    <row r="6" customFormat="false" ht="15" hidden="false" customHeight="true" outlineLevel="0" collapsed="false">
      <c r="C6" s="10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5"/>
      <c r="AA6" s="5"/>
      <c r="AB6" s="5"/>
      <c r="AC6" s="5"/>
      <c r="AD6" s="11" t="s">
        <v>5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5"/>
      <c r="BB6" s="5"/>
      <c r="BC6" s="5"/>
      <c r="BD6" s="5"/>
      <c r="BE6" s="12" t="s">
        <v>6</v>
      </c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5"/>
    </row>
    <row r="7" s="13" customFormat="true" ht="15" hidden="false" customHeight="true" outlineLevel="0" collapsed="false">
      <c r="C7" s="14" t="s">
        <v>7</v>
      </c>
      <c r="D7" s="14"/>
      <c r="E7" s="14"/>
      <c r="F7" s="14"/>
      <c r="G7" s="14"/>
      <c r="H7" s="14"/>
      <c r="I7" s="15" t="n">
        <v>700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5"/>
      <c r="AA7" s="5"/>
      <c r="AB7" s="5"/>
      <c r="AC7" s="5"/>
      <c r="AD7" s="16" t="s">
        <v>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7" t="n">
        <f aca="false">I7</f>
        <v>700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5"/>
      <c r="BB7" s="5"/>
      <c r="BC7" s="5"/>
      <c r="BD7" s="5"/>
      <c r="BE7" s="14" t="s">
        <v>8</v>
      </c>
      <c r="BF7" s="14"/>
      <c r="BG7" s="14"/>
      <c r="BH7" s="14"/>
      <c r="BI7" s="14"/>
      <c r="BJ7" s="14"/>
      <c r="BK7" s="14"/>
      <c r="BL7" s="18" t="n">
        <f aca="false">AP17</f>
        <v>1004.159819521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5"/>
      <c r="CE7" s="19"/>
      <c r="CI7" s="20"/>
      <c r="CK7" s="19"/>
      <c r="CL7" s="20"/>
    </row>
    <row r="8" s="13" customFormat="true" ht="15" hidden="false" customHeight="true" outlineLevel="0" collapsed="false">
      <c r="C8" s="21" t="s">
        <v>9</v>
      </c>
      <c r="D8" s="21"/>
      <c r="E8" s="21"/>
      <c r="F8" s="21"/>
      <c r="G8" s="21"/>
      <c r="H8" s="21"/>
      <c r="I8" s="22" t="n"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5"/>
      <c r="AA8" s="5"/>
      <c r="AB8" s="5"/>
      <c r="AC8" s="5"/>
      <c r="AD8" s="21" t="s">
        <v>9</v>
      </c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2" t="n">
        <v>0</v>
      </c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5"/>
      <c r="BB8" s="5"/>
      <c r="BC8" s="5"/>
      <c r="BD8" s="5"/>
      <c r="BE8" s="21" t="s">
        <v>10</v>
      </c>
      <c r="BF8" s="21"/>
      <c r="BG8" s="21"/>
      <c r="BH8" s="21"/>
      <c r="BI8" s="21"/>
      <c r="BJ8" s="21"/>
      <c r="BK8" s="21"/>
      <c r="BL8" s="23" t="n">
        <v>3</v>
      </c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5"/>
      <c r="CE8" s="19"/>
      <c r="CI8" s="20"/>
      <c r="CK8" s="19"/>
      <c r="CL8" s="20"/>
    </row>
    <row r="9" s="13" customFormat="true" ht="15" hidden="false" customHeight="true" outlineLevel="0" collapsed="false">
      <c r="C9" s="21" t="s">
        <v>11</v>
      </c>
      <c r="D9" s="21"/>
      <c r="E9" s="21"/>
      <c r="F9" s="21"/>
      <c r="G9" s="21"/>
      <c r="H9" s="21"/>
      <c r="I9" s="22" t="n">
        <v>35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5"/>
      <c r="AA9" s="5"/>
      <c r="AB9" s="5"/>
      <c r="AC9" s="5"/>
      <c r="AD9" s="21" t="s">
        <v>11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2" t="n">
        <v>0</v>
      </c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5"/>
      <c r="BB9" s="5"/>
      <c r="BC9" s="5"/>
      <c r="BD9" s="5"/>
      <c r="BE9" s="21" t="s">
        <v>12</v>
      </c>
      <c r="BF9" s="21"/>
      <c r="BG9" s="21"/>
      <c r="BH9" s="21"/>
      <c r="BI9" s="21"/>
      <c r="BJ9" s="21"/>
      <c r="BK9" s="21"/>
      <c r="BL9" s="24" t="n">
        <f aca="false">I16</f>
        <v>147.9</v>
      </c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5"/>
      <c r="CE9" s="19"/>
      <c r="CI9" s="20"/>
      <c r="CK9" s="19"/>
      <c r="CL9" s="20"/>
    </row>
    <row r="10" s="13" customFormat="true" ht="15" hidden="false" customHeight="true" outlineLevel="0" collapsed="false">
      <c r="C10" s="21" t="s">
        <v>13</v>
      </c>
      <c r="D10" s="21"/>
      <c r="E10" s="21"/>
      <c r="F10" s="21"/>
      <c r="G10" s="21"/>
      <c r="H10" s="21"/>
      <c r="I10" s="22" t="n"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5"/>
      <c r="AA10" s="5"/>
      <c r="AB10" s="5"/>
      <c r="AC10" s="5"/>
      <c r="AD10" s="21" t="s">
        <v>13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2" t="n">
        <v>0</v>
      </c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5"/>
      <c r="BB10" s="5"/>
      <c r="BC10" s="5"/>
      <c r="BD10" s="5"/>
      <c r="BE10" s="21" t="s">
        <v>14</v>
      </c>
      <c r="BF10" s="21"/>
      <c r="BG10" s="21"/>
      <c r="BH10" s="21"/>
      <c r="BI10" s="21"/>
      <c r="BJ10" s="21"/>
      <c r="BK10" s="21"/>
      <c r="BL10" s="22" t="n">
        <f aca="false">BL8*BL9</f>
        <v>443.7</v>
      </c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5"/>
      <c r="CE10" s="25"/>
      <c r="CI10" s="19"/>
      <c r="CJ10" s="26"/>
      <c r="CK10" s="25"/>
      <c r="CL10" s="20"/>
    </row>
    <row r="11" s="13" customFormat="true" ht="15" hidden="false" customHeight="true" outlineLevel="0" collapsed="false">
      <c r="C11" s="21" t="s">
        <v>15</v>
      </c>
      <c r="D11" s="21"/>
      <c r="E11" s="21"/>
      <c r="F11" s="21"/>
      <c r="G11" s="21"/>
      <c r="H11" s="21"/>
      <c r="I11" s="22" t="n"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5"/>
      <c r="AA11" s="5"/>
      <c r="AB11" s="5"/>
      <c r="AC11" s="5"/>
      <c r="AD11" s="21" t="s">
        <v>15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2" t="n">
        <v>0</v>
      </c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5"/>
      <c r="BB11" s="5"/>
      <c r="BC11" s="5"/>
      <c r="BD11" s="5"/>
      <c r="BE11" s="21" t="s">
        <v>16</v>
      </c>
      <c r="BF11" s="21"/>
      <c r="BG11" s="21"/>
      <c r="BH11" s="21"/>
      <c r="BI11" s="21"/>
      <c r="BJ11" s="21"/>
      <c r="BK11" s="21"/>
      <c r="BL11" s="22" t="n">
        <f aca="false">BL7-BL10</f>
        <v>560.459819521003</v>
      </c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7"/>
      <c r="CE11" s="25"/>
      <c r="CI11" s="19"/>
      <c r="CJ11" s="26"/>
      <c r="CK11" s="25"/>
      <c r="CL11" s="20"/>
    </row>
    <row r="12" s="13" customFormat="true" ht="15" hidden="false" customHeight="true" outlineLevel="0" collapsed="false">
      <c r="C12" s="21" t="s">
        <v>17</v>
      </c>
      <c r="D12" s="21"/>
      <c r="E12" s="21"/>
      <c r="F12" s="21"/>
      <c r="G12" s="21"/>
      <c r="H12" s="21"/>
      <c r="I12" s="22" t="n"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5"/>
      <c r="AA12" s="5"/>
      <c r="AB12" s="5"/>
      <c r="AC12" s="5"/>
      <c r="AD12" s="21" t="s">
        <v>17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2" t="n">
        <v>0</v>
      </c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5"/>
      <c r="BB12" s="5"/>
      <c r="BC12" s="5"/>
      <c r="BD12" s="5"/>
      <c r="BE12" s="21" t="s">
        <v>18</v>
      </c>
      <c r="BF12" s="21"/>
      <c r="BG12" s="21"/>
      <c r="BH12" s="21"/>
      <c r="BI12" s="21"/>
      <c r="BJ12" s="21"/>
      <c r="BK12" s="21"/>
      <c r="BL12" s="28" t="n">
        <f aca="false">I15-BL8</f>
        <v>9</v>
      </c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5"/>
      <c r="CE12" s="25"/>
      <c r="CI12" s="19"/>
      <c r="CJ12" s="26"/>
      <c r="CK12" s="25"/>
      <c r="CL12" s="20"/>
    </row>
    <row r="13" s="13" customFormat="true" ht="15" hidden="false" customHeight="true" outlineLevel="0" collapsed="false">
      <c r="C13" s="21" t="s">
        <v>19</v>
      </c>
      <c r="D13" s="21"/>
      <c r="E13" s="21"/>
      <c r="F13" s="21"/>
      <c r="G13" s="21"/>
      <c r="H13" s="21"/>
      <c r="I13" s="29" t="n">
        <v>18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5"/>
      <c r="AA13" s="5"/>
      <c r="AB13" s="5"/>
      <c r="AC13" s="5"/>
      <c r="AD13" s="21" t="s">
        <v>20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9" t="n">
        <f aca="false">I13</f>
        <v>18</v>
      </c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5"/>
      <c r="BB13" s="5"/>
      <c r="BC13" s="5"/>
      <c r="BD13" s="5"/>
      <c r="BE13" s="30" t="s">
        <v>21</v>
      </c>
      <c r="BF13" s="30"/>
      <c r="BG13" s="30"/>
      <c r="BH13" s="30"/>
      <c r="BI13" s="30"/>
      <c r="BJ13" s="30"/>
      <c r="BK13" s="30"/>
      <c r="BL13" s="31" t="n">
        <f aca="false">BL11/BL12</f>
        <v>62.2733132801115</v>
      </c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5"/>
      <c r="CE13" s="25"/>
      <c r="CI13" s="19"/>
      <c r="CJ13" s="26"/>
      <c r="CK13" s="25"/>
      <c r="CL13" s="20"/>
    </row>
    <row r="14" s="13" customFormat="true" ht="15" hidden="false" customHeight="true" outlineLevel="0" collapsed="false">
      <c r="C14" s="21" t="s">
        <v>22</v>
      </c>
      <c r="D14" s="21"/>
      <c r="E14" s="21"/>
      <c r="F14" s="21"/>
      <c r="G14" s="21"/>
      <c r="H14" s="21"/>
      <c r="I14" s="22" t="n">
        <f aca="false">SUM(I7:Y13)</f>
        <v>753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5"/>
      <c r="AA14" s="5"/>
      <c r="AB14" s="5"/>
      <c r="AC14" s="5"/>
      <c r="AD14" s="21" t="s">
        <v>22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2" t="n">
        <f aca="false">SUM(AP7:AZ13)</f>
        <v>718</v>
      </c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5"/>
      <c r="BB14" s="5"/>
      <c r="BC14" s="5"/>
      <c r="BD14" s="5"/>
      <c r="BE14" s="30"/>
      <c r="BF14" s="30"/>
      <c r="BG14" s="30"/>
      <c r="BH14" s="30"/>
      <c r="BI14" s="30"/>
      <c r="BJ14" s="30"/>
      <c r="BK14" s="30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5"/>
      <c r="CE14" s="25"/>
      <c r="CI14" s="19"/>
      <c r="CJ14" s="26"/>
      <c r="CK14" s="25"/>
      <c r="CL14" s="20"/>
    </row>
    <row r="15" s="13" customFormat="true" ht="15" hidden="false" customHeight="true" outlineLevel="0" collapsed="false">
      <c r="C15" s="21" t="s">
        <v>23</v>
      </c>
      <c r="D15" s="21"/>
      <c r="E15" s="21"/>
      <c r="F15" s="21"/>
      <c r="G15" s="21"/>
      <c r="H15" s="21"/>
      <c r="I15" s="28" t="n">
        <v>12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5"/>
      <c r="AA15" s="5"/>
      <c r="AB15" s="5"/>
      <c r="AC15" s="5"/>
      <c r="AD15" s="21" t="s">
        <v>24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32" t="n">
        <v>0.0558</v>
      </c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E15" s="25"/>
      <c r="CI15" s="19"/>
      <c r="CJ15" s="26"/>
      <c r="CK15" s="25"/>
      <c r="CL15" s="20"/>
    </row>
    <row r="16" s="13" customFormat="true" ht="15" hidden="false" customHeight="true" outlineLevel="0" collapsed="false">
      <c r="C16" s="21" t="s">
        <v>25</v>
      </c>
      <c r="D16" s="21"/>
      <c r="E16" s="21"/>
      <c r="F16" s="21"/>
      <c r="G16" s="21"/>
      <c r="H16" s="21"/>
      <c r="I16" s="22" t="n">
        <v>147.9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5"/>
      <c r="AA16" s="5"/>
      <c r="AB16" s="5"/>
      <c r="AC16" s="5"/>
      <c r="AD16" s="21" t="s">
        <v>26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33" t="n">
        <f aca="false">AH121</f>
        <v>83.6799849600836</v>
      </c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5"/>
      <c r="BB16" s="5"/>
      <c r="BC16" s="5"/>
      <c r="BD16" s="5"/>
      <c r="BE16" s="14" t="s">
        <v>27</v>
      </c>
      <c r="BF16" s="14"/>
      <c r="BG16" s="14"/>
      <c r="BH16" s="14"/>
      <c r="BI16" s="14"/>
      <c r="BJ16" s="14"/>
      <c r="BK16" s="14"/>
      <c r="BL16" s="15" t="n">
        <f aca="false">BL12*I16</f>
        <v>1331.1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5"/>
      <c r="CE16" s="25"/>
      <c r="CI16" s="19"/>
      <c r="CJ16" s="26"/>
      <c r="CK16" s="25"/>
      <c r="CL16" s="20"/>
    </row>
    <row r="17" s="13" customFormat="true" ht="15" hidden="false" customHeight="true" outlineLevel="0" collapsed="false">
      <c r="C17" s="21" t="s">
        <v>28</v>
      </c>
      <c r="D17" s="21"/>
      <c r="E17" s="21"/>
      <c r="F17" s="21"/>
      <c r="G17" s="21"/>
      <c r="H17" s="21"/>
      <c r="I17" s="32" t="n">
        <v>0.159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5"/>
      <c r="AA17" s="5"/>
      <c r="AB17" s="5"/>
      <c r="AC17" s="5"/>
      <c r="AD17" s="21" t="s">
        <v>29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4" t="n">
        <f aca="false">I15*AP16</f>
        <v>1004.159819521</v>
      </c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5"/>
      <c r="BB17" s="5"/>
      <c r="BC17" s="5"/>
      <c r="BD17" s="5"/>
      <c r="BE17" s="34" t="s">
        <v>30</v>
      </c>
      <c r="BF17" s="34"/>
      <c r="BG17" s="34"/>
      <c r="BH17" s="34"/>
      <c r="BI17" s="34"/>
      <c r="BJ17" s="34"/>
      <c r="BK17" s="34"/>
      <c r="BL17" s="35" t="n">
        <f aca="false">BL12*BL13</f>
        <v>560.459819521003</v>
      </c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5"/>
      <c r="CE17" s="25"/>
      <c r="CI17" s="19"/>
      <c r="CJ17" s="26"/>
      <c r="CK17" s="25"/>
      <c r="CL17" s="20"/>
    </row>
    <row r="18" s="13" customFormat="true" ht="15" hidden="false" customHeight="true" outlineLevel="0" collapsed="false">
      <c r="C18" s="36" t="s">
        <v>31</v>
      </c>
      <c r="D18" s="36"/>
      <c r="E18" s="36"/>
      <c r="F18" s="36"/>
      <c r="G18" s="36"/>
      <c r="H18" s="36"/>
      <c r="I18" s="37" t="n">
        <f aca="false">I15*I16</f>
        <v>1774.8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5"/>
      <c r="AA18" s="5"/>
      <c r="AB18" s="5"/>
      <c r="AC18" s="5"/>
      <c r="AD18" s="38" t="s">
        <v>32</v>
      </c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9" t="n">
        <f aca="false">I16-AP16</f>
        <v>64.2200150399164</v>
      </c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5"/>
      <c r="BB18" s="5"/>
      <c r="BC18" s="5"/>
      <c r="BD18" s="5"/>
      <c r="BE18" s="40" t="s">
        <v>33</v>
      </c>
      <c r="BF18" s="40"/>
      <c r="BG18" s="40"/>
      <c r="BH18" s="40"/>
      <c r="BI18" s="40"/>
      <c r="BJ18" s="40"/>
      <c r="BK18" s="40"/>
      <c r="BL18" s="41" t="n">
        <f aca="false">BL16-BL17</f>
        <v>770.640180478997</v>
      </c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5"/>
      <c r="CE18" s="25"/>
      <c r="CI18" s="19"/>
      <c r="CJ18" s="26"/>
      <c r="CK18" s="25"/>
      <c r="CL18" s="20"/>
    </row>
    <row r="19" s="13" customFormat="true" ht="15" hidden="false" customHeight="true" outlineLevel="0" collapsed="false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2" t="s">
        <v>34</v>
      </c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 t="n">
        <f aca="false">I18-AP17</f>
        <v>770.640180478997</v>
      </c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5"/>
      <c r="BB19" s="5"/>
      <c r="BC19" s="5"/>
      <c r="BD19" s="5"/>
      <c r="BE19" s="30" t="s">
        <v>35</v>
      </c>
      <c r="BF19" s="30"/>
      <c r="BG19" s="30"/>
      <c r="BH19" s="30"/>
      <c r="BI19" s="30"/>
      <c r="BJ19" s="30"/>
      <c r="BK19" s="30"/>
      <c r="BL19" s="44" t="n">
        <f aca="false">BL18/BL12</f>
        <v>85.6266867198886</v>
      </c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5"/>
      <c r="CE19" s="25"/>
      <c r="CI19" s="19"/>
      <c r="CJ19" s="26"/>
      <c r="CK19" s="25"/>
      <c r="CL19" s="20"/>
    </row>
    <row r="20" customFormat="false" ht="9.75" hidden="true" customHeight="true" outlineLevel="0" collapsed="false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E20" s="45"/>
      <c r="CI20" s="46"/>
      <c r="CJ20" s="47"/>
      <c r="CK20" s="45"/>
    </row>
    <row r="21" customFormat="false" ht="9.75" hidden="true" customHeight="true" outlineLevel="0" collapsed="false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E21" s="45"/>
      <c r="CI21" s="46"/>
      <c r="CJ21" s="47"/>
      <c r="CK21" s="45"/>
    </row>
    <row r="22" customFormat="false" ht="9.75" hidden="true" customHeight="true" outlineLevel="0" collapsed="false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E22" s="45"/>
      <c r="CI22" s="46"/>
      <c r="CJ22" s="47"/>
      <c r="CK22" s="45"/>
    </row>
    <row r="23" customFormat="false" ht="9.75" hidden="true" customHeight="true" outlineLevel="0" collapsed="false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 t="s">
        <v>36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E23" s="45"/>
      <c r="CI23" s="46"/>
      <c r="CJ23" s="47"/>
      <c r="CK23" s="45"/>
    </row>
    <row r="24" customFormat="false" ht="9.75" hidden="false" customHeight="true" outlineLevel="0" collapsed="false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E24" s="45"/>
      <c r="CI24" s="46"/>
      <c r="CJ24" s="47"/>
      <c r="CK24" s="45"/>
    </row>
    <row r="25" customFormat="false" ht="15.75" hidden="false" customHeight="true" outlineLevel="0" collapsed="false">
      <c r="C25" s="48" t="s">
        <v>37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5"/>
      <c r="AA25" s="5"/>
      <c r="AB25" s="5"/>
      <c r="AC25" s="5"/>
      <c r="AD25" s="48" t="s">
        <v>38</v>
      </c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5"/>
      <c r="BB25" s="5"/>
      <c r="BC25" s="5"/>
      <c r="BD25" s="5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50"/>
      <c r="CE25" s="51"/>
      <c r="CI25" s="46"/>
      <c r="CK25" s="51"/>
      <c r="CL25" s="46"/>
    </row>
    <row r="26" customFormat="false" ht="13.5" hidden="true" customHeight="true" outlineLevel="0" collapsed="false">
      <c r="C26" s="5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3"/>
      <c r="Z26" s="5"/>
      <c r="AA26" s="5"/>
      <c r="AB26" s="5"/>
      <c r="AC26" s="5"/>
      <c r="AD26" s="52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3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E26" s="54"/>
      <c r="CI26" s="55"/>
      <c r="CJ26" s="47"/>
      <c r="CK26" s="54"/>
      <c r="CL26" s="46"/>
    </row>
    <row r="27" customFormat="false" ht="12" hidden="true" customHeight="true" outlineLevel="0" collapsed="false">
      <c r="C27" s="5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3"/>
      <c r="Z27" s="5"/>
      <c r="AA27" s="5"/>
      <c r="AB27" s="5"/>
      <c r="AC27" s="5"/>
      <c r="AD27" s="56"/>
      <c r="AE27" s="6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3"/>
      <c r="BA27" s="5"/>
      <c r="BB27" s="5"/>
      <c r="BC27" s="5"/>
      <c r="BD27" s="5"/>
      <c r="BE27" s="6"/>
      <c r="BF27" s="6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E27" s="3"/>
      <c r="CI27" s="57"/>
      <c r="CK27" s="3"/>
      <c r="CL27" s="46"/>
    </row>
    <row r="28" customFormat="false" ht="12" hidden="false" customHeight="true" outlineLevel="0" collapsed="false">
      <c r="C28" s="5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3"/>
      <c r="Z28" s="5"/>
      <c r="AA28" s="5"/>
      <c r="AB28" s="5"/>
      <c r="AC28" s="5"/>
      <c r="AD28" s="56"/>
      <c r="AE28" s="6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3"/>
      <c r="BA28" s="5"/>
      <c r="BB28" s="5"/>
      <c r="BC28" s="5"/>
      <c r="BD28" s="5"/>
      <c r="BE28" s="6"/>
      <c r="BF28" s="6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E28" s="45"/>
      <c r="CK28" s="45"/>
    </row>
    <row r="29" customFormat="false" ht="48" hidden="false" customHeight="true" outlineLevel="0" collapsed="false">
      <c r="C29" s="58" t="s">
        <v>39</v>
      </c>
      <c r="D29" s="59"/>
      <c r="E29" s="60"/>
      <c r="F29" s="60"/>
      <c r="G29" s="60"/>
      <c r="H29" s="61" t="n">
        <f aca="false">I14</f>
        <v>753</v>
      </c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"/>
      <c r="U29" s="5"/>
      <c r="V29" s="5"/>
      <c r="W29" s="5"/>
      <c r="X29" s="5"/>
      <c r="Y29" s="62"/>
      <c r="Z29" s="5"/>
      <c r="AA29" s="5"/>
      <c r="AB29" s="5"/>
      <c r="AC29" s="5"/>
      <c r="AD29" s="63" t="s">
        <v>40</v>
      </c>
      <c r="AE29" s="63"/>
      <c r="AF29" s="63"/>
      <c r="AG29" s="63"/>
      <c r="AH29" s="63"/>
      <c r="AI29" s="61" t="n">
        <f aca="false">AP14</f>
        <v>718</v>
      </c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"/>
      <c r="AV29" s="5"/>
      <c r="AW29" s="5"/>
      <c r="AX29" s="5"/>
      <c r="AY29" s="5"/>
      <c r="AZ29" s="62"/>
      <c r="BA29" s="5"/>
      <c r="BB29" s="5"/>
      <c r="BC29" s="5"/>
      <c r="BD29" s="5"/>
      <c r="BE29" s="64" t="s">
        <v>41</v>
      </c>
      <c r="BF29" s="64"/>
      <c r="BG29" s="64"/>
      <c r="BH29" s="64"/>
      <c r="BI29" s="5"/>
      <c r="BJ29" s="65"/>
      <c r="BK29" s="64" t="s">
        <v>42</v>
      </c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5"/>
      <c r="CD29" s="66"/>
      <c r="CE29" s="45"/>
      <c r="CF29" s="3"/>
      <c r="CG29" s="3"/>
      <c r="CK29" s="45"/>
    </row>
    <row r="30" customFormat="false" ht="12" hidden="false" customHeight="true" outlineLevel="0" collapsed="false">
      <c r="C30" s="58" t="s">
        <v>43</v>
      </c>
      <c r="D30" s="59"/>
      <c r="E30" s="60"/>
      <c r="F30" s="60"/>
      <c r="G30" s="60"/>
      <c r="H30" s="67" t="n">
        <f aca="false">I17</f>
        <v>0.159</v>
      </c>
      <c r="I30" s="67"/>
      <c r="J30" s="67"/>
      <c r="K30" s="67"/>
      <c r="L30" s="67"/>
      <c r="M30" s="67"/>
      <c r="N30" s="67"/>
      <c r="O30" s="67"/>
      <c r="P30" s="67"/>
      <c r="Q30" s="67"/>
      <c r="R30" s="59"/>
      <c r="S30" s="68"/>
      <c r="T30" s="5"/>
      <c r="U30" s="5"/>
      <c r="V30" s="5"/>
      <c r="W30" s="5"/>
      <c r="X30" s="5"/>
      <c r="Y30" s="62"/>
      <c r="Z30" s="5"/>
      <c r="AA30" s="5"/>
      <c r="AB30" s="5"/>
      <c r="AC30" s="69"/>
      <c r="AD30" s="58" t="s">
        <v>44</v>
      </c>
      <c r="AE30" s="59"/>
      <c r="AF30" s="60"/>
      <c r="AG30" s="60"/>
      <c r="AH30" s="60"/>
      <c r="AI30" s="67" t="n">
        <f aca="false">AP15</f>
        <v>0.0558</v>
      </c>
      <c r="AJ30" s="67"/>
      <c r="AK30" s="67"/>
      <c r="AL30" s="67"/>
      <c r="AM30" s="67"/>
      <c r="AN30" s="67"/>
      <c r="AO30" s="67"/>
      <c r="AP30" s="67"/>
      <c r="AQ30" s="67"/>
      <c r="AR30" s="67"/>
      <c r="AS30" s="59"/>
      <c r="AT30" s="68"/>
      <c r="AU30" s="5"/>
      <c r="AV30" s="5"/>
      <c r="AW30" s="5"/>
      <c r="AX30" s="5"/>
      <c r="AY30" s="5"/>
      <c r="AZ30" s="62"/>
      <c r="BA30" s="5"/>
      <c r="BB30" s="5"/>
      <c r="BC30" s="5"/>
      <c r="BD30" s="5"/>
      <c r="BE30" s="70" t="n">
        <f aca="false">H30/AI30-100%</f>
        <v>1.8494623655914</v>
      </c>
      <c r="BF30" s="70"/>
      <c r="BG30" s="70"/>
      <c r="BH30" s="70"/>
      <c r="BI30" s="5"/>
      <c r="BJ30" s="71"/>
      <c r="BK30" s="72" t="n">
        <f aca="false">SUM(I8:Y12)</f>
        <v>35</v>
      </c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5"/>
      <c r="CD30" s="66"/>
      <c r="CE30" s="45"/>
      <c r="CI30" s="45"/>
      <c r="CK30" s="45"/>
    </row>
    <row r="31" customFormat="false" ht="12" hidden="false" customHeight="true" outlineLevel="0" collapsed="false">
      <c r="C31" s="58" t="s">
        <v>23</v>
      </c>
      <c r="D31" s="59"/>
      <c r="E31" s="60"/>
      <c r="F31" s="60"/>
      <c r="G31" s="60"/>
      <c r="H31" s="60"/>
      <c r="I31" s="73" t="n">
        <f aca="false">I15</f>
        <v>12</v>
      </c>
      <c r="J31" s="73"/>
      <c r="K31" s="73"/>
      <c r="L31" s="73"/>
      <c r="M31" s="73"/>
      <c r="N31" s="73"/>
      <c r="O31" s="73"/>
      <c r="P31" s="60"/>
      <c r="Q31" s="60"/>
      <c r="R31" s="60"/>
      <c r="S31" s="74"/>
      <c r="T31" s="5"/>
      <c r="U31" s="5"/>
      <c r="V31" s="5"/>
      <c r="W31" s="5"/>
      <c r="X31" s="5"/>
      <c r="Y31" s="53"/>
      <c r="Z31" s="5"/>
      <c r="AA31" s="5"/>
      <c r="AB31" s="5"/>
      <c r="AC31" s="5"/>
      <c r="AD31" s="58" t="s">
        <v>45</v>
      </c>
      <c r="AE31" s="59"/>
      <c r="AF31" s="60"/>
      <c r="AG31" s="60"/>
      <c r="AH31" s="60"/>
      <c r="AI31" s="60"/>
      <c r="AJ31" s="73" t="n">
        <f aca="false">I15</f>
        <v>12</v>
      </c>
      <c r="AK31" s="73"/>
      <c r="AL31" s="73"/>
      <c r="AM31" s="73"/>
      <c r="AN31" s="73"/>
      <c r="AO31" s="73"/>
      <c r="AP31" s="73"/>
      <c r="AQ31" s="60"/>
      <c r="AR31" s="60"/>
      <c r="AS31" s="60"/>
      <c r="AT31" s="74"/>
      <c r="AU31" s="5"/>
      <c r="AV31" s="5"/>
      <c r="AW31" s="5"/>
      <c r="AX31" s="5"/>
      <c r="AY31" s="5"/>
      <c r="AZ31" s="53"/>
      <c r="BA31" s="5"/>
      <c r="BB31" s="5"/>
      <c r="BC31" s="5"/>
      <c r="BD31" s="5"/>
      <c r="BE31" s="70"/>
      <c r="BF31" s="70"/>
      <c r="BG31" s="70"/>
      <c r="BH31" s="70"/>
      <c r="BI31" s="5"/>
      <c r="BJ31" s="75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5"/>
      <c r="CE31" s="76"/>
      <c r="CI31" s="45"/>
      <c r="CK31" s="76"/>
    </row>
    <row r="32" customFormat="false" ht="9" hidden="false" customHeight="true" outlineLevel="0" collapsed="false">
      <c r="B32" s="77"/>
      <c r="C32" s="5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3"/>
      <c r="Z32" s="5"/>
      <c r="AA32" s="5"/>
      <c r="AB32" s="5"/>
      <c r="AC32" s="5"/>
      <c r="AD32" s="52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3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E32" s="78"/>
      <c r="CK32" s="78"/>
    </row>
    <row r="33" customFormat="false" ht="3" hidden="false" customHeight="true" outlineLevel="0" collapsed="false">
      <c r="B33" s="77"/>
      <c r="C33" s="79" t="s">
        <v>46</v>
      </c>
      <c r="D33" s="6"/>
      <c r="E33" s="80" t="s">
        <v>47</v>
      </c>
      <c r="F33" s="6"/>
      <c r="G33" s="80" t="s">
        <v>48</v>
      </c>
      <c r="H33" s="6"/>
      <c r="I33" s="80" t="s">
        <v>49</v>
      </c>
      <c r="J33" s="6"/>
      <c r="K33" s="6"/>
      <c r="L33" s="6"/>
      <c r="M33" s="6"/>
      <c r="N33" s="9"/>
      <c r="O33" s="80" t="n">
        <v>1</v>
      </c>
      <c r="P33" s="9"/>
      <c r="Q33" s="80" t="s">
        <v>50</v>
      </c>
      <c r="R33" s="9"/>
      <c r="S33" s="80" t="s">
        <v>51</v>
      </c>
      <c r="T33" s="9"/>
      <c r="U33" s="81" t="s">
        <v>52</v>
      </c>
      <c r="V33" s="6"/>
      <c r="W33" s="80" t="s">
        <v>49</v>
      </c>
      <c r="X33" s="82"/>
      <c r="Y33" s="83" t="s">
        <v>51</v>
      </c>
      <c r="Z33" s="5"/>
      <c r="AA33" s="5"/>
      <c r="AB33" s="5"/>
      <c r="AC33" s="5"/>
      <c r="AD33" s="79" t="s">
        <v>46</v>
      </c>
      <c r="AE33" s="6"/>
      <c r="AF33" s="80" t="s">
        <v>47</v>
      </c>
      <c r="AG33" s="6"/>
      <c r="AH33" s="80" t="s">
        <v>48</v>
      </c>
      <c r="AI33" s="6"/>
      <c r="AJ33" s="80" t="s">
        <v>49</v>
      </c>
      <c r="AK33" s="6"/>
      <c r="AL33" s="6"/>
      <c r="AM33" s="6"/>
      <c r="AN33" s="6"/>
      <c r="AO33" s="9"/>
      <c r="AP33" s="80" t="n">
        <v>1</v>
      </c>
      <c r="AQ33" s="9"/>
      <c r="AR33" s="80" t="s">
        <v>50</v>
      </c>
      <c r="AS33" s="9"/>
      <c r="AT33" s="80" t="s">
        <v>51</v>
      </c>
      <c r="AU33" s="9"/>
      <c r="AV33" s="81" t="s">
        <v>52</v>
      </c>
      <c r="AW33" s="6"/>
      <c r="AX33" s="80" t="s">
        <v>49</v>
      </c>
      <c r="AY33" s="82"/>
      <c r="AZ33" s="83" t="s">
        <v>51</v>
      </c>
      <c r="BA33" s="5"/>
      <c r="BB33" s="5"/>
      <c r="BC33" s="5"/>
      <c r="BD33" s="5"/>
      <c r="BE33" s="84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9"/>
      <c r="BT33" s="6"/>
      <c r="BU33" s="9"/>
      <c r="BV33" s="6"/>
      <c r="BW33" s="9"/>
      <c r="BX33" s="6"/>
      <c r="BY33" s="9"/>
      <c r="BZ33" s="6"/>
      <c r="CA33" s="6"/>
      <c r="CB33" s="6"/>
      <c r="CC33" s="82"/>
      <c r="CD33" s="85"/>
    </row>
    <row r="34" customFormat="false" ht="3" hidden="false" customHeight="true" outlineLevel="0" collapsed="false">
      <c r="B34" s="77"/>
      <c r="C34" s="79"/>
      <c r="D34" s="6"/>
      <c r="E34" s="80"/>
      <c r="F34" s="6"/>
      <c r="G34" s="80"/>
      <c r="H34" s="6"/>
      <c r="I34" s="80"/>
      <c r="J34" s="6"/>
      <c r="K34" s="6"/>
      <c r="L34" s="6"/>
      <c r="M34" s="6"/>
      <c r="N34" s="9"/>
      <c r="O34" s="80"/>
      <c r="P34" s="9"/>
      <c r="Q34" s="80"/>
      <c r="R34" s="9"/>
      <c r="S34" s="80"/>
      <c r="T34" s="9"/>
      <c r="U34" s="81"/>
      <c r="V34" s="6"/>
      <c r="W34" s="80"/>
      <c r="X34" s="82"/>
      <c r="Y34" s="83"/>
      <c r="Z34" s="5"/>
      <c r="AA34" s="5"/>
      <c r="AB34" s="5"/>
      <c r="AC34" s="5"/>
      <c r="AD34" s="79"/>
      <c r="AE34" s="6"/>
      <c r="AF34" s="80"/>
      <c r="AG34" s="6"/>
      <c r="AH34" s="80"/>
      <c r="AI34" s="6"/>
      <c r="AJ34" s="80"/>
      <c r="AK34" s="6"/>
      <c r="AL34" s="6"/>
      <c r="AM34" s="6"/>
      <c r="AN34" s="6"/>
      <c r="AO34" s="9"/>
      <c r="AP34" s="80"/>
      <c r="AQ34" s="9"/>
      <c r="AR34" s="80"/>
      <c r="AS34" s="9"/>
      <c r="AT34" s="80"/>
      <c r="AU34" s="9"/>
      <c r="AV34" s="81"/>
      <c r="AW34" s="6"/>
      <c r="AX34" s="80"/>
      <c r="AY34" s="82"/>
      <c r="AZ34" s="83"/>
      <c r="BA34" s="5"/>
      <c r="BB34" s="5"/>
      <c r="BC34" s="5"/>
      <c r="BD34" s="5"/>
      <c r="BE34" s="84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9"/>
      <c r="BT34" s="6"/>
      <c r="BU34" s="9"/>
      <c r="BV34" s="6"/>
      <c r="BW34" s="9"/>
      <c r="BX34" s="6"/>
      <c r="BY34" s="9"/>
      <c r="BZ34" s="6"/>
      <c r="CA34" s="6"/>
      <c r="CB34" s="6"/>
      <c r="CC34" s="82"/>
      <c r="CD34" s="85"/>
    </row>
    <row r="35" customFormat="false" ht="3" hidden="false" customHeight="true" outlineLevel="0" collapsed="false">
      <c r="B35" s="77"/>
      <c r="C35" s="79"/>
      <c r="D35" s="6"/>
      <c r="E35" s="80"/>
      <c r="F35" s="6"/>
      <c r="G35" s="80"/>
      <c r="H35" s="6"/>
      <c r="I35" s="80"/>
      <c r="J35" s="6"/>
      <c r="K35" s="6"/>
      <c r="L35" s="6"/>
      <c r="M35" s="6"/>
      <c r="N35" s="9"/>
      <c r="O35" s="80"/>
      <c r="P35" s="9"/>
      <c r="Q35" s="80"/>
      <c r="R35" s="9"/>
      <c r="S35" s="80"/>
      <c r="T35" s="9"/>
      <c r="U35" s="81"/>
      <c r="V35" s="6"/>
      <c r="W35" s="80"/>
      <c r="X35" s="82"/>
      <c r="Y35" s="83"/>
      <c r="Z35" s="5"/>
      <c r="AA35" s="5"/>
      <c r="AB35" s="5"/>
      <c r="AC35" s="5"/>
      <c r="AD35" s="79"/>
      <c r="AE35" s="6"/>
      <c r="AF35" s="80"/>
      <c r="AG35" s="6"/>
      <c r="AH35" s="80"/>
      <c r="AI35" s="6"/>
      <c r="AJ35" s="80"/>
      <c r="AK35" s="6"/>
      <c r="AL35" s="6"/>
      <c r="AM35" s="6"/>
      <c r="AN35" s="6"/>
      <c r="AO35" s="9"/>
      <c r="AP35" s="80"/>
      <c r="AQ35" s="9"/>
      <c r="AR35" s="80"/>
      <c r="AS35" s="9"/>
      <c r="AT35" s="80"/>
      <c r="AU35" s="9"/>
      <c r="AV35" s="81"/>
      <c r="AW35" s="6"/>
      <c r="AX35" s="80"/>
      <c r="AY35" s="82"/>
      <c r="AZ35" s="83"/>
      <c r="BA35" s="5"/>
      <c r="BB35" s="5"/>
      <c r="BC35" s="5"/>
      <c r="BD35" s="5"/>
      <c r="BE35" s="84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9"/>
      <c r="BT35" s="6"/>
      <c r="BU35" s="9"/>
      <c r="BV35" s="6"/>
      <c r="BW35" s="9"/>
      <c r="BX35" s="6"/>
      <c r="BY35" s="9"/>
      <c r="BZ35" s="6"/>
      <c r="CA35" s="6"/>
      <c r="CB35" s="6"/>
      <c r="CC35" s="82"/>
      <c r="CD35" s="85"/>
    </row>
    <row r="36" customFormat="false" ht="3" hidden="false" customHeight="true" outlineLevel="0" collapsed="false">
      <c r="B36" s="77"/>
      <c r="C36" s="79"/>
      <c r="D36" s="6"/>
      <c r="E36" s="80"/>
      <c r="F36" s="6"/>
      <c r="G36" s="80"/>
      <c r="H36" s="6"/>
      <c r="I36" s="80"/>
      <c r="J36" s="6"/>
      <c r="K36" s="6"/>
      <c r="L36" s="6"/>
      <c r="M36" s="6"/>
      <c r="N36" s="6"/>
      <c r="O36" s="80"/>
      <c r="P36" s="6"/>
      <c r="Q36" s="80"/>
      <c r="R36" s="6"/>
      <c r="S36" s="80"/>
      <c r="T36" s="9"/>
      <c r="U36" s="9"/>
      <c r="V36" s="6"/>
      <c r="W36" s="80"/>
      <c r="X36" s="6"/>
      <c r="Y36" s="83"/>
      <c r="Z36" s="5"/>
      <c r="AA36" s="5"/>
      <c r="AB36" s="5"/>
      <c r="AC36" s="5"/>
      <c r="AD36" s="79"/>
      <c r="AE36" s="6"/>
      <c r="AF36" s="80"/>
      <c r="AG36" s="6"/>
      <c r="AH36" s="80"/>
      <c r="AI36" s="6"/>
      <c r="AJ36" s="80"/>
      <c r="AK36" s="6"/>
      <c r="AL36" s="6"/>
      <c r="AM36" s="6"/>
      <c r="AN36" s="6"/>
      <c r="AO36" s="6"/>
      <c r="AP36" s="80"/>
      <c r="AQ36" s="6"/>
      <c r="AR36" s="80"/>
      <c r="AS36" s="6"/>
      <c r="AT36" s="80"/>
      <c r="AU36" s="9"/>
      <c r="AV36" s="9"/>
      <c r="AW36" s="6"/>
      <c r="AX36" s="80"/>
      <c r="AY36" s="6"/>
      <c r="AZ36" s="83"/>
      <c r="BA36" s="5"/>
      <c r="BB36" s="5"/>
      <c r="BC36" s="5"/>
      <c r="BD36" s="5"/>
      <c r="BE36" s="84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9"/>
      <c r="BZ36" s="9"/>
      <c r="CA36" s="6"/>
      <c r="CB36" s="6"/>
      <c r="CC36" s="6"/>
      <c r="CD36" s="85"/>
    </row>
    <row r="37" customFormat="false" ht="3" hidden="false" customHeight="true" outlineLevel="0" collapsed="false">
      <c r="B37" s="77"/>
      <c r="C37" s="79"/>
      <c r="D37" s="6"/>
      <c r="E37" s="80"/>
      <c r="F37" s="6"/>
      <c r="G37" s="80"/>
      <c r="H37" s="6"/>
      <c r="I37" s="80"/>
      <c r="J37" s="6"/>
      <c r="K37" s="6"/>
      <c r="L37" s="6"/>
      <c r="M37" s="6"/>
      <c r="N37" s="6"/>
      <c r="O37" s="80"/>
      <c r="P37" s="6"/>
      <c r="Q37" s="80"/>
      <c r="R37" s="6"/>
      <c r="S37" s="80"/>
      <c r="T37" s="9"/>
      <c r="U37" s="9"/>
      <c r="V37" s="6"/>
      <c r="W37" s="80"/>
      <c r="X37" s="6"/>
      <c r="Y37" s="83"/>
      <c r="Z37" s="5"/>
      <c r="AA37" s="5"/>
      <c r="AB37" s="5"/>
      <c r="AC37" s="5"/>
      <c r="AD37" s="79"/>
      <c r="AE37" s="6"/>
      <c r="AF37" s="80"/>
      <c r="AG37" s="6"/>
      <c r="AH37" s="80"/>
      <c r="AI37" s="6"/>
      <c r="AJ37" s="80"/>
      <c r="AK37" s="6"/>
      <c r="AL37" s="6"/>
      <c r="AM37" s="6"/>
      <c r="AN37" s="6"/>
      <c r="AO37" s="6"/>
      <c r="AP37" s="80"/>
      <c r="AQ37" s="6"/>
      <c r="AR37" s="80"/>
      <c r="AS37" s="6"/>
      <c r="AT37" s="80"/>
      <c r="AU37" s="9"/>
      <c r="AV37" s="9"/>
      <c r="AW37" s="6"/>
      <c r="AX37" s="80"/>
      <c r="AY37" s="6"/>
      <c r="AZ37" s="83"/>
      <c r="BA37" s="5"/>
      <c r="BB37" s="5"/>
      <c r="BC37" s="5"/>
      <c r="BD37" s="5"/>
      <c r="BE37" s="84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9"/>
      <c r="BZ37" s="9"/>
      <c r="CA37" s="6"/>
      <c r="CB37" s="6"/>
      <c r="CC37" s="6"/>
      <c r="CD37" s="85"/>
    </row>
    <row r="38" customFormat="false" ht="3" hidden="false" customHeight="true" outlineLevel="0" collapsed="false">
      <c r="B38" s="77"/>
      <c r="C38" s="79"/>
      <c r="D38" s="6"/>
      <c r="E38" s="80"/>
      <c r="F38" s="6"/>
      <c r="G38" s="80"/>
      <c r="H38" s="6"/>
      <c r="I38" s="80"/>
      <c r="J38" s="6"/>
      <c r="K38" s="6"/>
      <c r="L38" s="6"/>
      <c r="M38" s="6"/>
      <c r="N38" s="9"/>
      <c r="O38" s="80"/>
      <c r="P38" s="9"/>
      <c r="Q38" s="80"/>
      <c r="R38" s="9"/>
      <c r="S38" s="80"/>
      <c r="T38" s="9"/>
      <c r="U38" s="9"/>
      <c r="V38" s="6"/>
      <c r="W38" s="80"/>
      <c r="X38" s="6"/>
      <c r="Y38" s="83"/>
      <c r="Z38" s="5"/>
      <c r="AA38" s="5"/>
      <c r="AB38" s="5"/>
      <c r="AC38" s="5"/>
      <c r="AD38" s="79"/>
      <c r="AE38" s="6"/>
      <c r="AF38" s="80"/>
      <c r="AG38" s="6"/>
      <c r="AH38" s="80"/>
      <c r="AI38" s="6"/>
      <c r="AJ38" s="80"/>
      <c r="AK38" s="6"/>
      <c r="AL38" s="6"/>
      <c r="AM38" s="6"/>
      <c r="AN38" s="6"/>
      <c r="AO38" s="9"/>
      <c r="AP38" s="80"/>
      <c r="AQ38" s="9"/>
      <c r="AR38" s="80"/>
      <c r="AS38" s="9"/>
      <c r="AT38" s="80"/>
      <c r="AU38" s="9"/>
      <c r="AV38" s="9"/>
      <c r="AW38" s="6"/>
      <c r="AX38" s="80"/>
      <c r="AY38" s="6"/>
      <c r="AZ38" s="83"/>
      <c r="BA38" s="5"/>
      <c r="BB38" s="5"/>
      <c r="BC38" s="5"/>
      <c r="BD38" s="5"/>
      <c r="BE38" s="86" t="s">
        <v>53</v>
      </c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6"/>
      <c r="CD38" s="85"/>
    </row>
    <row r="39" customFormat="false" ht="3" hidden="false" customHeight="true" outlineLevel="0" collapsed="false">
      <c r="B39" s="77"/>
      <c r="C39" s="79"/>
      <c r="D39" s="9"/>
      <c r="E39" s="80"/>
      <c r="F39" s="6"/>
      <c r="G39" s="80"/>
      <c r="H39" s="6"/>
      <c r="I39" s="80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87"/>
      <c r="Z39" s="5"/>
      <c r="AA39" s="5"/>
      <c r="AB39" s="5"/>
      <c r="AC39" s="5"/>
      <c r="AD39" s="79"/>
      <c r="AE39" s="9"/>
      <c r="AF39" s="80"/>
      <c r="AG39" s="6"/>
      <c r="AH39" s="80"/>
      <c r="AI39" s="6"/>
      <c r="AJ39" s="80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87"/>
      <c r="BA39" s="5"/>
      <c r="BB39" s="5"/>
      <c r="BC39" s="5"/>
      <c r="BD39" s="5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6"/>
      <c r="CD39" s="85"/>
    </row>
    <row r="40" customFormat="false" ht="3" hidden="false" customHeight="true" outlineLevel="0" collapsed="false">
      <c r="B40" s="77"/>
      <c r="C40" s="79"/>
      <c r="D40" s="9"/>
      <c r="E40" s="80"/>
      <c r="F40" s="6"/>
      <c r="G40" s="80"/>
      <c r="H40" s="6"/>
      <c r="I40" s="80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87"/>
      <c r="Z40" s="5"/>
      <c r="AA40" s="5"/>
      <c r="AB40" s="5"/>
      <c r="AC40" s="5"/>
      <c r="AD40" s="79"/>
      <c r="AE40" s="9"/>
      <c r="AF40" s="80"/>
      <c r="AG40" s="6"/>
      <c r="AH40" s="80"/>
      <c r="AI40" s="6"/>
      <c r="AJ40" s="80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87"/>
      <c r="BA40" s="5"/>
      <c r="BB40" s="5"/>
      <c r="BC40" s="5"/>
      <c r="BD40" s="5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6"/>
      <c r="CD40" s="85"/>
    </row>
    <row r="41" customFormat="false" ht="3" hidden="false" customHeight="true" outlineLevel="0" collapsed="false">
      <c r="B41" s="77"/>
      <c r="C41" s="79"/>
      <c r="D41" s="6"/>
      <c r="E41" s="80"/>
      <c r="F41" s="6"/>
      <c r="G41" s="80"/>
      <c r="H41" s="6"/>
      <c r="I41" s="80"/>
      <c r="J41" s="6"/>
      <c r="K41" s="6"/>
      <c r="L41" s="6"/>
      <c r="M41" s="6"/>
      <c r="N41" s="9"/>
      <c r="O41" s="80" t="n">
        <v>1</v>
      </c>
      <c r="P41" s="9"/>
      <c r="Q41" s="80" t="s">
        <v>50</v>
      </c>
      <c r="R41" s="9"/>
      <c r="S41" s="80" t="s">
        <v>51</v>
      </c>
      <c r="T41" s="9"/>
      <c r="U41" s="81" t="s">
        <v>52</v>
      </c>
      <c r="V41" s="6"/>
      <c r="W41" s="80" t="s">
        <v>54</v>
      </c>
      <c r="X41" s="82"/>
      <c r="Y41" s="83" t="n">
        <v>1</v>
      </c>
      <c r="Z41" s="5"/>
      <c r="AA41" s="5"/>
      <c r="AB41" s="5"/>
      <c r="AC41" s="5"/>
      <c r="AD41" s="79"/>
      <c r="AE41" s="6"/>
      <c r="AF41" s="80"/>
      <c r="AG41" s="6"/>
      <c r="AH41" s="80"/>
      <c r="AI41" s="6"/>
      <c r="AJ41" s="80"/>
      <c r="AK41" s="6"/>
      <c r="AL41" s="6"/>
      <c r="AM41" s="6"/>
      <c r="AN41" s="6"/>
      <c r="AO41" s="9"/>
      <c r="AP41" s="80" t="n">
        <v>1</v>
      </c>
      <c r="AQ41" s="9"/>
      <c r="AR41" s="80" t="s">
        <v>50</v>
      </c>
      <c r="AS41" s="9"/>
      <c r="AT41" s="80" t="s">
        <v>51</v>
      </c>
      <c r="AU41" s="9"/>
      <c r="AV41" s="81" t="s">
        <v>52</v>
      </c>
      <c r="AW41" s="6"/>
      <c r="AX41" s="80" t="s">
        <v>54</v>
      </c>
      <c r="AY41" s="82"/>
      <c r="AZ41" s="83" t="n">
        <v>1</v>
      </c>
      <c r="BA41" s="5"/>
      <c r="BB41" s="5"/>
      <c r="BC41" s="5"/>
      <c r="BD41" s="5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2"/>
      <c r="CD41" s="85"/>
    </row>
    <row r="42" customFormat="false" ht="3" hidden="false" customHeight="true" outlineLevel="0" collapsed="false">
      <c r="B42" s="77"/>
      <c r="C42" s="79"/>
      <c r="D42" s="6"/>
      <c r="E42" s="80"/>
      <c r="F42" s="6"/>
      <c r="G42" s="80"/>
      <c r="H42" s="6"/>
      <c r="I42" s="80"/>
      <c r="J42" s="6"/>
      <c r="K42" s="6"/>
      <c r="L42" s="6"/>
      <c r="M42" s="6"/>
      <c r="N42" s="9"/>
      <c r="O42" s="80"/>
      <c r="P42" s="9"/>
      <c r="Q42" s="80"/>
      <c r="R42" s="9"/>
      <c r="S42" s="80"/>
      <c r="T42" s="9"/>
      <c r="U42" s="81"/>
      <c r="V42" s="6"/>
      <c r="W42" s="80"/>
      <c r="X42" s="82"/>
      <c r="Y42" s="83"/>
      <c r="Z42" s="5"/>
      <c r="AA42" s="5"/>
      <c r="AB42" s="5"/>
      <c r="AC42" s="5"/>
      <c r="AD42" s="79"/>
      <c r="AE42" s="6"/>
      <c r="AF42" s="80"/>
      <c r="AG42" s="6"/>
      <c r="AH42" s="80"/>
      <c r="AI42" s="6"/>
      <c r="AJ42" s="80"/>
      <c r="AK42" s="6"/>
      <c r="AL42" s="6"/>
      <c r="AM42" s="6"/>
      <c r="AN42" s="6"/>
      <c r="AO42" s="9"/>
      <c r="AP42" s="80"/>
      <c r="AQ42" s="9"/>
      <c r="AR42" s="80"/>
      <c r="AS42" s="9"/>
      <c r="AT42" s="80"/>
      <c r="AU42" s="9"/>
      <c r="AV42" s="81"/>
      <c r="AW42" s="6"/>
      <c r="AX42" s="80"/>
      <c r="AY42" s="82"/>
      <c r="AZ42" s="83"/>
      <c r="BA42" s="5"/>
      <c r="BB42" s="5"/>
      <c r="BC42" s="5"/>
      <c r="BD42" s="5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2"/>
      <c r="CD42" s="85"/>
    </row>
    <row r="43" customFormat="false" ht="3" hidden="false" customHeight="true" outlineLevel="0" collapsed="false">
      <c r="B43" s="77"/>
      <c r="C43" s="79"/>
      <c r="D43" s="6"/>
      <c r="E43" s="80"/>
      <c r="F43" s="6"/>
      <c r="G43" s="80"/>
      <c r="H43" s="6"/>
      <c r="I43" s="80"/>
      <c r="J43" s="6"/>
      <c r="K43" s="6"/>
      <c r="L43" s="6"/>
      <c r="M43" s="6"/>
      <c r="N43" s="9"/>
      <c r="O43" s="80"/>
      <c r="P43" s="9"/>
      <c r="Q43" s="80"/>
      <c r="R43" s="9"/>
      <c r="S43" s="80"/>
      <c r="T43" s="9"/>
      <c r="U43" s="81"/>
      <c r="V43" s="6"/>
      <c r="W43" s="80"/>
      <c r="X43" s="82"/>
      <c r="Y43" s="83"/>
      <c r="Z43" s="5"/>
      <c r="AA43" s="5"/>
      <c r="AB43" s="5"/>
      <c r="AC43" s="5"/>
      <c r="AD43" s="79"/>
      <c r="AE43" s="6"/>
      <c r="AF43" s="80"/>
      <c r="AG43" s="6"/>
      <c r="AH43" s="80"/>
      <c r="AI43" s="6"/>
      <c r="AJ43" s="80"/>
      <c r="AK43" s="6"/>
      <c r="AL43" s="6"/>
      <c r="AM43" s="6"/>
      <c r="AN43" s="6"/>
      <c r="AO43" s="9"/>
      <c r="AP43" s="80"/>
      <c r="AQ43" s="9"/>
      <c r="AR43" s="80"/>
      <c r="AS43" s="9"/>
      <c r="AT43" s="80"/>
      <c r="AU43" s="9"/>
      <c r="AV43" s="81"/>
      <c r="AW43" s="6"/>
      <c r="AX43" s="80"/>
      <c r="AY43" s="82"/>
      <c r="AZ43" s="83"/>
      <c r="BA43" s="5"/>
      <c r="BB43" s="5"/>
      <c r="BC43" s="5"/>
      <c r="BD43" s="5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2"/>
      <c r="CD43" s="85"/>
    </row>
    <row r="44" customFormat="false" ht="3" hidden="false" customHeight="true" outlineLevel="0" collapsed="false">
      <c r="B44" s="77"/>
      <c r="C44" s="79"/>
      <c r="D44" s="6"/>
      <c r="E44" s="80"/>
      <c r="F44" s="6"/>
      <c r="G44" s="80"/>
      <c r="H44" s="6"/>
      <c r="I44" s="80"/>
      <c r="J44" s="6"/>
      <c r="K44" s="6"/>
      <c r="L44" s="6"/>
      <c r="M44" s="6"/>
      <c r="N44" s="6"/>
      <c r="O44" s="80"/>
      <c r="P44" s="6"/>
      <c r="Q44" s="80"/>
      <c r="R44" s="6"/>
      <c r="S44" s="80"/>
      <c r="T44" s="9"/>
      <c r="U44" s="9"/>
      <c r="V44" s="6"/>
      <c r="W44" s="80"/>
      <c r="X44" s="6"/>
      <c r="Y44" s="83"/>
      <c r="Z44" s="5"/>
      <c r="AA44" s="5"/>
      <c r="AB44" s="5"/>
      <c r="AC44" s="5"/>
      <c r="AD44" s="79"/>
      <c r="AE44" s="6"/>
      <c r="AF44" s="80"/>
      <c r="AG44" s="6"/>
      <c r="AH44" s="80"/>
      <c r="AI44" s="6"/>
      <c r="AJ44" s="80"/>
      <c r="AK44" s="6"/>
      <c r="AL44" s="6"/>
      <c r="AM44" s="6"/>
      <c r="AN44" s="6"/>
      <c r="AO44" s="6"/>
      <c r="AP44" s="80"/>
      <c r="AQ44" s="6"/>
      <c r="AR44" s="80"/>
      <c r="AS44" s="6"/>
      <c r="AT44" s="80"/>
      <c r="AU44" s="9"/>
      <c r="AV44" s="9"/>
      <c r="AW44" s="6"/>
      <c r="AX44" s="80"/>
      <c r="AY44" s="6"/>
      <c r="AZ44" s="83"/>
      <c r="BA44" s="5"/>
      <c r="BB44" s="5"/>
      <c r="BC44" s="5"/>
      <c r="BD44" s="5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6"/>
      <c r="CD44" s="85"/>
    </row>
    <row r="45" customFormat="false" ht="3" hidden="false" customHeight="true" outlineLevel="0" collapsed="false">
      <c r="B45" s="77"/>
      <c r="C45" s="79"/>
      <c r="D45" s="6"/>
      <c r="E45" s="80"/>
      <c r="F45" s="6"/>
      <c r="G45" s="80"/>
      <c r="H45" s="6"/>
      <c r="I45" s="80"/>
      <c r="J45" s="6"/>
      <c r="K45" s="6"/>
      <c r="L45" s="6"/>
      <c r="M45" s="6"/>
      <c r="N45" s="6"/>
      <c r="O45" s="80"/>
      <c r="P45" s="6"/>
      <c r="Q45" s="80"/>
      <c r="R45" s="6"/>
      <c r="S45" s="80"/>
      <c r="T45" s="9"/>
      <c r="U45" s="9"/>
      <c r="V45" s="6"/>
      <c r="W45" s="80"/>
      <c r="X45" s="6"/>
      <c r="Y45" s="83"/>
      <c r="Z45" s="5"/>
      <c r="AA45" s="5"/>
      <c r="AB45" s="5"/>
      <c r="AC45" s="5"/>
      <c r="AD45" s="79"/>
      <c r="AE45" s="6"/>
      <c r="AF45" s="80"/>
      <c r="AG45" s="6"/>
      <c r="AH45" s="80"/>
      <c r="AI45" s="6"/>
      <c r="AJ45" s="80"/>
      <c r="AK45" s="6"/>
      <c r="AL45" s="6"/>
      <c r="AM45" s="6"/>
      <c r="AN45" s="6"/>
      <c r="AO45" s="6"/>
      <c r="AP45" s="80"/>
      <c r="AQ45" s="6"/>
      <c r="AR45" s="80"/>
      <c r="AS45" s="6"/>
      <c r="AT45" s="80"/>
      <c r="AU45" s="9"/>
      <c r="AV45" s="9"/>
      <c r="AW45" s="6"/>
      <c r="AX45" s="80"/>
      <c r="AY45" s="6"/>
      <c r="AZ45" s="83"/>
      <c r="BA45" s="5"/>
      <c r="BB45" s="5"/>
      <c r="BC45" s="5"/>
      <c r="BD45" s="5"/>
      <c r="BE45" s="88" t="n">
        <f aca="false">RATE(I15,I16,-I14)</f>
        <v>0.16498565301736</v>
      </c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6"/>
      <c r="CD45" s="85"/>
    </row>
    <row r="46" customFormat="false" ht="3" hidden="false" customHeight="true" outlineLevel="0" collapsed="false">
      <c r="B46" s="77"/>
      <c r="C46" s="79"/>
      <c r="D46" s="6"/>
      <c r="E46" s="80"/>
      <c r="F46" s="6"/>
      <c r="G46" s="80"/>
      <c r="H46" s="6"/>
      <c r="I46" s="80"/>
      <c r="J46" s="6"/>
      <c r="K46" s="6"/>
      <c r="L46" s="6"/>
      <c r="M46" s="6"/>
      <c r="N46" s="9"/>
      <c r="O46" s="80"/>
      <c r="P46" s="9"/>
      <c r="Q46" s="80"/>
      <c r="R46" s="9"/>
      <c r="S46" s="80"/>
      <c r="T46" s="9"/>
      <c r="U46" s="9"/>
      <c r="V46" s="6"/>
      <c r="W46" s="80"/>
      <c r="X46" s="6"/>
      <c r="Y46" s="83"/>
      <c r="Z46" s="5"/>
      <c r="AA46" s="5"/>
      <c r="AB46" s="5"/>
      <c r="AC46" s="5"/>
      <c r="AD46" s="79"/>
      <c r="AE46" s="6"/>
      <c r="AF46" s="80"/>
      <c r="AG46" s="6"/>
      <c r="AH46" s="80"/>
      <c r="AI46" s="6"/>
      <c r="AJ46" s="80"/>
      <c r="AK46" s="6"/>
      <c r="AL46" s="6"/>
      <c r="AM46" s="6"/>
      <c r="AN46" s="6"/>
      <c r="AO46" s="9"/>
      <c r="AP46" s="80"/>
      <c r="AQ46" s="9"/>
      <c r="AR46" s="80"/>
      <c r="AS46" s="9"/>
      <c r="AT46" s="80"/>
      <c r="AU46" s="9"/>
      <c r="AV46" s="9"/>
      <c r="AW46" s="6"/>
      <c r="AX46" s="80"/>
      <c r="AY46" s="6"/>
      <c r="AZ46" s="83"/>
      <c r="BA46" s="5"/>
      <c r="BB46" s="5"/>
      <c r="BC46" s="5"/>
      <c r="BD46" s="5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6"/>
      <c r="CD46" s="85"/>
    </row>
    <row r="47" customFormat="false" ht="3" hidden="false" customHeight="true" outlineLevel="0" collapsed="false">
      <c r="C47" s="79"/>
      <c r="D47" s="6"/>
      <c r="E47" s="80"/>
      <c r="F47" s="6"/>
      <c r="G47" s="80"/>
      <c r="H47" s="6"/>
      <c r="I47" s="80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87"/>
      <c r="Z47" s="5"/>
      <c r="AA47" s="5"/>
      <c r="AB47" s="5"/>
      <c r="AC47" s="5"/>
      <c r="AD47" s="79"/>
      <c r="AE47" s="6"/>
      <c r="AF47" s="80"/>
      <c r="AG47" s="6"/>
      <c r="AH47" s="80"/>
      <c r="AI47" s="6"/>
      <c r="AJ47" s="80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87"/>
      <c r="BA47" s="5"/>
      <c r="BB47" s="5"/>
      <c r="BC47" s="5"/>
      <c r="BD47" s="5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6"/>
      <c r="CD47" s="85"/>
    </row>
    <row r="48" customFormat="false" ht="9" hidden="false" customHeight="true" outlineLevel="0" collapsed="false">
      <c r="C48" s="5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87"/>
      <c r="Z48" s="5"/>
      <c r="AA48" s="5"/>
      <c r="AB48" s="5"/>
      <c r="AC48" s="5"/>
      <c r="AD48" s="5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87"/>
      <c r="BA48" s="5"/>
      <c r="BB48" s="5"/>
      <c r="BC48" s="5"/>
      <c r="BD48" s="5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6"/>
      <c r="CD48" s="85"/>
    </row>
    <row r="49" customFormat="false" ht="3" hidden="false" customHeight="true" outlineLevel="0" collapsed="false">
      <c r="B49" s="77"/>
      <c r="C49" s="79" t="s">
        <v>46</v>
      </c>
      <c r="D49" s="6"/>
      <c r="E49" s="80" t="s">
        <v>47</v>
      </c>
      <c r="F49" s="6"/>
      <c r="G49" s="89" t="n">
        <f aca="false">H29</f>
        <v>753</v>
      </c>
      <c r="H49" s="6"/>
      <c r="I49" s="80" t="s">
        <v>49</v>
      </c>
      <c r="J49" s="6"/>
      <c r="K49" s="6"/>
      <c r="L49" s="6"/>
      <c r="M49" s="6"/>
      <c r="N49" s="9"/>
      <c r="O49" s="80" t="n">
        <v>1</v>
      </c>
      <c r="P49" s="9"/>
      <c r="Q49" s="80" t="s">
        <v>50</v>
      </c>
      <c r="R49" s="9"/>
      <c r="S49" s="90" t="n">
        <f aca="false">H30</f>
        <v>0.159</v>
      </c>
      <c r="T49" s="9"/>
      <c r="U49" s="91" t="n">
        <f aca="false">I31</f>
        <v>12</v>
      </c>
      <c r="V49" s="6"/>
      <c r="W49" s="80" t="s">
        <v>49</v>
      </c>
      <c r="X49" s="82"/>
      <c r="Y49" s="92" t="n">
        <f aca="false">S49</f>
        <v>0.159</v>
      </c>
      <c r="Z49" s="5"/>
      <c r="AA49" s="5"/>
      <c r="AB49" s="5"/>
      <c r="AC49" s="5"/>
      <c r="AD49" s="79" t="s">
        <v>46</v>
      </c>
      <c r="AE49" s="6"/>
      <c r="AF49" s="80" t="s">
        <v>47</v>
      </c>
      <c r="AG49" s="6"/>
      <c r="AH49" s="89" t="n">
        <f aca="false">AI29</f>
        <v>718</v>
      </c>
      <c r="AI49" s="6"/>
      <c r="AJ49" s="80" t="s">
        <v>49</v>
      </c>
      <c r="AK49" s="6"/>
      <c r="AL49" s="6"/>
      <c r="AM49" s="6"/>
      <c r="AN49" s="6"/>
      <c r="AO49" s="9"/>
      <c r="AP49" s="80" t="n">
        <v>1</v>
      </c>
      <c r="AQ49" s="9"/>
      <c r="AR49" s="80" t="s">
        <v>50</v>
      </c>
      <c r="AS49" s="9"/>
      <c r="AT49" s="90" t="n">
        <f aca="false">AI30</f>
        <v>0.0558</v>
      </c>
      <c r="AU49" s="9"/>
      <c r="AV49" s="91" t="n">
        <f aca="false">AJ31</f>
        <v>12</v>
      </c>
      <c r="AW49" s="6"/>
      <c r="AX49" s="80" t="s">
        <v>49</v>
      </c>
      <c r="AY49" s="82"/>
      <c r="AZ49" s="92" t="n">
        <f aca="false">AT49</f>
        <v>0.0558</v>
      </c>
      <c r="BA49" s="5"/>
      <c r="BB49" s="5"/>
      <c r="BC49" s="5"/>
      <c r="BD49" s="5"/>
      <c r="BE49" s="84"/>
      <c r="BF49" s="6"/>
      <c r="BG49" s="6"/>
      <c r="BH49" s="6"/>
      <c r="BI49" s="6"/>
      <c r="BJ49" s="6"/>
      <c r="BK49" s="6"/>
      <c r="BL49" s="93"/>
      <c r="BM49" s="6"/>
      <c r="BN49" s="6"/>
      <c r="BO49" s="6"/>
      <c r="BP49" s="6"/>
      <c r="BQ49" s="6"/>
      <c r="BR49" s="6"/>
      <c r="BS49" s="9"/>
      <c r="BT49" s="6"/>
      <c r="BU49" s="9"/>
      <c r="BV49" s="6"/>
      <c r="BW49" s="9"/>
      <c r="BX49" s="94"/>
      <c r="BY49" s="9"/>
      <c r="BZ49" s="95"/>
      <c r="CA49" s="6"/>
      <c r="CB49" s="6"/>
      <c r="CC49" s="82"/>
      <c r="CD49" s="96"/>
    </row>
    <row r="50" customFormat="false" ht="3" hidden="false" customHeight="true" outlineLevel="0" collapsed="false">
      <c r="B50" s="77"/>
      <c r="C50" s="79"/>
      <c r="D50" s="6"/>
      <c r="E50" s="80"/>
      <c r="F50" s="6"/>
      <c r="G50" s="89"/>
      <c r="H50" s="6"/>
      <c r="I50" s="80"/>
      <c r="J50" s="6"/>
      <c r="K50" s="6"/>
      <c r="L50" s="6"/>
      <c r="M50" s="6"/>
      <c r="N50" s="9"/>
      <c r="O50" s="80"/>
      <c r="P50" s="9"/>
      <c r="Q50" s="80"/>
      <c r="R50" s="9"/>
      <c r="S50" s="90"/>
      <c r="T50" s="9"/>
      <c r="U50" s="91"/>
      <c r="V50" s="6"/>
      <c r="W50" s="80"/>
      <c r="X50" s="82"/>
      <c r="Y50" s="92"/>
      <c r="Z50" s="5"/>
      <c r="AA50" s="5"/>
      <c r="AB50" s="5"/>
      <c r="AC50" s="5"/>
      <c r="AD50" s="79"/>
      <c r="AE50" s="6"/>
      <c r="AF50" s="80"/>
      <c r="AG50" s="6"/>
      <c r="AH50" s="89"/>
      <c r="AI50" s="6"/>
      <c r="AJ50" s="80"/>
      <c r="AK50" s="6"/>
      <c r="AL50" s="6"/>
      <c r="AM50" s="6"/>
      <c r="AN50" s="6"/>
      <c r="AO50" s="9"/>
      <c r="AP50" s="80"/>
      <c r="AQ50" s="9"/>
      <c r="AR50" s="80"/>
      <c r="AS50" s="9"/>
      <c r="AT50" s="90"/>
      <c r="AU50" s="9"/>
      <c r="AV50" s="91"/>
      <c r="AW50" s="6"/>
      <c r="AX50" s="80"/>
      <c r="AY50" s="82"/>
      <c r="AZ50" s="92"/>
      <c r="BA50" s="5"/>
      <c r="BB50" s="5"/>
      <c r="BC50" s="5"/>
      <c r="BD50" s="5"/>
      <c r="BE50" s="84"/>
      <c r="BF50" s="6"/>
      <c r="BG50" s="6"/>
      <c r="BH50" s="6"/>
      <c r="BI50" s="6"/>
      <c r="BJ50" s="6"/>
      <c r="BK50" s="6"/>
      <c r="BL50" s="93"/>
      <c r="BM50" s="6"/>
      <c r="BN50" s="6"/>
      <c r="BO50" s="6"/>
      <c r="BP50" s="6"/>
      <c r="BQ50" s="6"/>
      <c r="BR50" s="6"/>
      <c r="BS50" s="9"/>
      <c r="BT50" s="6"/>
      <c r="BU50" s="9"/>
      <c r="BV50" s="6"/>
      <c r="BW50" s="9"/>
      <c r="BX50" s="94"/>
      <c r="BY50" s="9"/>
      <c r="BZ50" s="95"/>
      <c r="CA50" s="6"/>
      <c r="CB50" s="6"/>
      <c r="CC50" s="82"/>
      <c r="CD50" s="96"/>
    </row>
    <row r="51" customFormat="false" ht="3" hidden="false" customHeight="true" outlineLevel="0" collapsed="false">
      <c r="B51" s="77"/>
      <c r="C51" s="79"/>
      <c r="D51" s="6"/>
      <c r="E51" s="80"/>
      <c r="F51" s="6"/>
      <c r="G51" s="89"/>
      <c r="H51" s="6"/>
      <c r="I51" s="80"/>
      <c r="J51" s="6"/>
      <c r="K51" s="6"/>
      <c r="L51" s="6"/>
      <c r="M51" s="6"/>
      <c r="N51" s="9"/>
      <c r="O51" s="80"/>
      <c r="P51" s="9"/>
      <c r="Q51" s="80"/>
      <c r="R51" s="9"/>
      <c r="S51" s="90"/>
      <c r="T51" s="9"/>
      <c r="U51" s="91"/>
      <c r="V51" s="6"/>
      <c r="W51" s="80"/>
      <c r="X51" s="82"/>
      <c r="Y51" s="92"/>
      <c r="Z51" s="5"/>
      <c r="AA51" s="5"/>
      <c r="AB51" s="5"/>
      <c r="AC51" s="5"/>
      <c r="AD51" s="79"/>
      <c r="AE51" s="6"/>
      <c r="AF51" s="80"/>
      <c r="AG51" s="6"/>
      <c r="AH51" s="89"/>
      <c r="AI51" s="6"/>
      <c r="AJ51" s="80"/>
      <c r="AK51" s="6"/>
      <c r="AL51" s="6"/>
      <c r="AM51" s="6"/>
      <c r="AN51" s="6"/>
      <c r="AO51" s="9"/>
      <c r="AP51" s="80"/>
      <c r="AQ51" s="9"/>
      <c r="AR51" s="80"/>
      <c r="AS51" s="9"/>
      <c r="AT51" s="90"/>
      <c r="AU51" s="9"/>
      <c r="AV51" s="91"/>
      <c r="AW51" s="6"/>
      <c r="AX51" s="80"/>
      <c r="AY51" s="82"/>
      <c r="AZ51" s="92"/>
      <c r="BA51" s="5"/>
      <c r="BB51" s="5"/>
      <c r="BC51" s="5"/>
      <c r="BD51" s="5"/>
      <c r="BE51" s="84"/>
      <c r="BF51" s="6"/>
      <c r="BG51" s="6"/>
      <c r="BH51" s="6"/>
      <c r="BI51" s="6"/>
      <c r="BJ51" s="6"/>
      <c r="BK51" s="6"/>
      <c r="BL51" s="93"/>
      <c r="BM51" s="6"/>
      <c r="BN51" s="6"/>
      <c r="BO51" s="6"/>
      <c r="BP51" s="6"/>
      <c r="BQ51" s="6"/>
      <c r="BR51" s="6"/>
      <c r="BS51" s="9"/>
      <c r="BT51" s="6"/>
      <c r="BU51" s="9"/>
      <c r="BV51" s="6"/>
      <c r="BW51" s="9"/>
      <c r="BX51" s="94"/>
      <c r="BY51" s="9"/>
      <c r="BZ51" s="95"/>
      <c r="CA51" s="6"/>
      <c r="CB51" s="6"/>
      <c r="CC51" s="82"/>
      <c r="CD51" s="96"/>
    </row>
    <row r="52" customFormat="false" ht="3" hidden="false" customHeight="true" outlineLevel="0" collapsed="false">
      <c r="B52" s="77"/>
      <c r="C52" s="79"/>
      <c r="D52" s="6"/>
      <c r="E52" s="80"/>
      <c r="F52" s="6"/>
      <c r="G52" s="89"/>
      <c r="H52" s="6"/>
      <c r="I52" s="80"/>
      <c r="J52" s="6"/>
      <c r="K52" s="6"/>
      <c r="L52" s="6"/>
      <c r="M52" s="6"/>
      <c r="N52" s="6"/>
      <c r="O52" s="80"/>
      <c r="P52" s="6"/>
      <c r="Q52" s="80"/>
      <c r="R52" s="6"/>
      <c r="S52" s="90"/>
      <c r="T52" s="9"/>
      <c r="U52" s="9"/>
      <c r="V52" s="6"/>
      <c r="W52" s="80"/>
      <c r="X52" s="6"/>
      <c r="Y52" s="92"/>
      <c r="Z52" s="5"/>
      <c r="AA52" s="5"/>
      <c r="AB52" s="5"/>
      <c r="AC52" s="5"/>
      <c r="AD52" s="79"/>
      <c r="AE52" s="6"/>
      <c r="AF52" s="80"/>
      <c r="AG52" s="6"/>
      <c r="AH52" s="89"/>
      <c r="AI52" s="6"/>
      <c r="AJ52" s="80"/>
      <c r="AK52" s="6"/>
      <c r="AL52" s="6"/>
      <c r="AM52" s="6"/>
      <c r="AN52" s="6"/>
      <c r="AO52" s="6"/>
      <c r="AP52" s="80"/>
      <c r="AQ52" s="6"/>
      <c r="AR52" s="80"/>
      <c r="AS52" s="6"/>
      <c r="AT52" s="90"/>
      <c r="AU52" s="9"/>
      <c r="AV52" s="9"/>
      <c r="AW52" s="6"/>
      <c r="AX52" s="80"/>
      <c r="AY52" s="6"/>
      <c r="AZ52" s="92"/>
      <c r="BA52" s="5"/>
      <c r="BB52" s="5"/>
      <c r="BC52" s="5"/>
      <c r="BD52" s="5"/>
      <c r="BE52" s="84"/>
      <c r="BF52" s="6"/>
      <c r="BG52" s="6"/>
      <c r="BH52" s="6"/>
      <c r="BI52" s="6"/>
      <c r="BJ52" s="6"/>
      <c r="BK52" s="6"/>
      <c r="BL52" s="93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94"/>
      <c r="BY52" s="9"/>
      <c r="BZ52" s="9"/>
      <c r="CA52" s="6"/>
      <c r="CB52" s="6"/>
      <c r="CC52" s="6"/>
      <c r="CD52" s="96"/>
    </row>
    <row r="53" customFormat="false" ht="3" hidden="false" customHeight="true" outlineLevel="0" collapsed="false">
      <c r="B53" s="77"/>
      <c r="C53" s="79"/>
      <c r="D53" s="6"/>
      <c r="E53" s="80"/>
      <c r="F53" s="6"/>
      <c r="G53" s="89"/>
      <c r="H53" s="6"/>
      <c r="I53" s="80"/>
      <c r="J53" s="6"/>
      <c r="K53" s="6"/>
      <c r="L53" s="6"/>
      <c r="M53" s="6"/>
      <c r="N53" s="6"/>
      <c r="O53" s="80"/>
      <c r="P53" s="6"/>
      <c r="Q53" s="80"/>
      <c r="R53" s="6"/>
      <c r="S53" s="90"/>
      <c r="T53" s="9"/>
      <c r="U53" s="9"/>
      <c r="V53" s="6"/>
      <c r="W53" s="80"/>
      <c r="X53" s="6"/>
      <c r="Y53" s="92"/>
      <c r="Z53" s="5"/>
      <c r="AA53" s="5"/>
      <c r="AB53" s="5"/>
      <c r="AC53" s="5"/>
      <c r="AD53" s="79"/>
      <c r="AE53" s="6"/>
      <c r="AF53" s="80"/>
      <c r="AG53" s="6"/>
      <c r="AH53" s="89"/>
      <c r="AI53" s="6"/>
      <c r="AJ53" s="80"/>
      <c r="AK53" s="6"/>
      <c r="AL53" s="6"/>
      <c r="AM53" s="6"/>
      <c r="AN53" s="6"/>
      <c r="AO53" s="6"/>
      <c r="AP53" s="80"/>
      <c r="AQ53" s="6"/>
      <c r="AR53" s="80"/>
      <c r="AS53" s="6"/>
      <c r="AT53" s="90"/>
      <c r="AU53" s="9"/>
      <c r="AV53" s="9"/>
      <c r="AW53" s="6"/>
      <c r="AX53" s="80"/>
      <c r="AY53" s="6"/>
      <c r="AZ53" s="92"/>
      <c r="BA53" s="5"/>
      <c r="BB53" s="5"/>
      <c r="BC53" s="5"/>
      <c r="BD53" s="5"/>
      <c r="BE53" s="84"/>
      <c r="BF53" s="6"/>
      <c r="BG53" s="6"/>
      <c r="BH53" s="6"/>
      <c r="BI53" s="6"/>
      <c r="BJ53" s="6"/>
      <c r="BK53" s="6"/>
      <c r="BL53" s="93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94"/>
      <c r="BY53" s="9"/>
      <c r="BZ53" s="9"/>
      <c r="CA53" s="6"/>
      <c r="CB53" s="6"/>
      <c r="CC53" s="6"/>
      <c r="CD53" s="96"/>
    </row>
    <row r="54" customFormat="false" ht="3" hidden="false" customHeight="true" outlineLevel="0" collapsed="false">
      <c r="B54" s="77"/>
      <c r="C54" s="79"/>
      <c r="D54" s="6"/>
      <c r="E54" s="80"/>
      <c r="F54" s="6"/>
      <c r="G54" s="89"/>
      <c r="H54" s="6"/>
      <c r="I54" s="80"/>
      <c r="J54" s="6"/>
      <c r="K54" s="6"/>
      <c r="L54" s="6"/>
      <c r="M54" s="6"/>
      <c r="N54" s="9"/>
      <c r="O54" s="80"/>
      <c r="P54" s="9"/>
      <c r="Q54" s="80"/>
      <c r="R54" s="9"/>
      <c r="S54" s="90"/>
      <c r="T54" s="9"/>
      <c r="U54" s="9"/>
      <c r="V54" s="6"/>
      <c r="W54" s="80"/>
      <c r="X54" s="6"/>
      <c r="Y54" s="92"/>
      <c r="Z54" s="5"/>
      <c r="AA54" s="5"/>
      <c r="AB54" s="5"/>
      <c r="AC54" s="5"/>
      <c r="AD54" s="79"/>
      <c r="AE54" s="6"/>
      <c r="AF54" s="80"/>
      <c r="AG54" s="6"/>
      <c r="AH54" s="89"/>
      <c r="AI54" s="6"/>
      <c r="AJ54" s="80"/>
      <c r="AK54" s="6"/>
      <c r="AL54" s="6"/>
      <c r="AM54" s="6"/>
      <c r="AN54" s="6"/>
      <c r="AO54" s="9"/>
      <c r="AP54" s="80"/>
      <c r="AQ54" s="9"/>
      <c r="AR54" s="80"/>
      <c r="AS54" s="9"/>
      <c r="AT54" s="90"/>
      <c r="AU54" s="9"/>
      <c r="AV54" s="9"/>
      <c r="AW54" s="6"/>
      <c r="AX54" s="80"/>
      <c r="AY54" s="6"/>
      <c r="AZ54" s="92"/>
      <c r="BA54" s="5"/>
      <c r="BB54" s="5"/>
      <c r="BC54" s="5"/>
      <c r="BD54" s="5"/>
      <c r="BE54" s="84"/>
      <c r="BF54" s="6"/>
      <c r="BG54" s="6"/>
      <c r="BH54" s="6"/>
      <c r="BI54" s="6"/>
      <c r="BJ54" s="6"/>
      <c r="BK54" s="6"/>
      <c r="BL54" s="93"/>
      <c r="BM54" s="6"/>
      <c r="BN54" s="6"/>
      <c r="BO54" s="6"/>
      <c r="BP54" s="6"/>
      <c r="BQ54" s="6"/>
      <c r="BR54" s="6"/>
      <c r="BS54" s="9"/>
      <c r="BT54" s="6"/>
      <c r="BU54" s="9"/>
      <c r="BV54" s="6"/>
      <c r="BW54" s="9"/>
      <c r="BX54" s="94"/>
      <c r="BY54" s="9"/>
      <c r="BZ54" s="9"/>
      <c r="CA54" s="6"/>
      <c r="CB54" s="6"/>
      <c r="CC54" s="6"/>
      <c r="CD54" s="96"/>
    </row>
    <row r="55" customFormat="false" ht="0.75" hidden="false" customHeight="true" outlineLevel="0" collapsed="false">
      <c r="B55" s="77"/>
      <c r="C55" s="79"/>
      <c r="D55" s="9"/>
      <c r="E55" s="80"/>
      <c r="F55" s="6"/>
      <c r="G55" s="89"/>
      <c r="H55" s="6"/>
      <c r="I55" s="80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87"/>
      <c r="Z55" s="5"/>
      <c r="AA55" s="5"/>
      <c r="AB55" s="5"/>
      <c r="AC55" s="5"/>
      <c r="AD55" s="79"/>
      <c r="AE55" s="9"/>
      <c r="AF55" s="80"/>
      <c r="AG55" s="6"/>
      <c r="AH55" s="89"/>
      <c r="AI55" s="6"/>
      <c r="AJ55" s="80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87"/>
      <c r="BA55" s="5"/>
      <c r="BB55" s="5"/>
      <c r="BC55" s="5"/>
      <c r="BD55" s="5"/>
      <c r="BE55" s="84"/>
      <c r="BF55" s="9"/>
      <c r="BG55" s="6"/>
      <c r="BH55" s="6"/>
      <c r="BI55" s="6"/>
      <c r="BJ55" s="6"/>
      <c r="BK55" s="6"/>
      <c r="BL55" s="93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5"/>
    </row>
    <row r="56" customFormat="false" ht="3" hidden="true" customHeight="true" outlineLevel="0" collapsed="false">
      <c r="B56" s="77"/>
      <c r="C56" s="79"/>
      <c r="D56" s="9"/>
      <c r="E56" s="80"/>
      <c r="F56" s="6"/>
      <c r="G56" s="89"/>
      <c r="H56" s="6"/>
      <c r="I56" s="80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87"/>
      <c r="Z56" s="5"/>
      <c r="AA56" s="5"/>
      <c r="AB56" s="5"/>
      <c r="AC56" s="5"/>
      <c r="AD56" s="79"/>
      <c r="AE56" s="9"/>
      <c r="AF56" s="80"/>
      <c r="AG56" s="6"/>
      <c r="AH56" s="89"/>
      <c r="AI56" s="6"/>
      <c r="AJ56" s="80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87"/>
      <c r="BA56" s="5"/>
      <c r="BB56" s="5"/>
      <c r="BC56" s="5"/>
      <c r="BD56" s="5"/>
      <c r="BE56" s="84"/>
      <c r="BF56" s="9"/>
      <c r="BG56" s="6"/>
      <c r="BH56" s="6"/>
      <c r="BI56" s="6"/>
      <c r="BJ56" s="6"/>
      <c r="BK56" s="6"/>
      <c r="BL56" s="93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5"/>
    </row>
    <row r="57" customFormat="false" ht="3" hidden="false" customHeight="true" outlineLevel="0" collapsed="false">
      <c r="B57" s="77"/>
      <c r="C57" s="79"/>
      <c r="D57" s="6"/>
      <c r="E57" s="80"/>
      <c r="F57" s="6"/>
      <c r="G57" s="89"/>
      <c r="H57" s="6"/>
      <c r="I57" s="80"/>
      <c r="J57" s="6"/>
      <c r="K57" s="6"/>
      <c r="L57" s="6"/>
      <c r="M57" s="6"/>
      <c r="N57" s="9"/>
      <c r="O57" s="80" t="n">
        <v>1</v>
      </c>
      <c r="P57" s="9"/>
      <c r="Q57" s="80" t="s">
        <v>50</v>
      </c>
      <c r="R57" s="9"/>
      <c r="S57" s="90" t="n">
        <f aca="false">S49</f>
        <v>0.159</v>
      </c>
      <c r="T57" s="9"/>
      <c r="U57" s="91" t="n">
        <f aca="false">U49</f>
        <v>12</v>
      </c>
      <c r="V57" s="6"/>
      <c r="W57" s="80" t="s">
        <v>54</v>
      </c>
      <c r="X57" s="82"/>
      <c r="Y57" s="83" t="n">
        <v>1</v>
      </c>
      <c r="Z57" s="5"/>
      <c r="AA57" s="5"/>
      <c r="AB57" s="5"/>
      <c r="AC57" s="5"/>
      <c r="AD57" s="79"/>
      <c r="AE57" s="6"/>
      <c r="AF57" s="80"/>
      <c r="AG57" s="6"/>
      <c r="AH57" s="89"/>
      <c r="AI57" s="6"/>
      <c r="AJ57" s="80"/>
      <c r="AK57" s="6"/>
      <c r="AL57" s="6"/>
      <c r="AM57" s="6"/>
      <c r="AN57" s="6"/>
      <c r="AO57" s="9"/>
      <c r="AP57" s="80" t="n">
        <v>1</v>
      </c>
      <c r="AQ57" s="9"/>
      <c r="AR57" s="80" t="s">
        <v>50</v>
      </c>
      <c r="AS57" s="9"/>
      <c r="AT57" s="90" t="n">
        <f aca="false">AT49</f>
        <v>0.0558</v>
      </c>
      <c r="AU57" s="9"/>
      <c r="AV57" s="91" t="n">
        <f aca="false">AV49</f>
        <v>12</v>
      </c>
      <c r="AW57" s="6"/>
      <c r="AX57" s="80" t="s">
        <v>54</v>
      </c>
      <c r="AY57" s="82"/>
      <c r="AZ57" s="83" t="n">
        <v>1</v>
      </c>
      <c r="BA57" s="5"/>
      <c r="BB57" s="5"/>
      <c r="BC57" s="5"/>
      <c r="BD57" s="5"/>
      <c r="BE57" s="84"/>
      <c r="BF57" s="6"/>
      <c r="BG57" s="6"/>
      <c r="BH57" s="6"/>
      <c r="BI57" s="6"/>
      <c r="BJ57" s="6"/>
      <c r="BK57" s="6"/>
      <c r="BL57" s="93"/>
      <c r="BM57" s="6"/>
      <c r="BN57" s="6"/>
      <c r="BO57" s="6"/>
      <c r="BP57" s="6"/>
      <c r="BQ57" s="6"/>
      <c r="BR57" s="6"/>
      <c r="BS57" s="9"/>
      <c r="BT57" s="6"/>
      <c r="BU57" s="9"/>
      <c r="BV57" s="6"/>
      <c r="BW57" s="9"/>
      <c r="BX57" s="94"/>
      <c r="BY57" s="9"/>
      <c r="BZ57" s="95"/>
      <c r="CA57" s="6"/>
      <c r="CB57" s="6"/>
      <c r="CC57" s="82"/>
      <c r="CD57" s="85"/>
    </row>
    <row r="58" customFormat="false" ht="3" hidden="false" customHeight="true" outlineLevel="0" collapsed="false">
      <c r="B58" s="77"/>
      <c r="C58" s="79"/>
      <c r="D58" s="6"/>
      <c r="E58" s="80"/>
      <c r="F58" s="6"/>
      <c r="G58" s="89"/>
      <c r="H58" s="6"/>
      <c r="I58" s="80"/>
      <c r="J58" s="6"/>
      <c r="K58" s="6"/>
      <c r="L58" s="6"/>
      <c r="M58" s="6"/>
      <c r="N58" s="9"/>
      <c r="O58" s="80"/>
      <c r="P58" s="9"/>
      <c r="Q58" s="80"/>
      <c r="R58" s="9"/>
      <c r="S58" s="90"/>
      <c r="T58" s="9"/>
      <c r="U58" s="91"/>
      <c r="V58" s="6"/>
      <c r="W58" s="80"/>
      <c r="X58" s="82"/>
      <c r="Y58" s="83"/>
      <c r="Z58" s="5"/>
      <c r="AA58" s="5"/>
      <c r="AB58" s="5"/>
      <c r="AC58" s="5"/>
      <c r="AD58" s="79"/>
      <c r="AE58" s="6"/>
      <c r="AF58" s="80"/>
      <c r="AG58" s="6"/>
      <c r="AH58" s="89"/>
      <c r="AI58" s="6"/>
      <c r="AJ58" s="80"/>
      <c r="AK58" s="6"/>
      <c r="AL58" s="6"/>
      <c r="AM58" s="6"/>
      <c r="AN58" s="6"/>
      <c r="AO58" s="9"/>
      <c r="AP58" s="80"/>
      <c r="AQ58" s="9"/>
      <c r="AR58" s="80"/>
      <c r="AS58" s="9"/>
      <c r="AT58" s="90"/>
      <c r="AU58" s="9"/>
      <c r="AV58" s="91"/>
      <c r="AW58" s="6"/>
      <c r="AX58" s="80"/>
      <c r="AY58" s="82"/>
      <c r="AZ58" s="83"/>
      <c r="BA58" s="5"/>
      <c r="BB58" s="5"/>
      <c r="BC58" s="5"/>
      <c r="BD58" s="5"/>
      <c r="BE58" s="84"/>
      <c r="BF58" s="6"/>
      <c r="BG58" s="6"/>
      <c r="BH58" s="6"/>
      <c r="BI58" s="6"/>
      <c r="BJ58" s="6"/>
      <c r="BK58" s="6"/>
      <c r="BL58" s="93"/>
      <c r="BM58" s="6"/>
      <c r="BN58" s="6"/>
      <c r="BO58" s="6"/>
      <c r="BP58" s="6"/>
      <c r="BQ58" s="6"/>
      <c r="BR58" s="6"/>
      <c r="BS58" s="9"/>
      <c r="BT58" s="6"/>
      <c r="BU58" s="9"/>
      <c r="BV58" s="6"/>
      <c r="BW58" s="9"/>
      <c r="BX58" s="94"/>
      <c r="BY58" s="9"/>
      <c r="BZ58" s="95"/>
      <c r="CA58" s="6"/>
      <c r="CB58" s="6"/>
      <c r="CC58" s="82"/>
      <c r="CD58" s="85"/>
    </row>
    <row r="59" customFormat="false" ht="3" hidden="false" customHeight="true" outlineLevel="0" collapsed="false">
      <c r="B59" s="77"/>
      <c r="C59" s="79"/>
      <c r="D59" s="6"/>
      <c r="E59" s="80"/>
      <c r="F59" s="6"/>
      <c r="G59" s="89"/>
      <c r="H59" s="6"/>
      <c r="I59" s="80"/>
      <c r="J59" s="6"/>
      <c r="K59" s="6"/>
      <c r="L59" s="6"/>
      <c r="M59" s="6"/>
      <c r="N59" s="9"/>
      <c r="O59" s="80"/>
      <c r="P59" s="9"/>
      <c r="Q59" s="80"/>
      <c r="R59" s="9"/>
      <c r="S59" s="90"/>
      <c r="T59" s="9"/>
      <c r="U59" s="91"/>
      <c r="V59" s="6"/>
      <c r="W59" s="80"/>
      <c r="X59" s="82"/>
      <c r="Y59" s="83"/>
      <c r="Z59" s="5"/>
      <c r="AA59" s="5"/>
      <c r="AB59" s="5"/>
      <c r="AC59" s="5"/>
      <c r="AD59" s="79"/>
      <c r="AE59" s="6"/>
      <c r="AF59" s="80"/>
      <c r="AG59" s="6"/>
      <c r="AH59" s="89"/>
      <c r="AI59" s="6"/>
      <c r="AJ59" s="80"/>
      <c r="AK59" s="6"/>
      <c r="AL59" s="6"/>
      <c r="AM59" s="6"/>
      <c r="AN59" s="6"/>
      <c r="AO59" s="9"/>
      <c r="AP59" s="80"/>
      <c r="AQ59" s="9"/>
      <c r="AR59" s="80"/>
      <c r="AS59" s="9"/>
      <c r="AT59" s="90"/>
      <c r="AU59" s="9"/>
      <c r="AV59" s="91"/>
      <c r="AW59" s="6"/>
      <c r="AX59" s="80"/>
      <c r="AY59" s="82"/>
      <c r="AZ59" s="83"/>
      <c r="BA59" s="5"/>
      <c r="BB59" s="5"/>
      <c r="BC59" s="5"/>
      <c r="BD59" s="5"/>
      <c r="BE59" s="84"/>
      <c r="BF59" s="6"/>
      <c r="BG59" s="6"/>
      <c r="BH59" s="6"/>
      <c r="BI59" s="6"/>
      <c r="BJ59" s="6"/>
      <c r="BK59" s="6"/>
      <c r="BL59" s="93"/>
      <c r="BM59" s="6"/>
      <c r="BN59" s="6"/>
      <c r="BO59" s="6"/>
      <c r="BP59" s="6"/>
      <c r="BQ59" s="6"/>
      <c r="BR59" s="6"/>
      <c r="BS59" s="9"/>
      <c r="BT59" s="6"/>
      <c r="BU59" s="9"/>
      <c r="BV59" s="6"/>
      <c r="BW59" s="9"/>
      <c r="BX59" s="94"/>
      <c r="BY59" s="9"/>
      <c r="BZ59" s="95"/>
      <c r="CA59" s="6"/>
      <c r="CB59" s="6"/>
      <c r="CC59" s="82"/>
      <c r="CD59" s="85"/>
    </row>
    <row r="60" customFormat="false" ht="3" hidden="false" customHeight="true" outlineLevel="0" collapsed="false">
      <c r="B60" s="77"/>
      <c r="C60" s="79"/>
      <c r="D60" s="6"/>
      <c r="E60" s="80"/>
      <c r="F60" s="6"/>
      <c r="G60" s="89"/>
      <c r="H60" s="6"/>
      <c r="I60" s="80"/>
      <c r="J60" s="6"/>
      <c r="K60" s="6"/>
      <c r="L60" s="6"/>
      <c r="M60" s="6"/>
      <c r="N60" s="6"/>
      <c r="O60" s="80"/>
      <c r="P60" s="6"/>
      <c r="Q60" s="80"/>
      <c r="R60" s="6"/>
      <c r="S60" s="90"/>
      <c r="T60" s="9"/>
      <c r="U60" s="9"/>
      <c r="V60" s="6"/>
      <c r="W60" s="80"/>
      <c r="X60" s="6"/>
      <c r="Y60" s="83"/>
      <c r="Z60" s="5"/>
      <c r="AA60" s="5"/>
      <c r="AB60" s="5"/>
      <c r="AC60" s="5"/>
      <c r="AD60" s="79"/>
      <c r="AE60" s="6"/>
      <c r="AF60" s="80"/>
      <c r="AG60" s="6"/>
      <c r="AH60" s="89"/>
      <c r="AI60" s="6"/>
      <c r="AJ60" s="80"/>
      <c r="AK60" s="6"/>
      <c r="AL60" s="6"/>
      <c r="AM60" s="6"/>
      <c r="AN60" s="6"/>
      <c r="AO60" s="6"/>
      <c r="AP60" s="80"/>
      <c r="AQ60" s="6"/>
      <c r="AR60" s="80"/>
      <c r="AS60" s="6"/>
      <c r="AT60" s="90"/>
      <c r="AU60" s="9"/>
      <c r="AV60" s="9"/>
      <c r="AW60" s="6"/>
      <c r="AX60" s="80"/>
      <c r="AY60" s="6"/>
      <c r="AZ60" s="83"/>
      <c r="BA60" s="5"/>
      <c r="BB60" s="5"/>
      <c r="BC60" s="5"/>
      <c r="BD60" s="5"/>
      <c r="BE60" s="84"/>
      <c r="BF60" s="6"/>
      <c r="BG60" s="6"/>
      <c r="BH60" s="6"/>
      <c r="BI60" s="6"/>
      <c r="BJ60" s="6"/>
      <c r="BK60" s="6"/>
      <c r="BL60" s="93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94"/>
      <c r="BY60" s="9"/>
      <c r="BZ60" s="9"/>
      <c r="CA60" s="6"/>
      <c r="CB60" s="6"/>
      <c r="CC60" s="6"/>
      <c r="CD60" s="85"/>
    </row>
    <row r="61" customFormat="false" ht="3" hidden="false" customHeight="true" outlineLevel="0" collapsed="false">
      <c r="B61" s="77"/>
      <c r="C61" s="79"/>
      <c r="D61" s="6"/>
      <c r="E61" s="80"/>
      <c r="F61" s="6"/>
      <c r="G61" s="89"/>
      <c r="H61" s="6"/>
      <c r="I61" s="80"/>
      <c r="J61" s="6"/>
      <c r="K61" s="6"/>
      <c r="L61" s="6"/>
      <c r="M61" s="6"/>
      <c r="N61" s="6"/>
      <c r="O61" s="80"/>
      <c r="P61" s="6"/>
      <c r="Q61" s="80"/>
      <c r="R61" s="6"/>
      <c r="S61" s="90"/>
      <c r="T61" s="9"/>
      <c r="U61" s="9"/>
      <c r="V61" s="6"/>
      <c r="W61" s="80"/>
      <c r="X61" s="6"/>
      <c r="Y61" s="83"/>
      <c r="Z61" s="5"/>
      <c r="AA61" s="5"/>
      <c r="AB61" s="5"/>
      <c r="AC61" s="5"/>
      <c r="AD61" s="79"/>
      <c r="AE61" s="6"/>
      <c r="AF61" s="80"/>
      <c r="AG61" s="6"/>
      <c r="AH61" s="89"/>
      <c r="AI61" s="6"/>
      <c r="AJ61" s="80"/>
      <c r="AK61" s="6"/>
      <c r="AL61" s="6"/>
      <c r="AM61" s="6"/>
      <c r="AN61" s="6"/>
      <c r="AO61" s="6"/>
      <c r="AP61" s="80"/>
      <c r="AQ61" s="6"/>
      <c r="AR61" s="80"/>
      <c r="AS61" s="6"/>
      <c r="AT61" s="90"/>
      <c r="AU61" s="9"/>
      <c r="AV61" s="9"/>
      <c r="AW61" s="6"/>
      <c r="AX61" s="80"/>
      <c r="AY61" s="6"/>
      <c r="AZ61" s="83"/>
      <c r="BA61" s="5"/>
      <c r="BB61" s="5"/>
      <c r="BC61" s="5"/>
      <c r="BD61" s="5"/>
      <c r="BE61" s="84"/>
      <c r="BF61" s="6"/>
      <c r="BG61" s="6"/>
      <c r="BH61" s="6"/>
      <c r="BI61" s="6"/>
      <c r="BJ61" s="6"/>
      <c r="BK61" s="6"/>
      <c r="BL61" s="93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94"/>
      <c r="BY61" s="9"/>
      <c r="BZ61" s="9"/>
      <c r="CA61" s="6"/>
      <c r="CB61" s="6"/>
      <c r="CC61" s="6"/>
      <c r="CD61" s="85"/>
    </row>
    <row r="62" customFormat="false" ht="3" hidden="false" customHeight="true" outlineLevel="0" collapsed="false">
      <c r="B62" s="77"/>
      <c r="C62" s="79"/>
      <c r="D62" s="6"/>
      <c r="E62" s="80"/>
      <c r="F62" s="6"/>
      <c r="G62" s="89"/>
      <c r="H62" s="6"/>
      <c r="I62" s="80"/>
      <c r="J62" s="6"/>
      <c r="K62" s="6"/>
      <c r="L62" s="6"/>
      <c r="M62" s="6"/>
      <c r="N62" s="9"/>
      <c r="O62" s="80"/>
      <c r="P62" s="9"/>
      <c r="Q62" s="80"/>
      <c r="R62" s="9"/>
      <c r="S62" s="90"/>
      <c r="T62" s="9"/>
      <c r="U62" s="9"/>
      <c r="V62" s="6"/>
      <c r="W62" s="80"/>
      <c r="X62" s="6"/>
      <c r="Y62" s="83"/>
      <c r="Z62" s="5"/>
      <c r="AA62" s="5"/>
      <c r="AB62" s="5"/>
      <c r="AC62" s="5"/>
      <c r="AD62" s="79"/>
      <c r="AE62" s="6"/>
      <c r="AF62" s="80"/>
      <c r="AG62" s="6"/>
      <c r="AH62" s="89"/>
      <c r="AI62" s="6"/>
      <c r="AJ62" s="80"/>
      <c r="AK62" s="6"/>
      <c r="AL62" s="6"/>
      <c r="AM62" s="6"/>
      <c r="AN62" s="6"/>
      <c r="AO62" s="9"/>
      <c r="AP62" s="80"/>
      <c r="AQ62" s="9"/>
      <c r="AR62" s="80"/>
      <c r="AS62" s="9"/>
      <c r="AT62" s="90"/>
      <c r="AU62" s="9"/>
      <c r="AV62" s="9"/>
      <c r="AW62" s="6"/>
      <c r="AX62" s="80"/>
      <c r="AY62" s="6"/>
      <c r="AZ62" s="83"/>
      <c r="BA62" s="5"/>
      <c r="BB62" s="5"/>
      <c r="BC62" s="5"/>
      <c r="BD62" s="5"/>
      <c r="BE62" s="84"/>
      <c r="BF62" s="6"/>
      <c r="BG62" s="6"/>
      <c r="BH62" s="6"/>
      <c r="BI62" s="6"/>
      <c r="BJ62" s="6"/>
      <c r="BK62" s="6"/>
      <c r="BL62" s="93"/>
      <c r="BM62" s="6"/>
      <c r="BN62" s="6"/>
      <c r="BO62" s="6"/>
      <c r="BP62" s="6"/>
      <c r="BQ62" s="6"/>
      <c r="BR62" s="6"/>
      <c r="BS62" s="9"/>
      <c r="BT62" s="6"/>
      <c r="BU62" s="9"/>
      <c r="BV62" s="6"/>
      <c r="BW62" s="9"/>
      <c r="BX62" s="94"/>
      <c r="BY62" s="9"/>
      <c r="BZ62" s="9"/>
      <c r="CA62" s="6"/>
      <c r="CB62" s="6"/>
      <c r="CC62" s="6"/>
      <c r="CD62" s="85"/>
    </row>
    <row r="63" customFormat="false" ht="3" hidden="true" customHeight="true" outlineLevel="0" collapsed="false">
      <c r="C63" s="79"/>
      <c r="D63" s="6"/>
      <c r="E63" s="80"/>
      <c r="F63" s="6"/>
      <c r="G63" s="89"/>
      <c r="H63" s="6"/>
      <c r="I63" s="80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87"/>
      <c r="Z63" s="5"/>
      <c r="AA63" s="5"/>
      <c r="AB63" s="5"/>
      <c r="AC63" s="5"/>
      <c r="AD63" s="79"/>
      <c r="AE63" s="6"/>
      <c r="AF63" s="80"/>
      <c r="AG63" s="6"/>
      <c r="AH63" s="89"/>
      <c r="AI63" s="6"/>
      <c r="AJ63" s="80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87"/>
      <c r="BA63" s="5"/>
      <c r="BB63" s="5"/>
      <c r="BC63" s="5"/>
      <c r="BD63" s="5"/>
      <c r="BE63" s="84"/>
      <c r="BF63" s="6"/>
      <c r="BG63" s="6"/>
      <c r="BH63" s="6"/>
      <c r="BI63" s="6"/>
      <c r="BJ63" s="6"/>
      <c r="BK63" s="6"/>
      <c r="BL63" s="93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5"/>
    </row>
    <row r="64" customFormat="false" ht="9" hidden="true" customHeight="true" outlineLevel="0" collapsed="false">
      <c r="C64" s="5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87"/>
      <c r="Z64" s="5"/>
      <c r="AA64" s="5"/>
      <c r="AB64" s="5"/>
      <c r="AC64" s="5"/>
      <c r="AD64" s="5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87"/>
      <c r="BA64" s="5"/>
      <c r="BB64" s="5"/>
      <c r="BC64" s="5"/>
      <c r="BD64" s="5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5"/>
    </row>
    <row r="65" customFormat="false" ht="3" hidden="true" customHeight="true" outlineLevel="0" collapsed="false">
      <c r="B65" s="77"/>
      <c r="C65" s="79" t="s">
        <v>55</v>
      </c>
      <c r="D65" s="6"/>
      <c r="E65" s="80" t="s">
        <v>47</v>
      </c>
      <c r="F65" s="6"/>
      <c r="G65" s="89" t="n">
        <f aca="false">G49</f>
        <v>753</v>
      </c>
      <c r="H65" s="6"/>
      <c r="I65" s="80" t="s">
        <v>49</v>
      </c>
      <c r="J65" s="6"/>
      <c r="K65" s="6"/>
      <c r="L65" s="6"/>
      <c r="M65" s="6"/>
      <c r="N65" s="9"/>
      <c r="O65" s="97" t="n">
        <f aca="false">O49+S49</f>
        <v>1.159</v>
      </c>
      <c r="P65" s="97"/>
      <c r="Q65" s="97"/>
      <c r="R65" s="97"/>
      <c r="S65" s="97"/>
      <c r="T65" s="9"/>
      <c r="U65" s="91" t="n">
        <f aca="false">U49</f>
        <v>12</v>
      </c>
      <c r="V65" s="6"/>
      <c r="W65" s="80" t="s">
        <v>49</v>
      </c>
      <c r="X65" s="82"/>
      <c r="Y65" s="98" t="n">
        <f aca="false">Y49</f>
        <v>0.159</v>
      </c>
      <c r="Z65" s="5"/>
      <c r="AA65" s="5"/>
      <c r="AB65" s="5"/>
      <c r="AC65" s="5"/>
      <c r="AD65" s="79" t="s">
        <v>55</v>
      </c>
      <c r="AE65" s="6"/>
      <c r="AF65" s="80" t="s">
        <v>47</v>
      </c>
      <c r="AG65" s="6"/>
      <c r="AH65" s="89" t="n">
        <f aca="false">AH49</f>
        <v>718</v>
      </c>
      <c r="AI65" s="6"/>
      <c r="AJ65" s="80" t="s">
        <v>49</v>
      </c>
      <c r="AK65" s="6"/>
      <c r="AL65" s="6"/>
      <c r="AM65" s="6"/>
      <c r="AN65" s="6"/>
      <c r="AO65" s="9"/>
      <c r="AP65" s="97" t="n">
        <f aca="false">AP49+AT49</f>
        <v>1.0558</v>
      </c>
      <c r="AQ65" s="97"/>
      <c r="AR65" s="97"/>
      <c r="AS65" s="97"/>
      <c r="AT65" s="97"/>
      <c r="AU65" s="9"/>
      <c r="AV65" s="91" t="n">
        <f aca="false">AV49</f>
        <v>12</v>
      </c>
      <c r="AW65" s="6"/>
      <c r="AX65" s="80" t="s">
        <v>49</v>
      </c>
      <c r="AY65" s="82"/>
      <c r="AZ65" s="98" t="n">
        <f aca="false">AZ49</f>
        <v>0.0558</v>
      </c>
      <c r="BA65" s="5"/>
      <c r="BB65" s="5"/>
      <c r="BC65" s="5"/>
      <c r="BD65" s="5"/>
      <c r="BE65" s="84"/>
      <c r="BF65" s="6"/>
      <c r="BG65" s="6"/>
      <c r="BH65" s="6"/>
      <c r="BI65" s="6"/>
      <c r="BJ65" s="6"/>
      <c r="BK65" s="6"/>
      <c r="BL65" s="93"/>
      <c r="BM65" s="6"/>
      <c r="BN65" s="6"/>
      <c r="BO65" s="6"/>
      <c r="BP65" s="6"/>
      <c r="BQ65" s="6"/>
      <c r="BR65" s="6"/>
      <c r="BS65" s="9"/>
      <c r="BT65" s="99"/>
      <c r="BU65" s="99"/>
      <c r="BV65" s="99"/>
      <c r="BW65" s="99"/>
      <c r="BX65" s="99"/>
      <c r="BY65" s="9"/>
      <c r="BZ65" s="95"/>
      <c r="CA65" s="6"/>
      <c r="CB65" s="6"/>
      <c r="CC65" s="82"/>
      <c r="CD65" s="96"/>
    </row>
    <row r="66" customFormat="false" ht="3" hidden="true" customHeight="true" outlineLevel="0" collapsed="false">
      <c r="B66" s="77"/>
      <c r="C66" s="79"/>
      <c r="D66" s="6"/>
      <c r="E66" s="80"/>
      <c r="F66" s="6"/>
      <c r="G66" s="89"/>
      <c r="H66" s="6"/>
      <c r="I66" s="80"/>
      <c r="J66" s="6"/>
      <c r="K66" s="6"/>
      <c r="L66" s="6"/>
      <c r="M66" s="6"/>
      <c r="N66" s="9"/>
      <c r="O66" s="97"/>
      <c r="P66" s="97"/>
      <c r="Q66" s="97"/>
      <c r="R66" s="97"/>
      <c r="S66" s="97"/>
      <c r="T66" s="9"/>
      <c r="U66" s="91"/>
      <c r="V66" s="6"/>
      <c r="W66" s="80"/>
      <c r="X66" s="82"/>
      <c r="Y66" s="98"/>
      <c r="Z66" s="5"/>
      <c r="AA66" s="5"/>
      <c r="AB66" s="5"/>
      <c r="AC66" s="5"/>
      <c r="AD66" s="79"/>
      <c r="AE66" s="6"/>
      <c r="AF66" s="80"/>
      <c r="AG66" s="6"/>
      <c r="AH66" s="89"/>
      <c r="AI66" s="6"/>
      <c r="AJ66" s="80"/>
      <c r="AK66" s="6"/>
      <c r="AL66" s="6"/>
      <c r="AM66" s="6"/>
      <c r="AN66" s="6"/>
      <c r="AO66" s="9"/>
      <c r="AP66" s="97"/>
      <c r="AQ66" s="97"/>
      <c r="AR66" s="97"/>
      <c r="AS66" s="97"/>
      <c r="AT66" s="97"/>
      <c r="AU66" s="9"/>
      <c r="AV66" s="91"/>
      <c r="AW66" s="6"/>
      <c r="AX66" s="80"/>
      <c r="AY66" s="82"/>
      <c r="AZ66" s="98"/>
      <c r="BA66" s="5"/>
      <c r="BB66" s="5"/>
      <c r="BC66" s="5"/>
      <c r="BD66" s="5"/>
      <c r="BE66" s="84"/>
      <c r="BF66" s="6"/>
      <c r="BG66" s="6"/>
      <c r="BH66" s="6"/>
      <c r="BI66" s="6"/>
      <c r="BJ66" s="6"/>
      <c r="BK66" s="6"/>
      <c r="BL66" s="93"/>
      <c r="BM66" s="6"/>
      <c r="BN66" s="6"/>
      <c r="BO66" s="6"/>
      <c r="BP66" s="6"/>
      <c r="BQ66" s="6"/>
      <c r="BR66" s="6"/>
      <c r="BS66" s="9"/>
      <c r="BT66" s="99"/>
      <c r="BU66" s="99"/>
      <c r="BV66" s="99"/>
      <c r="BW66" s="99"/>
      <c r="BX66" s="99"/>
      <c r="BY66" s="9"/>
      <c r="BZ66" s="95"/>
      <c r="CA66" s="6"/>
      <c r="CB66" s="6"/>
      <c r="CC66" s="82"/>
      <c r="CD66" s="96"/>
    </row>
    <row r="67" customFormat="false" ht="3" hidden="true" customHeight="true" outlineLevel="0" collapsed="false">
      <c r="B67" s="77"/>
      <c r="C67" s="79"/>
      <c r="D67" s="6"/>
      <c r="E67" s="80"/>
      <c r="F67" s="6"/>
      <c r="G67" s="89"/>
      <c r="H67" s="6"/>
      <c r="I67" s="80"/>
      <c r="J67" s="6"/>
      <c r="K67" s="6"/>
      <c r="L67" s="6"/>
      <c r="M67" s="6"/>
      <c r="N67" s="9"/>
      <c r="O67" s="97"/>
      <c r="P67" s="97"/>
      <c r="Q67" s="97"/>
      <c r="R67" s="97"/>
      <c r="S67" s="97"/>
      <c r="T67" s="9"/>
      <c r="U67" s="91"/>
      <c r="V67" s="6"/>
      <c r="W67" s="80"/>
      <c r="X67" s="82"/>
      <c r="Y67" s="98"/>
      <c r="Z67" s="5"/>
      <c r="AA67" s="5"/>
      <c r="AB67" s="5"/>
      <c r="AC67" s="5"/>
      <c r="AD67" s="79"/>
      <c r="AE67" s="6"/>
      <c r="AF67" s="80"/>
      <c r="AG67" s="6"/>
      <c r="AH67" s="89"/>
      <c r="AI67" s="6"/>
      <c r="AJ67" s="80"/>
      <c r="AK67" s="6"/>
      <c r="AL67" s="6"/>
      <c r="AM67" s="6"/>
      <c r="AN67" s="6"/>
      <c r="AO67" s="9"/>
      <c r="AP67" s="97"/>
      <c r="AQ67" s="97"/>
      <c r="AR67" s="97"/>
      <c r="AS67" s="97"/>
      <c r="AT67" s="97"/>
      <c r="AU67" s="9"/>
      <c r="AV67" s="91"/>
      <c r="AW67" s="6"/>
      <c r="AX67" s="80"/>
      <c r="AY67" s="82"/>
      <c r="AZ67" s="98"/>
      <c r="BA67" s="5"/>
      <c r="BB67" s="5"/>
      <c r="BC67" s="5"/>
      <c r="BD67" s="5"/>
      <c r="BE67" s="84"/>
      <c r="BF67" s="6"/>
      <c r="BG67" s="6"/>
      <c r="BH67" s="6"/>
      <c r="BI67" s="6"/>
      <c r="BJ67" s="6"/>
      <c r="BK67" s="6"/>
      <c r="BL67" s="93"/>
      <c r="BM67" s="6"/>
      <c r="BN67" s="6"/>
      <c r="BO67" s="6"/>
      <c r="BP67" s="6"/>
      <c r="BQ67" s="6"/>
      <c r="BR67" s="6"/>
      <c r="BS67" s="9"/>
      <c r="BT67" s="99"/>
      <c r="BU67" s="99"/>
      <c r="BV67" s="99"/>
      <c r="BW67" s="99"/>
      <c r="BX67" s="99"/>
      <c r="BY67" s="9"/>
      <c r="BZ67" s="95"/>
      <c r="CA67" s="6"/>
      <c r="CB67" s="6"/>
      <c r="CC67" s="82"/>
      <c r="CD67" s="96"/>
    </row>
    <row r="68" customFormat="false" ht="3" hidden="true" customHeight="true" outlineLevel="0" collapsed="false">
      <c r="B68" s="77"/>
      <c r="C68" s="79"/>
      <c r="D68" s="6"/>
      <c r="E68" s="80"/>
      <c r="F68" s="6"/>
      <c r="G68" s="89"/>
      <c r="H68" s="6"/>
      <c r="I68" s="80"/>
      <c r="J68" s="6"/>
      <c r="K68" s="6"/>
      <c r="L68" s="6"/>
      <c r="M68" s="6"/>
      <c r="N68" s="6"/>
      <c r="O68" s="97"/>
      <c r="P68" s="97"/>
      <c r="Q68" s="97"/>
      <c r="R68" s="97"/>
      <c r="S68" s="97"/>
      <c r="T68" s="9"/>
      <c r="U68" s="9"/>
      <c r="V68" s="6"/>
      <c r="W68" s="80"/>
      <c r="X68" s="6"/>
      <c r="Y68" s="98"/>
      <c r="Z68" s="5"/>
      <c r="AA68" s="5"/>
      <c r="AB68" s="5"/>
      <c r="AC68" s="5"/>
      <c r="AD68" s="79"/>
      <c r="AE68" s="6"/>
      <c r="AF68" s="80"/>
      <c r="AG68" s="6"/>
      <c r="AH68" s="89"/>
      <c r="AI68" s="6"/>
      <c r="AJ68" s="80"/>
      <c r="AK68" s="6"/>
      <c r="AL68" s="6"/>
      <c r="AM68" s="6"/>
      <c r="AN68" s="6"/>
      <c r="AO68" s="6"/>
      <c r="AP68" s="97"/>
      <c r="AQ68" s="97"/>
      <c r="AR68" s="97"/>
      <c r="AS68" s="97"/>
      <c r="AT68" s="97"/>
      <c r="AU68" s="9"/>
      <c r="AV68" s="9"/>
      <c r="AW68" s="6"/>
      <c r="AX68" s="80"/>
      <c r="AY68" s="6"/>
      <c r="AZ68" s="98"/>
      <c r="BA68" s="5"/>
      <c r="BB68" s="5"/>
      <c r="BC68" s="5"/>
      <c r="BD68" s="5"/>
      <c r="BE68" s="84"/>
      <c r="BF68" s="6"/>
      <c r="BG68" s="6"/>
      <c r="BH68" s="6"/>
      <c r="BI68" s="6"/>
      <c r="BJ68" s="6"/>
      <c r="BK68" s="6"/>
      <c r="BL68" s="93"/>
      <c r="BM68" s="6"/>
      <c r="BN68" s="6"/>
      <c r="BO68" s="6"/>
      <c r="BP68" s="6"/>
      <c r="BQ68" s="6"/>
      <c r="BR68" s="6"/>
      <c r="BS68" s="6"/>
      <c r="BT68" s="99"/>
      <c r="BU68" s="99"/>
      <c r="BV68" s="99"/>
      <c r="BW68" s="99"/>
      <c r="BX68" s="99"/>
      <c r="BY68" s="9"/>
      <c r="BZ68" s="9"/>
      <c r="CA68" s="6"/>
      <c r="CB68" s="6"/>
      <c r="CC68" s="6"/>
      <c r="CD68" s="96"/>
    </row>
    <row r="69" customFormat="false" ht="3" hidden="true" customHeight="true" outlineLevel="0" collapsed="false">
      <c r="B69" s="77"/>
      <c r="C69" s="79"/>
      <c r="D69" s="6"/>
      <c r="E69" s="80"/>
      <c r="F69" s="6"/>
      <c r="G69" s="89"/>
      <c r="H69" s="6"/>
      <c r="I69" s="80"/>
      <c r="J69" s="6"/>
      <c r="K69" s="6"/>
      <c r="L69" s="6"/>
      <c r="M69" s="6"/>
      <c r="N69" s="6"/>
      <c r="O69" s="97"/>
      <c r="P69" s="97"/>
      <c r="Q69" s="97"/>
      <c r="R69" s="97"/>
      <c r="S69" s="97"/>
      <c r="T69" s="9"/>
      <c r="U69" s="9"/>
      <c r="V69" s="6"/>
      <c r="W69" s="80"/>
      <c r="X69" s="6"/>
      <c r="Y69" s="98"/>
      <c r="Z69" s="5"/>
      <c r="AA69" s="5"/>
      <c r="AB69" s="5"/>
      <c r="AC69" s="5"/>
      <c r="AD69" s="79"/>
      <c r="AE69" s="6"/>
      <c r="AF69" s="80"/>
      <c r="AG69" s="6"/>
      <c r="AH69" s="89"/>
      <c r="AI69" s="6"/>
      <c r="AJ69" s="80"/>
      <c r="AK69" s="6"/>
      <c r="AL69" s="6"/>
      <c r="AM69" s="6"/>
      <c r="AN69" s="6"/>
      <c r="AO69" s="6"/>
      <c r="AP69" s="97"/>
      <c r="AQ69" s="97"/>
      <c r="AR69" s="97"/>
      <c r="AS69" s="97"/>
      <c r="AT69" s="97"/>
      <c r="AU69" s="9"/>
      <c r="AV69" s="9"/>
      <c r="AW69" s="6"/>
      <c r="AX69" s="80"/>
      <c r="AY69" s="6"/>
      <c r="AZ69" s="98"/>
      <c r="BA69" s="5"/>
      <c r="BB69" s="5"/>
      <c r="BC69" s="5"/>
      <c r="BD69" s="5"/>
      <c r="BE69" s="84"/>
      <c r="BF69" s="6"/>
      <c r="BG69" s="6"/>
      <c r="BH69" s="6"/>
      <c r="BI69" s="6"/>
      <c r="BJ69" s="6"/>
      <c r="BK69" s="6"/>
      <c r="BL69" s="93"/>
      <c r="BM69" s="6"/>
      <c r="BN69" s="6"/>
      <c r="BO69" s="6"/>
      <c r="BP69" s="6"/>
      <c r="BQ69" s="6"/>
      <c r="BR69" s="6"/>
      <c r="BS69" s="6"/>
      <c r="BT69" s="99"/>
      <c r="BU69" s="99"/>
      <c r="BV69" s="99"/>
      <c r="BW69" s="99"/>
      <c r="BX69" s="99"/>
      <c r="BY69" s="9"/>
      <c r="BZ69" s="9"/>
      <c r="CA69" s="6"/>
      <c r="CB69" s="6"/>
      <c r="CC69" s="6"/>
      <c r="CD69" s="96"/>
    </row>
    <row r="70" customFormat="false" ht="3" hidden="true" customHeight="true" outlineLevel="0" collapsed="false">
      <c r="B70" s="77"/>
      <c r="C70" s="79"/>
      <c r="D70" s="6"/>
      <c r="E70" s="80"/>
      <c r="F70" s="6"/>
      <c r="G70" s="89"/>
      <c r="H70" s="6"/>
      <c r="I70" s="80"/>
      <c r="J70" s="6"/>
      <c r="K70" s="6"/>
      <c r="L70" s="6"/>
      <c r="M70" s="6"/>
      <c r="N70" s="9"/>
      <c r="O70" s="97"/>
      <c r="P70" s="97"/>
      <c r="Q70" s="97"/>
      <c r="R70" s="97"/>
      <c r="S70" s="97"/>
      <c r="T70" s="9"/>
      <c r="U70" s="9"/>
      <c r="V70" s="6"/>
      <c r="W70" s="80"/>
      <c r="X70" s="6"/>
      <c r="Y70" s="98"/>
      <c r="Z70" s="5"/>
      <c r="AA70" s="5"/>
      <c r="AB70" s="5"/>
      <c r="AC70" s="5"/>
      <c r="AD70" s="79"/>
      <c r="AE70" s="6"/>
      <c r="AF70" s="80"/>
      <c r="AG70" s="6"/>
      <c r="AH70" s="89"/>
      <c r="AI70" s="6"/>
      <c r="AJ70" s="80"/>
      <c r="AK70" s="6"/>
      <c r="AL70" s="6"/>
      <c r="AM70" s="6"/>
      <c r="AN70" s="6"/>
      <c r="AO70" s="9"/>
      <c r="AP70" s="97"/>
      <c r="AQ70" s="97"/>
      <c r="AR70" s="97"/>
      <c r="AS70" s="97"/>
      <c r="AT70" s="97"/>
      <c r="AU70" s="9"/>
      <c r="AV70" s="9"/>
      <c r="AW70" s="6"/>
      <c r="AX70" s="80"/>
      <c r="AY70" s="6"/>
      <c r="AZ70" s="98"/>
      <c r="BA70" s="5"/>
      <c r="BB70" s="5"/>
      <c r="BC70" s="5"/>
      <c r="BD70" s="5"/>
      <c r="BE70" s="84"/>
      <c r="BF70" s="6"/>
      <c r="BG70" s="6"/>
      <c r="BH70" s="6"/>
      <c r="BI70" s="6"/>
      <c r="BJ70" s="6"/>
      <c r="BK70" s="6"/>
      <c r="BL70" s="93"/>
      <c r="BM70" s="6"/>
      <c r="BN70" s="6"/>
      <c r="BO70" s="6"/>
      <c r="BP70" s="6"/>
      <c r="BQ70" s="6"/>
      <c r="BR70" s="6"/>
      <c r="BS70" s="9"/>
      <c r="BT70" s="99"/>
      <c r="BU70" s="99"/>
      <c r="BV70" s="99"/>
      <c r="BW70" s="99"/>
      <c r="BX70" s="99"/>
      <c r="BY70" s="9"/>
      <c r="BZ70" s="9"/>
      <c r="CA70" s="6"/>
      <c r="CB70" s="6"/>
      <c r="CC70" s="6"/>
      <c r="CD70" s="96"/>
    </row>
    <row r="71" customFormat="false" ht="3" hidden="true" customHeight="true" outlineLevel="0" collapsed="false">
      <c r="B71" s="77"/>
      <c r="C71" s="79"/>
      <c r="D71" s="9"/>
      <c r="E71" s="80"/>
      <c r="F71" s="6"/>
      <c r="G71" s="89"/>
      <c r="H71" s="6"/>
      <c r="I71" s="80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87"/>
      <c r="Z71" s="5"/>
      <c r="AA71" s="5"/>
      <c r="AB71" s="5"/>
      <c r="AC71" s="5"/>
      <c r="AD71" s="79"/>
      <c r="AE71" s="9"/>
      <c r="AF71" s="80"/>
      <c r="AG71" s="6"/>
      <c r="AH71" s="89"/>
      <c r="AI71" s="6"/>
      <c r="AJ71" s="80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87"/>
      <c r="BA71" s="5"/>
      <c r="BB71" s="5"/>
      <c r="BC71" s="5"/>
      <c r="BD71" s="5"/>
      <c r="BE71" s="84"/>
      <c r="BF71" s="9"/>
      <c r="BG71" s="6"/>
      <c r="BH71" s="6"/>
      <c r="BI71" s="6"/>
      <c r="BJ71" s="6"/>
      <c r="BK71" s="6"/>
      <c r="BL71" s="93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5"/>
    </row>
    <row r="72" customFormat="false" ht="3" hidden="true" customHeight="true" outlineLevel="0" collapsed="false">
      <c r="B72" s="77"/>
      <c r="C72" s="79"/>
      <c r="D72" s="9"/>
      <c r="E72" s="80"/>
      <c r="F72" s="6"/>
      <c r="G72" s="89"/>
      <c r="H72" s="6"/>
      <c r="I72" s="80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87"/>
      <c r="Z72" s="5"/>
      <c r="AA72" s="5"/>
      <c r="AB72" s="5"/>
      <c r="AC72" s="5"/>
      <c r="AD72" s="79"/>
      <c r="AE72" s="9"/>
      <c r="AF72" s="80"/>
      <c r="AG72" s="6"/>
      <c r="AH72" s="89"/>
      <c r="AI72" s="6"/>
      <c r="AJ72" s="80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87"/>
      <c r="BA72" s="5"/>
      <c r="BB72" s="5"/>
      <c r="BC72" s="5"/>
      <c r="BD72" s="5"/>
      <c r="BE72" s="84"/>
      <c r="BF72" s="9"/>
      <c r="BG72" s="6"/>
      <c r="BH72" s="6"/>
      <c r="BI72" s="6"/>
      <c r="BJ72" s="6"/>
      <c r="BK72" s="6"/>
      <c r="BL72" s="93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5"/>
    </row>
    <row r="73" customFormat="false" ht="3" hidden="true" customHeight="true" outlineLevel="0" collapsed="false">
      <c r="B73" s="77"/>
      <c r="C73" s="79"/>
      <c r="D73" s="6"/>
      <c r="E73" s="80"/>
      <c r="F73" s="6"/>
      <c r="G73" s="89"/>
      <c r="H73" s="6"/>
      <c r="I73" s="80"/>
      <c r="J73" s="6"/>
      <c r="K73" s="6"/>
      <c r="L73" s="6"/>
      <c r="M73" s="6"/>
      <c r="N73" s="9"/>
      <c r="O73" s="97" t="n">
        <f aca="false">O65</f>
        <v>1.159</v>
      </c>
      <c r="P73" s="97"/>
      <c r="Q73" s="97"/>
      <c r="R73" s="97"/>
      <c r="S73" s="97"/>
      <c r="T73" s="9"/>
      <c r="U73" s="91" t="n">
        <f aca="false">U49</f>
        <v>12</v>
      </c>
      <c r="V73" s="6"/>
      <c r="W73" s="80" t="s">
        <v>54</v>
      </c>
      <c r="X73" s="82"/>
      <c r="Y73" s="83" t="n">
        <v>1</v>
      </c>
      <c r="Z73" s="5"/>
      <c r="AA73" s="5"/>
      <c r="AB73" s="5"/>
      <c r="AC73" s="5"/>
      <c r="AD73" s="79"/>
      <c r="AE73" s="6"/>
      <c r="AF73" s="80"/>
      <c r="AG73" s="6"/>
      <c r="AH73" s="89"/>
      <c r="AI73" s="6"/>
      <c r="AJ73" s="80"/>
      <c r="AK73" s="6"/>
      <c r="AL73" s="6"/>
      <c r="AM73" s="6"/>
      <c r="AN73" s="6"/>
      <c r="AO73" s="9"/>
      <c r="AP73" s="97" t="n">
        <f aca="false">AP65</f>
        <v>1.0558</v>
      </c>
      <c r="AQ73" s="97"/>
      <c r="AR73" s="97"/>
      <c r="AS73" s="97"/>
      <c r="AT73" s="97"/>
      <c r="AU73" s="9"/>
      <c r="AV73" s="91" t="n">
        <f aca="false">AV49</f>
        <v>12</v>
      </c>
      <c r="AW73" s="6"/>
      <c r="AX73" s="80" t="s">
        <v>54</v>
      </c>
      <c r="AY73" s="82"/>
      <c r="AZ73" s="83" t="n">
        <v>1</v>
      </c>
      <c r="BA73" s="5"/>
      <c r="BB73" s="5"/>
      <c r="BC73" s="5"/>
      <c r="BD73" s="5"/>
      <c r="BE73" s="84"/>
      <c r="BF73" s="6"/>
      <c r="BG73" s="6"/>
      <c r="BH73" s="6"/>
      <c r="BI73" s="6"/>
      <c r="BJ73" s="6"/>
      <c r="BK73" s="6"/>
      <c r="BL73" s="93"/>
      <c r="BM73" s="6"/>
      <c r="BN73" s="6"/>
      <c r="BO73" s="6"/>
      <c r="BP73" s="6"/>
      <c r="BQ73" s="6"/>
      <c r="BR73" s="6"/>
      <c r="BS73" s="9"/>
      <c r="BT73" s="99"/>
      <c r="BU73" s="99"/>
      <c r="BV73" s="99"/>
      <c r="BW73" s="99"/>
      <c r="BX73" s="99"/>
      <c r="BY73" s="9"/>
      <c r="BZ73" s="95"/>
      <c r="CA73" s="6"/>
      <c r="CB73" s="6"/>
      <c r="CC73" s="82"/>
      <c r="CD73" s="85"/>
    </row>
    <row r="74" customFormat="false" ht="3" hidden="true" customHeight="true" outlineLevel="0" collapsed="false">
      <c r="B74" s="77"/>
      <c r="C74" s="79"/>
      <c r="D74" s="6"/>
      <c r="E74" s="80"/>
      <c r="F74" s="6"/>
      <c r="G74" s="89"/>
      <c r="H74" s="6"/>
      <c r="I74" s="80"/>
      <c r="J74" s="6"/>
      <c r="K74" s="6"/>
      <c r="L74" s="6"/>
      <c r="M74" s="6"/>
      <c r="N74" s="9"/>
      <c r="O74" s="97"/>
      <c r="P74" s="97"/>
      <c r="Q74" s="97"/>
      <c r="R74" s="97"/>
      <c r="S74" s="97"/>
      <c r="T74" s="9"/>
      <c r="U74" s="91"/>
      <c r="V74" s="6"/>
      <c r="W74" s="80"/>
      <c r="X74" s="82"/>
      <c r="Y74" s="83"/>
      <c r="Z74" s="5"/>
      <c r="AA74" s="5"/>
      <c r="AB74" s="5"/>
      <c r="AC74" s="5"/>
      <c r="AD74" s="79"/>
      <c r="AE74" s="6"/>
      <c r="AF74" s="80"/>
      <c r="AG74" s="6"/>
      <c r="AH74" s="89"/>
      <c r="AI74" s="6"/>
      <c r="AJ74" s="80"/>
      <c r="AK74" s="6"/>
      <c r="AL74" s="6"/>
      <c r="AM74" s="6"/>
      <c r="AN74" s="6"/>
      <c r="AO74" s="9"/>
      <c r="AP74" s="97"/>
      <c r="AQ74" s="97"/>
      <c r="AR74" s="97"/>
      <c r="AS74" s="97"/>
      <c r="AT74" s="97"/>
      <c r="AU74" s="9"/>
      <c r="AV74" s="91"/>
      <c r="AW74" s="6"/>
      <c r="AX74" s="80"/>
      <c r="AY74" s="82"/>
      <c r="AZ74" s="83"/>
      <c r="BA74" s="5"/>
      <c r="BB74" s="5"/>
      <c r="BC74" s="5"/>
      <c r="BD74" s="5"/>
      <c r="BE74" s="84"/>
      <c r="BF74" s="6"/>
      <c r="BG74" s="6"/>
      <c r="BH74" s="6"/>
      <c r="BI74" s="6"/>
      <c r="BJ74" s="6"/>
      <c r="BK74" s="6"/>
      <c r="BL74" s="93"/>
      <c r="BM74" s="6"/>
      <c r="BN74" s="6"/>
      <c r="BO74" s="6"/>
      <c r="BP74" s="6"/>
      <c r="BQ74" s="6"/>
      <c r="BR74" s="6"/>
      <c r="BS74" s="9"/>
      <c r="BT74" s="99"/>
      <c r="BU74" s="99"/>
      <c r="BV74" s="99"/>
      <c r="BW74" s="99"/>
      <c r="BX74" s="99"/>
      <c r="BY74" s="9"/>
      <c r="BZ74" s="95"/>
      <c r="CA74" s="6"/>
      <c r="CB74" s="6"/>
      <c r="CC74" s="82"/>
      <c r="CD74" s="85"/>
    </row>
    <row r="75" customFormat="false" ht="3" hidden="true" customHeight="true" outlineLevel="0" collapsed="false">
      <c r="B75" s="77"/>
      <c r="C75" s="79"/>
      <c r="D75" s="6"/>
      <c r="E75" s="80"/>
      <c r="F75" s="6"/>
      <c r="G75" s="89"/>
      <c r="H75" s="6"/>
      <c r="I75" s="80"/>
      <c r="J75" s="6"/>
      <c r="K75" s="6"/>
      <c r="L75" s="6"/>
      <c r="M75" s="6"/>
      <c r="N75" s="9"/>
      <c r="O75" s="97"/>
      <c r="P75" s="97"/>
      <c r="Q75" s="97"/>
      <c r="R75" s="97"/>
      <c r="S75" s="97"/>
      <c r="T75" s="9"/>
      <c r="U75" s="91"/>
      <c r="V75" s="6"/>
      <c r="W75" s="80"/>
      <c r="X75" s="82"/>
      <c r="Y75" s="83"/>
      <c r="Z75" s="5"/>
      <c r="AA75" s="5"/>
      <c r="AB75" s="5"/>
      <c r="AC75" s="5"/>
      <c r="AD75" s="79"/>
      <c r="AE75" s="6"/>
      <c r="AF75" s="80"/>
      <c r="AG75" s="6"/>
      <c r="AH75" s="89"/>
      <c r="AI75" s="6"/>
      <c r="AJ75" s="80"/>
      <c r="AK75" s="6"/>
      <c r="AL75" s="6"/>
      <c r="AM75" s="6"/>
      <c r="AN75" s="6"/>
      <c r="AO75" s="9"/>
      <c r="AP75" s="97"/>
      <c r="AQ75" s="97"/>
      <c r="AR75" s="97"/>
      <c r="AS75" s="97"/>
      <c r="AT75" s="97"/>
      <c r="AU75" s="9"/>
      <c r="AV75" s="91"/>
      <c r="AW75" s="6"/>
      <c r="AX75" s="80"/>
      <c r="AY75" s="82"/>
      <c r="AZ75" s="83"/>
      <c r="BA75" s="5"/>
      <c r="BB75" s="5"/>
      <c r="BC75" s="5"/>
      <c r="BD75" s="5"/>
      <c r="BE75" s="84"/>
      <c r="BF75" s="6"/>
      <c r="BG75" s="6"/>
      <c r="BH75" s="6"/>
      <c r="BI75" s="6"/>
      <c r="BJ75" s="6"/>
      <c r="BK75" s="6"/>
      <c r="BL75" s="93"/>
      <c r="BM75" s="6"/>
      <c r="BN75" s="6"/>
      <c r="BO75" s="6"/>
      <c r="BP75" s="6"/>
      <c r="BQ75" s="6"/>
      <c r="BR75" s="6"/>
      <c r="BS75" s="9"/>
      <c r="BT75" s="99"/>
      <c r="BU75" s="99"/>
      <c r="BV75" s="99"/>
      <c r="BW75" s="99"/>
      <c r="BX75" s="99"/>
      <c r="BY75" s="9"/>
      <c r="BZ75" s="95"/>
      <c r="CA75" s="6"/>
      <c r="CB75" s="6"/>
      <c r="CC75" s="82"/>
      <c r="CD75" s="85"/>
    </row>
    <row r="76" customFormat="false" ht="3" hidden="true" customHeight="true" outlineLevel="0" collapsed="false">
      <c r="B76" s="77"/>
      <c r="C76" s="79"/>
      <c r="D76" s="6"/>
      <c r="E76" s="80"/>
      <c r="F76" s="6"/>
      <c r="G76" s="89"/>
      <c r="H76" s="6"/>
      <c r="I76" s="80"/>
      <c r="J76" s="6"/>
      <c r="K76" s="6"/>
      <c r="L76" s="6"/>
      <c r="M76" s="6"/>
      <c r="N76" s="6"/>
      <c r="O76" s="97"/>
      <c r="P76" s="97"/>
      <c r="Q76" s="97"/>
      <c r="R76" s="97"/>
      <c r="S76" s="97"/>
      <c r="T76" s="9"/>
      <c r="U76" s="9"/>
      <c r="V76" s="6"/>
      <c r="W76" s="80"/>
      <c r="X76" s="6"/>
      <c r="Y76" s="83"/>
      <c r="Z76" s="5"/>
      <c r="AA76" s="5"/>
      <c r="AB76" s="5"/>
      <c r="AC76" s="5"/>
      <c r="AD76" s="79"/>
      <c r="AE76" s="6"/>
      <c r="AF76" s="80"/>
      <c r="AG76" s="6"/>
      <c r="AH76" s="89"/>
      <c r="AI76" s="6"/>
      <c r="AJ76" s="80"/>
      <c r="AK76" s="6"/>
      <c r="AL76" s="6"/>
      <c r="AM76" s="6"/>
      <c r="AN76" s="6"/>
      <c r="AO76" s="6"/>
      <c r="AP76" s="97"/>
      <c r="AQ76" s="97"/>
      <c r="AR76" s="97"/>
      <c r="AS76" s="97"/>
      <c r="AT76" s="97"/>
      <c r="AU76" s="9"/>
      <c r="AV76" s="9"/>
      <c r="AW76" s="6"/>
      <c r="AX76" s="80"/>
      <c r="AY76" s="6"/>
      <c r="AZ76" s="83"/>
      <c r="BA76" s="5"/>
      <c r="BB76" s="5"/>
      <c r="BC76" s="5"/>
      <c r="BD76" s="5"/>
      <c r="BE76" s="84"/>
      <c r="BF76" s="6"/>
      <c r="BG76" s="6"/>
      <c r="BH76" s="6"/>
      <c r="BI76" s="6"/>
      <c r="BJ76" s="6"/>
      <c r="BK76" s="6"/>
      <c r="BL76" s="93"/>
      <c r="BM76" s="6"/>
      <c r="BN76" s="6"/>
      <c r="BO76" s="6"/>
      <c r="BP76" s="6"/>
      <c r="BQ76" s="6"/>
      <c r="BR76" s="6"/>
      <c r="BS76" s="6"/>
      <c r="BT76" s="99"/>
      <c r="BU76" s="99"/>
      <c r="BV76" s="99"/>
      <c r="BW76" s="99"/>
      <c r="BX76" s="99"/>
      <c r="BY76" s="9"/>
      <c r="BZ76" s="9"/>
      <c r="CA76" s="6"/>
      <c r="CB76" s="6"/>
      <c r="CC76" s="6"/>
      <c r="CD76" s="85"/>
    </row>
    <row r="77" customFormat="false" ht="3" hidden="true" customHeight="true" outlineLevel="0" collapsed="false">
      <c r="B77" s="77"/>
      <c r="C77" s="79"/>
      <c r="D77" s="6"/>
      <c r="E77" s="80"/>
      <c r="F77" s="6"/>
      <c r="G77" s="89"/>
      <c r="H77" s="6"/>
      <c r="I77" s="80"/>
      <c r="J77" s="6"/>
      <c r="K77" s="6"/>
      <c r="L77" s="6"/>
      <c r="M77" s="6"/>
      <c r="N77" s="6"/>
      <c r="O77" s="97"/>
      <c r="P77" s="97"/>
      <c r="Q77" s="97"/>
      <c r="R77" s="97"/>
      <c r="S77" s="97"/>
      <c r="T77" s="9"/>
      <c r="U77" s="9"/>
      <c r="V77" s="6"/>
      <c r="W77" s="80"/>
      <c r="X77" s="6"/>
      <c r="Y77" s="83"/>
      <c r="Z77" s="5"/>
      <c r="AA77" s="5"/>
      <c r="AB77" s="5"/>
      <c r="AC77" s="5"/>
      <c r="AD77" s="79"/>
      <c r="AE77" s="6"/>
      <c r="AF77" s="80"/>
      <c r="AG77" s="6"/>
      <c r="AH77" s="89"/>
      <c r="AI77" s="6"/>
      <c r="AJ77" s="80"/>
      <c r="AK77" s="6"/>
      <c r="AL77" s="6"/>
      <c r="AM77" s="6"/>
      <c r="AN77" s="6"/>
      <c r="AO77" s="6"/>
      <c r="AP77" s="97"/>
      <c r="AQ77" s="97"/>
      <c r="AR77" s="97"/>
      <c r="AS77" s="97"/>
      <c r="AT77" s="97"/>
      <c r="AU77" s="9"/>
      <c r="AV77" s="9"/>
      <c r="AW77" s="6"/>
      <c r="AX77" s="80"/>
      <c r="AY77" s="6"/>
      <c r="AZ77" s="83"/>
      <c r="BA77" s="5"/>
      <c r="BB77" s="5"/>
      <c r="BC77" s="5"/>
      <c r="BD77" s="5"/>
      <c r="BE77" s="84"/>
      <c r="BF77" s="6"/>
      <c r="BG77" s="6"/>
      <c r="BH77" s="6"/>
      <c r="BI77" s="6"/>
      <c r="BJ77" s="6"/>
      <c r="BK77" s="6"/>
      <c r="BL77" s="93"/>
      <c r="BM77" s="6"/>
      <c r="BN77" s="6"/>
      <c r="BO77" s="6"/>
      <c r="BP77" s="6"/>
      <c r="BQ77" s="6"/>
      <c r="BR77" s="6"/>
      <c r="BS77" s="6"/>
      <c r="BT77" s="99"/>
      <c r="BU77" s="99"/>
      <c r="BV77" s="99"/>
      <c r="BW77" s="99"/>
      <c r="BX77" s="99"/>
      <c r="BY77" s="9"/>
      <c r="BZ77" s="9"/>
      <c r="CA77" s="6"/>
      <c r="CB77" s="6"/>
      <c r="CC77" s="6"/>
      <c r="CD77" s="85"/>
    </row>
    <row r="78" customFormat="false" ht="3" hidden="true" customHeight="true" outlineLevel="0" collapsed="false">
      <c r="B78" s="77"/>
      <c r="C78" s="79"/>
      <c r="D78" s="6"/>
      <c r="E78" s="80"/>
      <c r="F78" s="6"/>
      <c r="G78" s="89"/>
      <c r="H78" s="6"/>
      <c r="I78" s="80"/>
      <c r="J78" s="6"/>
      <c r="K78" s="6"/>
      <c r="L78" s="6"/>
      <c r="M78" s="6"/>
      <c r="N78" s="9"/>
      <c r="O78" s="97"/>
      <c r="P78" s="97"/>
      <c r="Q78" s="97"/>
      <c r="R78" s="97"/>
      <c r="S78" s="97"/>
      <c r="T78" s="9"/>
      <c r="U78" s="9"/>
      <c r="V78" s="6"/>
      <c r="W78" s="80"/>
      <c r="X78" s="6"/>
      <c r="Y78" s="83"/>
      <c r="Z78" s="5"/>
      <c r="AA78" s="5"/>
      <c r="AB78" s="5"/>
      <c r="AC78" s="5"/>
      <c r="AD78" s="79"/>
      <c r="AE78" s="6"/>
      <c r="AF78" s="80"/>
      <c r="AG78" s="6"/>
      <c r="AH78" s="89"/>
      <c r="AI78" s="6"/>
      <c r="AJ78" s="80"/>
      <c r="AK78" s="6"/>
      <c r="AL78" s="6"/>
      <c r="AM78" s="6"/>
      <c r="AN78" s="6"/>
      <c r="AO78" s="9"/>
      <c r="AP78" s="97"/>
      <c r="AQ78" s="97"/>
      <c r="AR78" s="97"/>
      <c r="AS78" s="97"/>
      <c r="AT78" s="97"/>
      <c r="AU78" s="9"/>
      <c r="AV78" s="9"/>
      <c r="AW78" s="6"/>
      <c r="AX78" s="80"/>
      <c r="AY78" s="6"/>
      <c r="AZ78" s="83"/>
      <c r="BA78" s="5"/>
      <c r="BB78" s="5"/>
      <c r="BC78" s="5"/>
      <c r="BD78" s="5"/>
      <c r="BE78" s="84"/>
      <c r="BF78" s="6"/>
      <c r="BG78" s="6"/>
      <c r="BH78" s="6"/>
      <c r="BI78" s="6"/>
      <c r="BJ78" s="6"/>
      <c r="BK78" s="6"/>
      <c r="BL78" s="93"/>
      <c r="BM78" s="6"/>
      <c r="BN78" s="6"/>
      <c r="BO78" s="6"/>
      <c r="BP78" s="6"/>
      <c r="BQ78" s="6"/>
      <c r="BR78" s="6"/>
      <c r="BS78" s="9"/>
      <c r="BT78" s="99"/>
      <c r="BU78" s="99"/>
      <c r="BV78" s="99"/>
      <c r="BW78" s="99"/>
      <c r="BX78" s="99"/>
      <c r="BY78" s="9"/>
      <c r="BZ78" s="9"/>
      <c r="CA78" s="6"/>
      <c r="CB78" s="6"/>
      <c r="CC78" s="6"/>
      <c r="CD78" s="85"/>
    </row>
    <row r="79" customFormat="false" ht="3" hidden="true" customHeight="true" outlineLevel="0" collapsed="false">
      <c r="C79" s="79"/>
      <c r="D79" s="6"/>
      <c r="E79" s="80"/>
      <c r="F79" s="6"/>
      <c r="G79" s="89"/>
      <c r="H79" s="6"/>
      <c r="I79" s="80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87"/>
      <c r="Z79" s="5"/>
      <c r="AA79" s="5"/>
      <c r="AB79" s="5"/>
      <c r="AC79" s="5"/>
      <c r="AD79" s="79"/>
      <c r="AE79" s="6"/>
      <c r="AF79" s="80"/>
      <c r="AG79" s="6"/>
      <c r="AH79" s="89"/>
      <c r="AI79" s="6"/>
      <c r="AJ79" s="80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87"/>
      <c r="BA79" s="5"/>
      <c r="BB79" s="5"/>
      <c r="BC79" s="5"/>
      <c r="BD79" s="5"/>
      <c r="BE79" s="84"/>
      <c r="BF79" s="6"/>
      <c r="BG79" s="6"/>
      <c r="BH79" s="6"/>
      <c r="BI79" s="6"/>
      <c r="BJ79" s="6"/>
      <c r="BK79" s="6"/>
      <c r="BL79" s="93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5"/>
    </row>
    <row r="80" customFormat="false" ht="9" hidden="true" customHeight="true" outlineLevel="0" collapsed="false">
      <c r="C80" s="5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87"/>
      <c r="Z80" s="5"/>
      <c r="AA80" s="5"/>
      <c r="AB80" s="5"/>
      <c r="AC80" s="5"/>
      <c r="AD80" s="5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87"/>
      <c r="BA80" s="5"/>
      <c r="BB80" s="5"/>
      <c r="BC80" s="5"/>
      <c r="BD80" s="5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5"/>
    </row>
    <row r="81" customFormat="false" ht="3" hidden="true" customHeight="true" outlineLevel="0" collapsed="false">
      <c r="B81" s="77"/>
      <c r="C81" s="79" t="s">
        <v>55</v>
      </c>
      <c r="D81" s="6"/>
      <c r="E81" s="80" t="s">
        <v>47</v>
      </c>
      <c r="F81" s="6"/>
      <c r="G81" s="89" t="n">
        <f aca="false">G65</f>
        <v>753</v>
      </c>
      <c r="H81" s="6"/>
      <c r="I81" s="80" t="s">
        <v>49</v>
      </c>
      <c r="J81" s="6"/>
      <c r="K81" s="6"/>
      <c r="L81" s="6"/>
      <c r="M81" s="6"/>
      <c r="N81" s="9"/>
      <c r="O81" s="97" t="n">
        <f aca="false">POWER(O65,U65)</f>
        <v>5.87491018522081</v>
      </c>
      <c r="P81" s="97"/>
      <c r="Q81" s="97"/>
      <c r="R81" s="97"/>
      <c r="S81" s="97"/>
      <c r="T81" s="97"/>
      <c r="U81" s="97"/>
      <c r="V81" s="6"/>
      <c r="W81" s="80" t="s">
        <v>49</v>
      </c>
      <c r="X81" s="82"/>
      <c r="Y81" s="98" t="n">
        <f aca="false">Y65</f>
        <v>0.159</v>
      </c>
      <c r="Z81" s="5"/>
      <c r="AA81" s="5"/>
      <c r="AB81" s="5"/>
      <c r="AC81" s="5"/>
      <c r="AD81" s="79" t="s">
        <v>55</v>
      </c>
      <c r="AE81" s="6"/>
      <c r="AF81" s="80" t="s">
        <v>47</v>
      </c>
      <c r="AG81" s="6"/>
      <c r="AH81" s="89" t="n">
        <f aca="false">AH65</f>
        <v>718</v>
      </c>
      <c r="AI81" s="6"/>
      <c r="AJ81" s="80" t="s">
        <v>49</v>
      </c>
      <c r="AK81" s="6"/>
      <c r="AL81" s="6"/>
      <c r="AM81" s="6"/>
      <c r="AN81" s="6"/>
      <c r="AO81" s="9"/>
      <c r="AP81" s="97" t="n">
        <f aca="false">POWER(AP65,AV65)</f>
        <v>1.91857990754145</v>
      </c>
      <c r="AQ81" s="97"/>
      <c r="AR81" s="97"/>
      <c r="AS81" s="97"/>
      <c r="AT81" s="97"/>
      <c r="AU81" s="97"/>
      <c r="AV81" s="97"/>
      <c r="AW81" s="6"/>
      <c r="AX81" s="80" t="s">
        <v>49</v>
      </c>
      <c r="AY81" s="82"/>
      <c r="AZ81" s="98" t="n">
        <f aca="false">AZ65</f>
        <v>0.0558</v>
      </c>
      <c r="BA81" s="5"/>
      <c r="BB81" s="5"/>
      <c r="BC81" s="5"/>
      <c r="BD81" s="5"/>
      <c r="BE81" s="84"/>
      <c r="BF81" s="6"/>
      <c r="BG81" s="6"/>
      <c r="BH81" s="6"/>
      <c r="BI81" s="6"/>
      <c r="BJ81" s="6"/>
      <c r="BK81" s="6"/>
      <c r="BL81" s="93"/>
      <c r="BM81" s="6"/>
      <c r="BN81" s="6"/>
      <c r="BO81" s="6"/>
      <c r="BP81" s="6"/>
      <c r="BQ81" s="6"/>
      <c r="BR81" s="6"/>
      <c r="BS81" s="9"/>
      <c r="BT81" s="99"/>
      <c r="BU81" s="99"/>
      <c r="BV81" s="99"/>
      <c r="BW81" s="99"/>
      <c r="BX81" s="99"/>
      <c r="BY81" s="99"/>
      <c r="BZ81" s="99"/>
      <c r="CA81" s="6"/>
      <c r="CB81" s="6"/>
      <c r="CC81" s="82"/>
      <c r="CD81" s="96"/>
    </row>
    <row r="82" customFormat="false" ht="3" hidden="true" customHeight="true" outlineLevel="0" collapsed="false">
      <c r="B82" s="77"/>
      <c r="C82" s="79"/>
      <c r="D82" s="6"/>
      <c r="E82" s="80"/>
      <c r="F82" s="6"/>
      <c r="G82" s="89"/>
      <c r="H82" s="6"/>
      <c r="I82" s="80"/>
      <c r="J82" s="6"/>
      <c r="K82" s="6"/>
      <c r="L82" s="6"/>
      <c r="M82" s="6"/>
      <c r="N82" s="9"/>
      <c r="O82" s="97"/>
      <c r="P82" s="97"/>
      <c r="Q82" s="97"/>
      <c r="R82" s="97"/>
      <c r="S82" s="97"/>
      <c r="T82" s="97"/>
      <c r="U82" s="97"/>
      <c r="V82" s="6"/>
      <c r="W82" s="80"/>
      <c r="X82" s="82"/>
      <c r="Y82" s="98"/>
      <c r="Z82" s="5"/>
      <c r="AA82" s="5"/>
      <c r="AB82" s="5"/>
      <c r="AC82" s="5"/>
      <c r="AD82" s="79"/>
      <c r="AE82" s="6"/>
      <c r="AF82" s="80"/>
      <c r="AG82" s="6"/>
      <c r="AH82" s="89"/>
      <c r="AI82" s="6"/>
      <c r="AJ82" s="80"/>
      <c r="AK82" s="6"/>
      <c r="AL82" s="6"/>
      <c r="AM82" s="6"/>
      <c r="AN82" s="6"/>
      <c r="AO82" s="9"/>
      <c r="AP82" s="97"/>
      <c r="AQ82" s="97"/>
      <c r="AR82" s="97"/>
      <c r="AS82" s="97"/>
      <c r="AT82" s="97"/>
      <c r="AU82" s="97"/>
      <c r="AV82" s="97"/>
      <c r="AW82" s="6"/>
      <c r="AX82" s="80"/>
      <c r="AY82" s="82"/>
      <c r="AZ82" s="98"/>
      <c r="BA82" s="5"/>
      <c r="BB82" s="5"/>
      <c r="BC82" s="5"/>
      <c r="BD82" s="5"/>
      <c r="BE82" s="84"/>
      <c r="BF82" s="6"/>
      <c r="BG82" s="6"/>
      <c r="BH82" s="6"/>
      <c r="BI82" s="6"/>
      <c r="BJ82" s="6"/>
      <c r="BK82" s="6"/>
      <c r="BL82" s="93"/>
      <c r="BM82" s="6"/>
      <c r="BN82" s="6"/>
      <c r="BO82" s="6"/>
      <c r="BP82" s="6"/>
      <c r="BQ82" s="6"/>
      <c r="BR82" s="6"/>
      <c r="BS82" s="9"/>
      <c r="BT82" s="99"/>
      <c r="BU82" s="99"/>
      <c r="BV82" s="99"/>
      <c r="BW82" s="99"/>
      <c r="BX82" s="99"/>
      <c r="BY82" s="99"/>
      <c r="BZ82" s="99"/>
      <c r="CA82" s="6"/>
      <c r="CB82" s="6"/>
      <c r="CC82" s="82"/>
      <c r="CD82" s="96"/>
    </row>
    <row r="83" customFormat="false" ht="3" hidden="true" customHeight="true" outlineLevel="0" collapsed="false">
      <c r="B83" s="77"/>
      <c r="C83" s="79"/>
      <c r="D83" s="6"/>
      <c r="E83" s="80"/>
      <c r="F83" s="6"/>
      <c r="G83" s="89"/>
      <c r="H83" s="6"/>
      <c r="I83" s="80"/>
      <c r="J83" s="6"/>
      <c r="K83" s="6"/>
      <c r="L83" s="6"/>
      <c r="M83" s="6"/>
      <c r="N83" s="9"/>
      <c r="O83" s="97"/>
      <c r="P83" s="97"/>
      <c r="Q83" s="97"/>
      <c r="R83" s="97"/>
      <c r="S83" s="97"/>
      <c r="T83" s="97"/>
      <c r="U83" s="97"/>
      <c r="V83" s="6"/>
      <c r="W83" s="80"/>
      <c r="X83" s="82"/>
      <c r="Y83" s="98"/>
      <c r="Z83" s="5"/>
      <c r="AA83" s="5"/>
      <c r="AB83" s="5"/>
      <c r="AC83" s="5"/>
      <c r="AD83" s="79"/>
      <c r="AE83" s="6"/>
      <c r="AF83" s="80"/>
      <c r="AG83" s="6"/>
      <c r="AH83" s="89"/>
      <c r="AI83" s="6"/>
      <c r="AJ83" s="80"/>
      <c r="AK83" s="6"/>
      <c r="AL83" s="6"/>
      <c r="AM83" s="6"/>
      <c r="AN83" s="6"/>
      <c r="AO83" s="9"/>
      <c r="AP83" s="97"/>
      <c r="AQ83" s="97"/>
      <c r="AR83" s="97"/>
      <c r="AS83" s="97"/>
      <c r="AT83" s="97"/>
      <c r="AU83" s="97"/>
      <c r="AV83" s="97"/>
      <c r="AW83" s="6"/>
      <c r="AX83" s="80"/>
      <c r="AY83" s="82"/>
      <c r="AZ83" s="98"/>
      <c r="BA83" s="5"/>
      <c r="BB83" s="5"/>
      <c r="BC83" s="5"/>
      <c r="BD83" s="5"/>
      <c r="BE83" s="84"/>
      <c r="BF83" s="6"/>
      <c r="BG83" s="6"/>
      <c r="BH83" s="6"/>
      <c r="BI83" s="6"/>
      <c r="BJ83" s="6"/>
      <c r="BK83" s="6"/>
      <c r="BL83" s="93"/>
      <c r="BM83" s="6"/>
      <c r="BN83" s="6"/>
      <c r="BO83" s="6"/>
      <c r="BP83" s="6"/>
      <c r="BQ83" s="6"/>
      <c r="BR83" s="6"/>
      <c r="BS83" s="9"/>
      <c r="BT83" s="99"/>
      <c r="BU83" s="99"/>
      <c r="BV83" s="99"/>
      <c r="BW83" s="99"/>
      <c r="BX83" s="99"/>
      <c r="BY83" s="99"/>
      <c r="BZ83" s="99"/>
      <c r="CA83" s="6"/>
      <c r="CB83" s="6"/>
      <c r="CC83" s="82"/>
      <c r="CD83" s="96"/>
    </row>
    <row r="84" customFormat="false" ht="3" hidden="true" customHeight="true" outlineLevel="0" collapsed="false">
      <c r="B84" s="77"/>
      <c r="C84" s="79"/>
      <c r="D84" s="6"/>
      <c r="E84" s="80"/>
      <c r="F84" s="6"/>
      <c r="G84" s="89"/>
      <c r="H84" s="6"/>
      <c r="I84" s="80"/>
      <c r="J84" s="6"/>
      <c r="K84" s="6"/>
      <c r="L84" s="6"/>
      <c r="M84" s="6"/>
      <c r="N84" s="6"/>
      <c r="O84" s="97"/>
      <c r="P84" s="97"/>
      <c r="Q84" s="97"/>
      <c r="R84" s="97"/>
      <c r="S84" s="97"/>
      <c r="T84" s="97"/>
      <c r="U84" s="97"/>
      <c r="V84" s="6"/>
      <c r="W84" s="80"/>
      <c r="X84" s="6"/>
      <c r="Y84" s="98"/>
      <c r="Z84" s="5"/>
      <c r="AA84" s="5"/>
      <c r="AB84" s="5"/>
      <c r="AC84" s="5"/>
      <c r="AD84" s="79"/>
      <c r="AE84" s="6"/>
      <c r="AF84" s="80"/>
      <c r="AG84" s="6"/>
      <c r="AH84" s="89"/>
      <c r="AI84" s="6"/>
      <c r="AJ84" s="80"/>
      <c r="AK84" s="6"/>
      <c r="AL84" s="6"/>
      <c r="AM84" s="6"/>
      <c r="AN84" s="6"/>
      <c r="AO84" s="6"/>
      <c r="AP84" s="97"/>
      <c r="AQ84" s="97"/>
      <c r="AR84" s="97"/>
      <c r="AS84" s="97"/>
      <c r="AT84" s="97"/>
      <c r="AU84" s="97"/>
      <c r="AV84" s="97"/>
      <c r="AW84" s="6"/>
      <c r="AX84" s="80"/>
      <c r="AY84" s="6"/>
      <c r="AZ84" s="98"/>
      <c r="BA84" s="5"/>
      <c r="BB84" s="5"/>
      <c r="BC84" s="5"/>
      <c r="BD84" s="5"/>
      <c r="BE84" s="84"/>
      <c r="BF84" s="6"/>
      <c r="BG84" s="6"/>
      <c r="BH84" s="6"/>
      <c r="BI84" s="6"/>
      <c r="BJ84" s="6"/>
      <c r="BK84" s="6"/>
      <c r="BL84" s="93"/>
      <c r="BM84" s="6"/>
      <c r="BN84" s="6"/>
      <c r="BO84" s="6"/>
      <c r="BP84" s="6"/>
      <c r="BQ84" s="6"/>
      <c r="BR84" s="6"/>
      <c r="BS84" s="6"/>
      <c r="BT84" s="99"/>
      <c r="BU84" s="99"/>
      <c r="BV84" s="99"/>
      <c r="BW84" s="99"/>
      <c r="BX84" s="99"/>
      <c r="BY84" s="99"/>
      <c r="BZ84" s="99"/>
      <c r="CA84" s="6"/>
      <c r="CB84" s="6"/>
      <c r="CC84" s="6"/>
      <c r="CD84" s="96"/>
    </row>
    <row r="85" customFormat="false" ht="3" hidden="true" customHeight="true" outlineLevel="0" collapsed="false">
      <c r="B85" s="77"/>
      <c r="C85" s="79"/>
      <c r="D85" s="6"/>
      <c r="E85" s="80"/>
      <c r="F85" s="6"/>
      <c r="G85" s="89"/>
      <c r="H85" s="6"/>
      <c r="I85" s="80"/>
      <c r="J85" s="6"/>
      <c r="K85" s="6"/>
      <c r="L85" s="6"/>
      <c r="M85" s="6"/>
      <c r="N85" s="6"/>
      <c r="O85" s="97"/>
      <c r="P85" s="97"/>
      <c r="Q85" s="97"/>
      <c r="R85" s="97"/>
      <c r="S85" s="97"/>
      <c r="T85" s="97"/>
      <c r="U85" s="97"/>
      <c r="V85" s="6"/>
      <c r="W85" s="80"/>
      <c r="X85" s="6"/>
      <c r="Y85" s="98"/>
      <c r="Z85" s="5"/>
      <c r="AA85" s="5"/>
      <c r="AB85" s="5"/>
      <c r="AC85" s="5"/>
      <c r="AD85" s="79"/>
      <c r="AE85" s="6"/>
      <c r="AF85" s="80"/>
      <c r="AG85" s="6"/>
      <c r="AH85" s="89"/>
      <c r="AI85" s="6"/>
      <c r="AJ85" s="80"/>
      <c r="AK85" s="6"/>
      <c r="AL85" s="6"/>
      <c r="AM85" s="6"/>
      <c r="AN85" s="6"/>
      <c r="AO85" s="6"/>
      <c r="AP85" s="97"/>
      <c r="AQ85" s="97"/>
      <c r="AR85" s="97"/>
      <c r="AS85" s="97"/>
      <c r="AT85" s="97"/>
      <c r="AU85" s="97"/>
      <c r="AV85" s="97"/>
      <c r="AW85" s="6"/>
      <c r="AX85" s="80"/>
      <c r="AY85" s="6"/>
      <c r="AZ85" s="98"/>
      <c r="BA85" s="5"/>
      <c r="BB85" s="5"/>
      <c r="BC85" s="5"/>
      <c r="BD85" s="5"/>
      <c r="BE85" s="84"/>
      <c r="BF85" s="6"/>
      <c r="BG85" s="6"/>
      <c r="BH85" s="6"/>
      <c r="BI85" s="6"/>
      <c r="BJ85" s="6"/>
      <c r="BK85" s="6"/>
      <c r="BL85" s="93"/>
      <c r="BM85" s="6"/>
      <c r="BN85" s="6"/>
      <c r="BO85" s="6"/>
      <c r="BP85" s="6"/>
      <c r="BQ85" s="6"/>
      <c r="BR85" s="6"/>
      <c r="BS85" s="6"/>
      <c r="BT85" s="99"/>
      <c r="BU85" s="99"/>
      <c r="BV85" s="99"/>
      <c r="BW85" s="99"/>
      <c r="BX85" s="99"/>
      <c r="BY85" s="99"/>
      <c r="BZ85" s="99"/>
      <c r="CA85" s="6"/>
      <c r="CB85" s="6"/>
      <c r="CC85" s="6"/>
      <c r="CD85" s="96"/>
    </row>
    <row r="86" customFormat="false" ht="3" hidden="true" customHeight="true" outlineLevel="0" collapsed="false">
      <c r="B86" s="77"/>
      <c r="C86" s="79"/>
      <c r="D86" s="6"/>
      <c r="E86" s="80"/>
      <c r="F86" s="6"/>
      <c r="G86" s="89"/>
      <c r="H86" s="6"/>
      <c r="I86" s="80"/>
      <c r="J86" s="6"/>
      <c r="K86" s="6"/>
      <c r="L86" s="6"/>
      <c r="M86" s="6"/>
      <c r="N86" s="9"/>
      <c r="O86" s="97"/>
      <c r="P86" s="97"/>
      <c r="Q86" s="97"/>
      <c r="R86" s="97"/>
      <c r="S86" s="97"/>
      <c r="T86" s="97"/>
      <c r="U86" s="97"/>
      <c r="V86" s="6"/>
      <c r="W86" s="80"/>
      <c r="X86" s="6"/>
      <c r="Y86" s="98"/>
      <c r="Z86" s="5"/>
      <c r="AA86" s="5"/>
      <c r="AB86" s="5"/>
      <c r="AC86" s="5"/>
      <c r="AD86" s="79"/>
      <c r="AE86" s="6"/>
      <c r="AF86" s="80"/>
      <c r="AG86" s="6"/>
      <c r="AH86" s="89"/>
      <c r="AI86" s="6"/>
      <c r="AJ86" s="80"/>
      <c r="AK86" s="6"/>
      <c r="AL86" s="6"/>
      <c r="AM86" s="6"/>
      <c r="AN86" s="6"/>
      <c r="AO86" s="9"/>
      <c r="AP86" s="97"/>
      <c r="AQ86" s="97"/>
      <c r="AR86" s="97"/>
      <c r="AS86" s="97"/>
      <c r="AT86" s="97"/>
      <c r="AU86" s="97"/>
      <c r="AV86" s="97"/>
      <c r="AW86" s="6"/>
      <c r="AX86" s="80"/>
      <c r="AY86" s="6"/>
      <c r="AZ86" s="98"/>
      <c r="BA86" s="5"/>
      <c r="BB86" s="5"/>
      <c r="BC86" s="5"/>
      <c r="BD86" s="5"/>
      <c r="BE86" s="84"/>
      <c r="BF86" s="6"/>
      <c r="BG86" s="6"/>
      <c r="BH86" s="6"/>
      <c r="BI86" s="6"/>
      <c r="BJ86" s="6"/>
      <c r="BK86" s="6"/>
      <c r="BL86" s="93"/>
      <c r="BM86" s="6"/>
      <c r="BN86" s="6"/>
      <c r="BO86" s="6"/>
      <c r="BP86" s="6"/>
      <c r="BQ86" s="6"/>
      <c r="BR86" s="6"/>
      <c r="BS86" s="9"/>
      <c r="BT86" s="99"/>
      <c r="BU86" s="99"/>
      <c r="BV86" s="99"/>
      <c r="BW86" s="99"/>
      <c r="BX86" s="99"/>
      <c r="BY86" s="99"/>
      <c r="BZ86" s="99"/>
      <c r="CA86" s="6"/>
      <c r="CB86" s="6"/>
      <c r="CC86" s="6"/>
      <c r="CD86" s="96"/>
    </row>
    <row r="87" customFormat="false" ht="3" hidden="true" customHeight="true" outlineLevel="0" collapsed="false">
      <c r="B87" s="77"/>
      <c r="C87" s="79"/>
      <c r="D87" s="9"/>
      <c r="E87" s="80"/>
      <c r="F87" s="6"/>
      <c r="G87" s="89"/>
      <c r="H87" s="6"/>
      <c r="I87" s="80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87"/>
      <c r="Z87" s="100"/>
      <c r="AA87" s="5"/>
      <c r="AB87" s="5"/>
      <c r="AC87" s="5"/>
      <c r="AD87" s="79"/>
      <c r="AE87" s="9"/>
      <c r="AF87" s="80"/>
      <c r="AG87" s="6"/>
      <c r="AH87" s="89"/>
      <c r="AI87" s="6"/>
      <c r="AJ87" s="80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87"/>
      <c r="BA87" s="5"/>
      <c r="BB87" s="5"/>
      <c r="BC87" s="5"/>
      <c r="BD87" s="5"/>
      <c r="BE87" s="84"/>
      <c r="BF87" s="9"/>
      <c r="BG87" s="6"/>
      <c r="BH87" s="6"/>
      <c r="BI87" s="6"/>
      <c r="BJ87" s="6"/>
      <c r="BK87" s="6"/>
      <c r="BL87" s="93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85"/>
    </row>
    <row r="88" customFormat="false" ht="3" hidden="true" customHeight="true" outlineLevel="0" collapsed="false">
      <c r="B88" s="77"/>
      <c r="C88" s="79"/>
      <c r="D88" s="9"/>
      <c r="E88" s="80"/>
      <c r="F88" s="6"/>
      <c r="G88" s="89"/>
      <c r="H88" s="6"/>
      <c r="I88" s="80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87"/>
      <c r="Z88" s="101"/>
      <c r="AA88" s="5"/>
      <c r="AB88" s="5"/>
      <c r="AC88" s="5"/>
      <c r="AD88" s="79"/>
      <c r="AE88" s="9"/>
      <c r="AF88" s="80"/>
      <c r="AG88" s="6"/>
      <c r="AH88" s="89"/>
      <c r="AI88" s="6"/>
      <c r="AJ88" s="80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87"/>
      <c r="BA88" s="5"/>
      <c r="BB88" s="5"/>
      <c r="BC88" s="5"/>
      <c r="BD88" s="5"/>
      <c r="BE88" s="84"/>
      <c r="BF88" s="9"/>
      <c r="BG88" s="6"/>
      <c r="BH88" s="6"/>
      <c r="BI88" s="6"/>
      <c r="BJ88" s="6"/>
      <c r="BK88" s="6"/>
      <c r="BL88" s="93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85"/>
    </row>
    <row r="89" customFormat="false" ht="3" hidden="true" customHeight="true" outlineLevel="0" collapsed="false">
      <c r="B89" s="77"/>
      <c r="C89" s="79"/>
      <c r="D89" s="6"/>
      <c r="E89" s="80"/>
      <c r="F89" s="6"/>
      <c r="G89" s="89"/>
      <c r="H89" s="6"/>
      <c r="I89" s="80"/>
      <c r="J89" s="6"/>
      <c r="K89" s="6"/>
      <c r="L89" s="6"/>
      <c r="M89" s="6"/>
      <c r="N89" s="9"/>
      <c r="O89" s="97" t="n">
        <f aca="false">O81</f>
        <v>5.87491018522081</v>
      </c>
      <c r="P89" s="97"/>
      <c r="Q89" s="97"/>
      <c r="R89" s="97"/>
      <c r="S89" s="97"/>
      <c r="T89" s="97"/>
      <c r="U89" s="97"/>
      <c r="V89" s="6"/>
      <c r="W89" s="80" t="s">
        <v>54</v>
      </c>
      <c r="X89" s="82"/>
      <c r="Y89" s="83" t="n">
        <v>1</v>
      </c>
      <c r="Z89" s="5"/>
      <c r="AA89" s="5"/>
      <c r="AB89" s="5"/>
      <c r="AC89" s="5"/>
      <c r="AD89" s="79"/>
      <c r="AE89" s="6"/>
      <c r="AF89" s="80"/>
      <c r="AG89" s="6"/>
      <c r="AH89" s="89"/>
      <c r="AI89" s="6"/>
      <c r="AJ89" s="80"/>
      <c r="AK89" s="6"/>
      <c r="AL89" s="6"/>
      <c r="AM89" s="6"/>
      <c r="AN89" s="6"/>
      <c r="AO89" s="9"/>
      <c r="AP89" s="97" t="n">
        <f aca="false">AP81</f>
        <v>1.91857990754145</v>
      </c>
      <c r="AQ89" s="97"/>
      <c r="AR89" s="97"/>
      <c r="AS89" s="97"/>
      <c r="AT89" s="97"/>
      <c r="AU89" s="97"/>
      <c r="AV89" s="97"/>
      <c r="AW89" s="6"/>
      <c r="AX89" s="80" t="s">
        <v>54</v>
      </c>
      <c r="AY89" s="82"/>
      <c r="AZ89" s="83" t="n">
        <v>1</v>
      </c>
      <c r="BA89" s="5"/>
      <c r="BB89" s="5"/>
      <c r="BC89" s="5"/>
      <c r="BD89" s="5"/>
      <c r="BE89" s="84"/>
      <c r="BF89" s="6"/>
      <c r="BG89" s="6"/>
      <c r="BH89" s="6"/>
      <c r="BI89" s="6"/>
      <c r="BJ89" s="6"/>
      <c r="BK89" s="6"/>
      <c r="BL89" s="93"/>
      <c r="BM89" s="6"/>
      <c r="BN89" s="6"/>
      <c r="BO89" s="6"/>
      <c r="BP89" s="6"/>
      <c r="BQ89" s="6"/>
      <c r="BR89" s="6"/>
      <c r="BS89" s="9"/>
      <c r="BT89" s="99"/>
      <c r="BU89" s="99"/>
      <c r="BV89" s="99"/>
      <c r="BW89" s="99"/>
      <c r="BX89" s="99"/>
      <c r="BY89" s="99"/>
      <c r="BZ89" s="99"/>
      <c r="CA89" s="6"/>
      <c r="CB89" s="6"/>
      <c r="CC89" s="82"/>
      <c r="CD89" s="85"/>
    </row>
    <row r="90" customFormat="false" ht="3" hidden="true" customHeight="true" outlineLevel="0" collapsed="false">
      <c r="B90" s="77"/>
      <c r="C90" s="79"/>
      <c r="D90" s="6"/>
      <c r="E90" s="80"/>
      <c r="F90" s="6"/>
      <c r="G90" s="89"/>
      <c r="H90" s="6"/>
      <c r="I90" s="80"/>
      <c r="J90" s="6"/>
      <c r="K90" s="6"/>
      <c r="L90" s="6"/>
      <c r="M90" s="6"/>
      <c r="N90" s="9"/>
      <c r="O90" s="97"/>
      <c r="P90" s="97"/>
      <c r="Q90" s="97"/>
      <c r="R90" s="97"/>
      <c r="S90" s="97"/>
      <c r="T90" s="97"/>
      <c r="U90" s="97"/>
      <c r="V90" s="6"/>
      <c r="W90" s="80"/>
      <c r="X90" s="82"/>
      <c r="Y90" s="83"/>
      <c r="Z90" s="5"/>
      <c r="AA90" s="5"/>
      <c r="AB90" s="5"/>
      <c r="AC90" s="5"/>
      <c r="AD90" s="79"/>
      <c r="AE90" s="6"/>
      <c r="AF90" s="80"/>
      <c r="AG90" s="6"/>
      <c r="AH90" s="89"/>
      <c r="AI90" s="6"/>
      <c r="AJ90" s="80"/>
      <c r="AK90" s="6"/>
      <c r="AL90" s="6"/>
      <c r="AM90" s="6"/>
      <c r="AN90" s="6"/>
      <c r="AO90" s="9"/>
      <c r="AP90" s="97"/>
      <c r="AQ90" s="97"/>
      <c r="AR90" s="97"/>
      <c r="AS90" s="97"/>
      <c r="AT90" s="97"/>
      <c r="AU90" s="97"/>
      <c r="AV90" s="97"/>
      <c r="AW90" s="6"/>
      <c r="AX90" s="80"/>
      <c r="AY90" s="82"/>
      <c r="AZ90" s="83"/>
      <c r="BA90" s="5"/>
      <c r="BB90" s="5"/>
      <c r="BC90" s="5"/>
      <c r="BD90" s="5"/>
      <c r="BE90" s="84"/>
      <c r="BF90" s="6"/>
      <c r="BG90" s="6"/>
      <c r="BH90" s="6"/>
      <c r="BI90" s="6"/>
      <c r="BJ90" s="6"/>
      <c r="BK90" s="6"/>
      <c r="BL90" s="93"/>
      <c r="BM90" s="6"/>
      <c r="BN90" s="6"/>
      <c r="BO90" s="6"/>
      <c r="BP90" s="6"/>
      <c r="BQ90" s="6"/>
      <c r="BR90" s="6"/>
      <c r="BS90" s="9"/>
      <c r="BT90" s="99"/>
      <c r="BU90" s="99"/>
      <c r="BV90" s="99"/>
      <c r="BW90" s="99"/>
      <c r="BX90" s="99"/>
      <c r="BY90" s="99"/>
      <c r="BZ90" s="99"/>
      <c r="CA90" s="6"/>
      <c r="CB90" s="6"/>
      <c r="CC90" s="82"/>
      <c r="CD90" s="85"/>
    </row>
    <row r="91" customFormat="false" ht="3" hidden="true" customHeight="true" outlineLevel="0" collapsed="false">
      <c r="B91" s="77"/>
      <c r="C91" s="79"/>
      <c r="D91" s="6"/>
      <c r="E91" s="80"/>
      <c r="F91" s="6"/>
      <c r="G91" s="89"/>
      <c r="H91" s="6"/>
      <c r="I91" s="80"/>
      <c r="J91" s="6"/>
      <c r="K91" s="6"/>
      <c r="L91" s="6"/>
      <c r="M91" s="6"/>
      <c r="N91" s="9"/>
      <c r="O91" s="97"/>
      <c r="P91" s="97"/>
      <c r="Q91" s="97"/>
      <c r="R91" s="97"/>
      <c r="S91" s="97"/>
      <c r="T91" s="97"/>
      <c r="U91" s="97"/>
      <c r="V91" s="6"/>
      <c r="W91" s="80"/>
      <c r="X91" s="82"/>
      <c r="Y91" s="83"/>
      <c r="Z91" s="5"/>
      <c r="AA91" s="5"/>
      <c r="AB91" s="5"/>
      <c r="AC91" s="5"/>
      <c r="AD91" s="79"/>
      <c r="AE91" s="6"/>
      <c r="AF91" s="80"/>
      <c r="AG91" s="6"/>
      <c r="AH91" s="89"/>
      <c r="AI91" s="6"/>
      <c r="AJ91" s="80"/>
      <c r="AK91" s="6"/>
      <c r="AL91" s="6"/>
      <c r="AM91" s="6"/>
      <c r="AN91" s="6"/>
      <c r="AO91" s="9"/>
      <c r="AP91" s="97"/>
      <c r="AQ91" s="97"/>
      <c r="AR91" s="97"/>
      <c r="AS91" s="97"/>
      <c r="AT91" s="97"/>
      <c r="AU91" s="97"/>
      <c r="AV91" s="97"/>
      <c r="AW91" s="6"/>
      <c r="AX91" s="80"/>
      <c r="AY91" s="82"/>
      <c r="AZ91" s="83"/>
      <c r="BA91" s="5"/>
      <c r="BB91" s="5"/>
      <c r="BC91" s="5"/>
      <c r="BD91" s="5"/>
      <c r="BE91" s="84"/>
      <c r="BF91" s="6"/>
      <c r="BG91" s="6"/>
      <c r="BH91" s="6"/>
      <c r="BI91" s="6"/>
      <c r="BJ91" s="6"/>
      <c r="BK91" s="6"/>
      <c r="BL91" s="93"/>
      <c r="BM91" s="6"/>
      <c r="BN91" s="6"/>
      <c r="BO91" s="6"/>
      <c r="BP91" s="6"/>
      <c r="BQ91" s="6"/>
      <c r="BR91" s="6"/>
      <c r="BS91" s="9"/>
      <c r="BT91" s="99"/>
      <c r="BU91" s="99"/>
      <c r="BV91" s="99"/>
      <c r="BW91" s="99"/>
      <c r="BX91" s="99"/>
      <c r="BY91" s="99"/>
      <c r="BZ91" s="99"/>
      <c r="CA91" s="6"/>
      <c r="CB91" s="6"/>
      <c r="CC91" s="82"/>
      <c r="CD91" s="85"/>
    </row>
    <row r="92" customFormat="false" ht="3" hidden="true" customHeight="true" outlineLevel="0" collapsed="false">
      <c r="B92" s="77"/>
      <c r="C92" s="79"/>
      <c r="D92" s="6"/>
      <c r="E92" s="80"/>
      <c r="F92" s="6"/>
      <c r="G92" s="89"/>
      <c r="H92" s="6"/>
      <c r="I92" s="80"/>
      <c r="J92" s="6"/>
      <c r="K92" s="6"/>
      <c r="L92" s="6"/>
      <c r="M92" s="6"/>
      <c r="N92" s="6"/>
      <c r="O92" s="97"/>
      <c r="P92" s="97"/>
      <c r="Q92" s="97"/>
      <c r="R92" s="97"/>
      <c r="S92" s="97"/>
      <c r="T92" s="97"/>
      <c r="U92" s="97"/>
      <c r="V92" s="6"/>
      <c r="W92" s="80"/>
      <c r="X92" s="6"/>
      <c r="Y92" s="83"/>
      <c r="Z92" s="5"/>
      <c r="AA92" s="5"/>
      <c r="AB92" s="5"/>
      <c r="AC92" s="5"/>
      <c r="AD92" s="79"/>
      <c r="AE92" s="6"/>
      <c r="AF92" s="80"/>
      <c r="AG92" s="6"/>
      <c r="AH92" s="89"/>
      <c r="AI92" s="6"/>
      <c r="AJ92" s="80"/>
      <c r="AK92" s="6"/>
      <c r="AL92" s="6"/>
      <c r="AM92" s="6"/>
      <c r="AN92" s="6"/>
      <c r="AO92" s="6"/>
      <c r="AP92" s="97"/>
      <c r="AQ92" s="97"/>
      <c r="AR92" s="97"/>
      <c r="AS92" s="97"/>
      <c r="AT92" s="97"/>
      <c r="AU92" s="97"/>
      <c r="AV92" s="97"/>
      <c r="AW92" s="6"/>
      <c r="AX92" s="80"/>
      <c r="AY92" s="6"/>
      <c r="AZ92" s="83"/>
      <c r="BA92" s="5"/>
      <c r="BB92" s="5"/>
      <c r="BC92" s="5"/>
      <c r="BD92" s="5"/>
      <c r="BE92" s="84"/>
      <c r="BF92" s="6"/>
      <c r="BG92" s="6"/>
      <c r="BH92" s="6"/>
      <c r="BI92" s="6"/>
      <c r="BJ92" s="6"/>
      <c r="BK92" s="6"/>
      <c r="BL92" s="93"/>
      <c r="BM92" s="6"/>
      <c r="BN92" s="6"/>
      <c r="BO92" s="6"/>
      <c r="BP92" s="6"/>
      <c r="BQ92" s="6"/>
      <c r="BR92" s="6"/>
      <c r="BS92" s="6"/>
      <c r="BT92" s="99"/>
      <c r="BU92" s="99"/>
      <c r="BV92" s="99"/>
      <c r="BW92" s="99"/>
      <c r="BX92" s="99"/>
      <c r="BY92" s="99"/>
      <c r="BZ92" s="99"/>
      <c r="CA92" s="6"/>
      <c r="CB92" s="6"/>
      <c r="CC92" s="6"/>
      <c r="CD92" s="85"/>
    </row>
    <row r="93" customFormat="false" ht="3" hidden="true" customHeight="true" outlineLevel="0" collapsed="false">
      <c r="B93" s="77"/>
      <c r="C93" s="79"/>
      <c r="D93" s="6"/>
      <c r="E93" s="80"/>
      <c r="F93" s="6"/>
      <c r="G93" s="89"/>
      <c r="H93" s="6"/>
      <c r="I93" s="80"/>
      <c r="J93" s="6"/>
      <c r="K93" s="6"/>
      <c r="L93" s="6"/>
      <c r="M93" s="6"/>
      <c r="N93" s="6"/>
      <c r="O93" s="97"/>
      <c r="P93" s="97"/>
      <c r="Q93" s="97"/>
      <c r="R93" s="97"/>
      <c r="S93" s="97"/>
      <c r="T93" s="97"/>
      <c r="U93" s="97"/>
      <c r="V93" s="6"/>
      <c r="W93" s="80"/>
      <c r="X93" s="6"/>
      <c r="Y93" s="83"/>
      <c r="Z93" s="5"/>
      <c r="AA93" s="5"/>
      <c r="AB93" s="5"/>
      <c r="AC93" s="5"/>
      <c r="AD93" s="79"/>
      <c r="AE93" s="6"/>
      <c r="AF93" s="80"/>
      <c r="AG93" s="6"/>
      <c r="AH93" s="89"/>
      <c r="AI93" s="6"/>
      <c r="AJ93" s="80"/>
      <c r="AK93" s="6"/>
      <c r="AL93" s="6"/>
      <c r="AM93" s="6"/>
      <c r="AN93" s="6"/>
      <c r="AO93" s="6"/>
      <c r="AP93" s="97"/>
      <c r="AQ93" s="97"/>
      <c r="AR93" s="97"/>
      <c r="AS93" s="97"/>
      <c r="AT93" s="97"/>
      <c r="AU93" s="97"/>
      <c r="AV93" s="97"/>
      <c r="AW93" s="6"/>
      <c r="AX93" s="80"/>
      <c r="AY93" s="6"/>
      <c r="AZ93" s="83"/>
      <c r="BA93" s="5"/>
      <c r="BB93" s="5"/>
      <c r="BC93" s="5"/>
      <c r="BD93" s="5"/>
      <c r="BE93" s="84"/>
      <c r="BF93" s="6"/>
      <c r="BG93" s="6"/>
      <c r="BH93" s="6"/>
      <c r="BI93" s="6"/>
      <c r="BJ93" s="6"/>
      <c r="BK93" s="6"/>
      <c r="BL93" s="93"/>
      <c r="BM93" s="6"/>
      <c r="BN93" s="6"/>
      <c r="BO93" s="6"/>
      <c r="BP93" s="6"/>
      <c r="BQ93" s="6"/>
      <c r="BR93" s="6"/>
      <c r="BS93" s="6"/>
      <c r="BT93" s="99"/>
      <c r="BU93" s="99"/>
      <c r="BV93" s="99"/>
      <c r="BW93" s="99"/>
      <c r="BX93" s="99"/>
      <c r="BY93" s="99"/>
      <c r="BZ93" s="99"/>
      <c r="CA93" s="6"/>
      <c r="CB93" s="6"/>
      <c r="CC93" s="6"/>
      <c r="CD93" s="85"/>
    </row>
    <row r="94" customFormat="false" ht="3" hidden="true" customHeight="true" outlineLevel="0" collapsed="false">
      <c r="B94" s="77"/>
      <c r="C94" s="79"/>
      <c r="D94" s="6"/>
      <c r="E94" s="80"/>
      <c r="F94" s="6"/>
      <c r="G94" s="89"/>
      <c r="H94" s="6"/>
      <c r="I94" s="80"/>
      <c r="J94" s="6"/>
      <c r="K94" s="6"/>
      <c r="L94" s="6"/>
      <c r="M94" s="6"/>
      <c r="N94" s="9"/>
      <c r="O94" s="97"/>
      <c r="P94" s="97"/>
      <c r="Q94" s="97"/>
      <c r="R94" s="97"/>
      <c r="S94" s="97"/>
      <c r="T94" s="97"/>
      <c r="U94" s="97"/>
      <c r="V94" s="6"/>
      <c r="W94" s="80"/>
      <c r="X94" s="6"/>
      <c r="Y94" s="83"/>
      <c r="Z94" s="5"/>
      <c r="AA94" s="5"/>
      <c r="AB94" s="5"/>
      <c r="AC94" s="5"/>
      <c r="AD94" s="79"/>
      <c r="AE94" s="6"/>
      <c r="AF94" s="80"/>
      <c r="AG94" s="6"/>
      <c r="AH94" s="89"/>
      <c r="AI94" s="6"/>
      <c r="AJ94" s="80"/>
      <c r="AK94" s="6"/>
      <c r="AL94" s="6"/>
      <c r="AM94" s="6"/>
      <c r="AN94" s="6"/>
      <c r="AO94" s="9"/>
      <c r="AP94" s="97"/>
      <c r="AQ94" s="97"/>
      <c r="AR94" s="97"/>
      <c r="AS94" s="97"/>
      <c r="AT94" s="97"/>
      <c r="AU94" s="97"/>
      <c r="AV94" s="97"/>
      <c r="AW94" s="6"/>
      <c r="AX94" s="80"/>
      <c r="AY94" s="6"/>
      <c r="AZ94" s="83"/>
      <c r="BA94" s="5"/>
      <c r="BB94" s="5"/>
      <c r="BC94" s="5"/>
      <c r="BD94" s="5"/>
      <c r="BE94" s="84"/>
      <c r="BF94" s="6"/>
      <c r="BG94" s="6"/>
      <c r="BH94" s="6"/>
      <c r="BI94" s="6"/>
      <c r="BJ94" s="6"/>
      <c r="BK94" s="6"/>
      <c r="BL94" s="93"/>
      <c r="BM94" s="6"/>
      <c r="BN94" s="6"/>
      <c r="BO94" s="6"/>
      <c r="BP94" s="6"/>
      <c r="BQ94" s="6"/>
      <c r="BR94" s="6"/>
      <c r="BS94" s="9"/>
      <c r="BT94" s="99"/>
      <c r="BU94" s="99"/>
      <c r="BV94" s="99"/>
      <c r="BW94" s="99"/>
      <c r="BX94" s="99"/>
      <c r="BY94" s="99"/>
      <c r="BZ94" s="99"/>
      <c r="CA94" s="6"/>
      <c r="CB94" s="6"/>
      <c r="CC94" s="6"/>
      <c r="CD94" s="85"/>
    </row>
    <row r="95" customFormat="false" ht="3" hidden="true" customHeight="true" outlineLevel="0" collapsed="false">
      <c r="C95" s="79"/>
      <c r="D95" s="6"/>
      <c r="E95" s="80"/>
      <c r="F95" s="6"/>
      <c r="G95" s="89"/>
      <c r="H95" s="6"/>
      <c r="I95" s="80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87"/>
      <c r="Z95" s="5"/>
      <c r="AA95" s="5"/>
      <c r="AB95" s="5"/>
      <c r="AC95" s="5"/>
      <c r="AD95" s="79"/>
      <c r="AE95" s="6"/>
      <c r="AF95" s="80"/>
      <c r="AG95" s="6"/>
      <c r="AH95" s="89"/>
      <c r="AI95" s="6"/>
      <c r="AJ95" s="80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87"/>
      <c r="BA95" s="5"/>
      <c r="BB95" s="5"/>
      <c r="BC95" s="5"/>
      <c r="BD95" s="5"/>
      <c r="BE95" s="84"/>
      <c r="BF95" s="6"/>
      <c r="BG95" s="6"/>
      <c r="BH95" s="6"/>
      <c r="BI95" s="6"/>
      <c r="BJ95" s="6"/>
      <c r="BK95" s="6"/>
      <c r="BL95" s="93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5"/>
    </row>
    <row r="96" customFormat="false" ht="9" hidden="true" customHeight="true" outlineLevel="0" collapsed="false">
      <c r="C96" s="5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87"/>
      <c r="Z96" s="5"/>
      <c r="AA96" s="5"/>
      <c r="AB96" s="5"/>
      <c r="AC96" s="5"/>
      <c r="AD96" s="5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87"/>
      <c r="BA96" s="5"/>
      <c r="BB96" s="5"/>
      <c r="BC96" s="5"/>
      <c r="BD96" s="5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5"/>
    </row>
    <row r="97" customFormat="false" ht="3" hidden="true" customHeight="true" outlineLevel="0" collapsed="false">
      <c r="B97" s="77"/>
      <c r="C97" s="79" t="s">
        <v>55</v>
      </c>
      <c r="D97" s="6"/>
      <c r="E97" s="80" t="s">
        <v>47</v>
      </c>
      <c r="F97" s="6"/>
      <c r="G97" s="89" t="n">
        <f aca="false">G81</f>
        <v>753</v>
      </c>
      <c r="H97" s="6"/>
      <c r="I97" s="80" t="s">
        <v>49</v>
      </c>
      <c r="J97" s="6"/>
      <c r="K97" s="6"/>
      <c r="L97" s="6"/>
      <c r="M97" s="6"/>
      <c r="N97" s="9"/>
      <c r="O97" s="97" t="n">
        <f aca="false">O81*Y81</f>
        <v>0.934110719450109</v>
      </c>
      <c r="P97" s="97"/>
      <c r="Q97" s="97"/>
      <c r="R97" s="97"/>
      <c r="S97" s="97"/>
      <c r="T97" s="97"/>
      <c r="U97" s="97"/>
      <c r="V97" s="6"/>
      <c r="W97" s="6"/>
      <c r="X97" s="6"/>
      <c r="Y97" s="87"/>
      <c r="Z97" s="5"/>
      <c r="AA97" s="5"/>
      <c r="AB97" s="5"/>
      <c r="AC97" s="5"/>
      <c r="AD97" s="79" t="s">
        <v>55</v>
      </c>
      <c r="AE97" s="6"/>
      <c r="AF97" s="80" t="s">
        <v>47</v>
      </c>
      <c r="AG97" s="6"/>
      <c r="AH97" s="89" t="n">
        <f aca="false">AH81</f>
        <v>718</v>
      </c>
      <c r="AI97" s="6"/>
      <c r="AJ97" s="80" t="s">
        <v>49</v>
      </c>
      <c r="AK97" s="6"/>
      <c r="AL97" s="6"/>
      <c r="AM97" s="6"/>
      <c r="AN97" s="6"/>
      <c r="AO97" s="9"/>
      <c r="AP97" s="97" t="n">
        <f aca="false">AP81*AZ81</f>
        <v>0.107056758840813</v>
      </c>
      <c r="AQ97" s="97"/>
      <c r="AR97" s="97"/>
      <c r="AS97" s="97"/>
      <c r="AT97" s="97"/>
      <c r="AU97" s="97"/>
      <c r="AV97" s="97"/>
      <c r="AW97" s="6"/>
      <c r="AX97" s="6"/>
      <c r="AY97" s="6"/>
      <c r="AZ97" s="87"/>
      <c r="BA97" s="5"/>
      <c r="BB97" s="5"/>
      <c r="BC97" s="5"/>
      <c r="BD97" s="5"/>
      <c r="BE97" s="84"/>
      <c r="BF97" s="6"/>
      <c r="BG97" s="6"/>
      <c r="BH97" s="6"/>
      <c r="BI97" s="6"/>
      <c r="BJ97" s="6"/>
      <c r="BK97" s="6"/>
      <c r="BL97" s="93"/>
      <c r="BM97" s="6"/>
      <c r="BN97" s="6"/>
      <c r="BO97" s="6"/>
      <c r="BP97" s="6"/>
      <c r="BQ97" s="6"/>
      <c r="BR97" s="6"/>
      <c r="BS97" s="9"/>
      <c r="BT97" s="99"/>
      <c r="BU97" s="102"/>
      <c r="BV97" s="102"/>
      <c r="BW97" s="102"/>
      <c r="BX97" s="102"/>
      <c r="BY97" s="102"/>
      <c r="BZ97" s="102"/>
      <c r="CA97" s="6"/>
      <c r="CB97" s="6"/>
      <c r="CC97" s="6"/>
      <c r="CD97" s="85"/>
    </row>
    <row r="98" customFormat="false" ht="3" hidden="true" customHeight="true" outlineLevel="0" collapsed="false">
      <c r="B98" s="77"/>
      <c r="C98" s="79"/>
      <c r="D98" s="6"/>
      <c r="E98" s="80"/>
      <c r="F98" s="6"/>
      <c r="G98" s="89"/>
      <c r="H98" s="6"/>
      <c r="I98" s="80"/>
      <c r="J98" s="6"/>
      <c r="K98" s="6"/>
      <c r="L98" s="6"/>
      <c r="M98" s="6"/>
      <c r="N98" s="9"/>
      <c r="O98" s="97"/>
      <c r="P98" s="97"/>
      <c r="Q98" s="97"/>
      <c r="R98" s="97"/>
      <c r="S98" s="97"/>
      <c r="T98" s="97"/>
      <c r="U98" s="97"/>
      <c r="V98" s="103"/>
      <c r="W98" s="103"/>
      <c r="X98" s="103"/>
      <c r="Y98" s="104"/>
      <c r="Z98" s="105"/>
      <c r="AA98" s="105"/>
      <c r="AB98" s="5"/>
      <c r="AC98" s="5"/>
      <c r="AD98" s="79"/>
      <c r="AE98" s="6"/>
      <c r="AF98" s="80"/>
      <c r="AG98" s="6"/>
      <c r="AH98" s="89"/>
      <c r="AI98" s="6"/>
      <c r="AJ98" s="80"/>
      <c r="AK98" s="6"/>
      <c r="AL98" s="6"/>
      <c r="AM98" s="6"/>
      <c r="AN98" s="6"/>
      <c r="AO98" s="9"/>
      <c r="AP98" s="97"/>
      <c r="AQ98" s="97"/>
      <c r="AR98" s="97"/>
      <c r="AS98" s="97"/>
      <c r="AT98" s="97"/>
      <c r="AU98" s="97"/>
      <c r="AV98" s="97"/>
      <c r="AW98" s="103"/>
      <c r="AX98" s="103"/>
      <c r="AY98" s="103"/>
      <c r="AZ98" s="104"/>
      <c r="BA98" s="5"/>
      <c r="BB98" s="5"/>
      <c r="BC98" s="5"/>
      <c r="BD98" s="5"/>
      <c r="BE98" s="84"/>
      <c r="BF98" s="6"/>
      <c r="BG98" s="6"/>
      <c r="BH98" s="6"/>
      <c r="BI98" s="6"/>
      <c r="BJ98" s="6"/>
      <c r="BK98" s="6"/>
      <c r="BL98" s="93"/>
      <c r="BM98" s="6"/>
      <c r="BN98" s="6"/>
      <c r="BO98" s="6"/>
      <c r="BP98" s="6"/>
      <c r="BQ98" s="6"/>
      <c r="BR98" s="6"/>
      <c r="BS98" s="9"/>
      <c r="BT98" s="102"/>
      <c r="BU98" s="102"/>
      <c r="BV98" s="102"/>
      <c r="BW98" s="102"/>
      <c r="BX98" s="102"/>
      <c r="BY98" s="102"/>
      <c r="BZ98" s="102"/>
      <c r="CA98" s="103"/>
      <c r="CB98" s="103"/>
      <c r="CC98" s="103"/>
      <c r="CD98" s="106"/>
    </row>
    <row r="99" customFormat="false" ht="3" hidden="true" customHeight="true" outlineLevel="0" collapsed="false">
      <c r="B99" s="77"/>
      <c r="C99" s="79"/>
      <c r="D99" s="6"/>
      <c r="E99" s="80"/>
      <c r="F99" s="6"/>
      <c r="G99" s="89"/>
      <c r="H99" s="6"/>
      <c r="I99" s="80"/>
      <c r="J99" s="6"/>
      <c r="K99" s="6"/>
      <c r="L99" s="6"/>
      <c r="M99" s="6"/>
      <c r="N99" s="9"/>
      <c r="O99" s="97"/>
      <c r="P99" s="97"/>
      <c r="Q99" s="97"/>
      <c r="R99" s="97"/>
      <c r="S99" s="97"/>
      <c r="T99" s="97"/>
      <c r="U99" s="97"/>
      <c r="V99" s="103"/>
      <c r="W99" s="103"/>
      <c r="X99" s="103"/>
      <c r="Y99" s="104"/>
      <c r="Z99" s="105"/>
      <c r="AA99" s="105"/>
      <c r="AB99" s="5"/>
      <c r="AC99" s="5"/>
      <c r="AD99" s="79"/>
      <c r="AE99" s="6"/>
      <c r="AF99" s="80"/>
      <c r="AG99" s="6"/>
      <c r="AH99" s="89"/>
      <c r="AI99" s="6"/>
      <c r="AJ99" s="80"/>
      <c r="AK99" s="6"/>
      <c r="AL99" s="6"/>
      <c r="AM99" s="6"/>
      <c r="AN99" s="6"/>
      <c r="AO99" s="9"/>
      <c r="AP99" s="97"/>
      <c r="AQ99" s="97"/>
      <c r="AR99" s="97"/>
      <c r="AS99" s="97"/>
      <c r="AT99" s="97"/>
      <c r="AU99" s="97"/>
      <c r="AV99" s="97"/>
      <c r="AW99" s="103"/>
      <c r="AX99" s="103"/>
      <c r="AY99" s="103"/>
      <c r="AZ99" s="104"/>
      <c r="BA99" s="5"/>
      <c r="BB99" s="5"/>
      <c r="BC99" s="5"/>
      <c r="BD99" s="5"/>
      <c r="BE99" s="84"/>
      <c r="BF99" s="6"/>
      <c r="BG99" s="6"/>
      <c r="BH99" s="6"/>
      <c r="BI99" s="6"/>
      <c r="BJ99" s="6"/>
      <c r="BK99" s="6"/>
      <c r="BL99" s="93"/>
      <c r="BM99" s="6"/>
      <c r="BN99" s="6"/>
      <c r="BO99" s="6"/>
      <c r="BP99" s="6"/>
      <c r="BQ99" s="6"/>
      <c r="BR99" s="6"/>
      <c r="BS99" s="9"/>
      <c r="BT99" s="102"/>
      <c r="BU99" s="102"/>
      <c r="BV99" s="102"/>
      <c r="BW99" s="102"/>
      <c r="BX99" s="102"/>
      <c r="BY99" s="102"/>
      <c r="BZ99" s="102"/>
      <c r="CA99" s="103"/>
      <c r="CB99" s="103"/>
      <c r="CC99" s="103"/>
      <c r="CD99" s="106"/>
    </row>
    <row r="100" customFormat="false" ht="3" hidden="true" customHeight="true" outlineLevel="0" collapsed="false">
      <c r="B100" s="77"/>
      <c r="C100" s="79"/>
      <c r="D100" s="6"/>
      <c r="E100" s="80"/>
      <c r="F100" s="6"/>
      <c r="G100" s="89"/>
      <c r="H100" s="6"/>
      <c r="I100" s="80"/>
      <c r="J100" s="6"/>
      <c r="K100" s="6"/>
      <c r="L100" s="6"/>
      <c r="M100" s="6"/>
      <c r="N100" s="6"/>
      <c r="O100" s="97"/>
      <c r="P100" s="97"/>
      <c r="Q100" s="97"/>
      <c r="R100" s="97"/>
      <c r="S100" s="97"/>
      <c r="T100" s="97"/>
      <c r="U100" s="97"/>
      <c r="V100" s="103"/>
      <c r="W100" s="103"/>
      <c r="X100" s="103"/>
      <c r="Y100" s="104"/>
      <c r="Z100" s="105"/>
      <c r="AA100" s="105"/>
      <c r="AB100" s="5"/>
      <c r="AC100" s="5"/>
      <c r="AD100" s="79"/>
      <c r="AE100" s="6"/>
      <c r="AF100" s="80"/>
      <c r="AG100" s="6"/>
      <c r="AH100" s="89"/>
      <c r="AI100" s="6"/>
      <c r="AJ100" s="80"/>
      <c r="AK100" s="6"/>
      <c r="AL100" s="6"/>
      <c r="AM100" s="6"/>
      <c r="AN100" s="6"/>
      <c r="AO100" s="6"/>
      <c r="AP100" s="97"/>
      <c r="AQ100" s="97"/>
      <c r="AR100" s="97"/>
      <c r="AS100" s="97"/>
      <c r="AT100" s="97"/>
      <c r="AU100" s="97"/>
      <c r="AV100" s="97"/>
      <c r="AW100" s="103"/>
      <c r="AX100" s="103"/>
      <c r="AY100" s="103"/>
      <c r="AZ100" s="104"/>
      <c r="BA100" s="5"/>
      <c r="BB100" s="5"/>
      <c r="BC100" s="5"/>
      <c r="BD100" s="5"/>
      <c r="BE100" s="84"/>
      <c r="BF100" s="6"/>
      <c r="BG100" s="6"/>
      <c r="BH100" s="6"/>
      <c r="BI100" s="6"/>
      <c r="BJ100" s="6"/>
      <c r="BK100" s="6"/>
      <c r="BL100" s="93"/>
      <c r="BM100" s="6"/>
      <c r="BN100" s="6"/>
      <c r="BO100" s="6"/>
      <c r="BP100" s="6"/>
      <c r="BQ100" s="6"/>
      <c r="BR100" s="6"/>
      <c r="BS100" s="6"/>
      <c r="BT100" s="102"/>
      <c r="BU100" s="102"/>
      <c r="BV100" s="102"/>
      <c r="BW100" s="102"/>
      <c r="BX100" s="102"/>
      <c r="BY100" s="102"/>
      <c r="BZ100" s="102"/>
      <c r="CA100" s="103"/>
      <c r="CB100" s="103"/>
      <c r="CC100" s="103"/>
      <c r="CD100" s="106"/>
    </row>
    <row r="101" customFormat="false" ht="3" hidden="true" customHeight="true" outlineLevel="0" collapsed="false">
      <c r="B101" s="77"/>
      <c r="C101" s="79"/>
      <c r="D101" s="6"/>
      <c r="E101" s="80"/>
      <c r="F101" s="6"/>
      <c r="G101" s="89"/>
      <c r="H101" s="6"/>
      <c r="I101" s="80"/>
      <c r="J101" s="6"/>
      <c r="K101" s="6"/>
      <c r="L101" s="6"/>
      <c r="M101" s="6"/>
      <c r="N101" s="6"/>
      <c r="O101" s="97"/>
      <c r="P101" s="97"/>
      <c r="Q101" s="97"/>
      <c r="R101" s="97"/>
      <c r="S101" s="97"/>
      <c r="T101" s="97"/>
      <c r="U101" s="97"/>
      <c r="V101" s="103"/>
      <c r="W101" s="103"/>
      <c r="X101" s="103"/>
      <c r="Y101" s="104"/>
      <c r="Z101" s="105"/>
      <c r="AA101" s="105"/>
      <c r="AB101" s="5"/>
      <c r="AC101" s="5"/>
      <c r="AD101" s="79"/>
      <c r="AE101" s="6"/>
      <c r="AF101" s="80"/>
      <c r="AG101" s="6"/>
      <c r="AH101" s="89"/>
      <c r="AI101" s="6"/>
      <c r="AJ101" s="80"/>
      <c r="AK101" s="6"/>
      <c r="AL101" s="6"/>
      <c r="AM101" s="6"/>
      <c r="AN101" s="6"/>
      <c r="AO101" s="6"/>
      <c r="AP101" s="97"/>
      <c r="AQ101" s="97"/>
      <c r="AR101" s="97"/>
      <c r="AS101" s="97"/>
      <c r="AT101" s="97"/>
      <c r="AU101" s="97"/>
      <c r="AV101" s="97"/>
      <c r="AW101" s="103"/>
      <c r="AX101" s="103"/>
      <c r="AY101" s="103"/>
      <c r="AZ101" s="104"/>
      <c r="BA101" s="5"/>
      <c r="BB101" s="5"/>
      <c r="BC101" s="5"/>
      <c r="BD101" s="5"/>
      <c r="BE101" s="84"/>
      <c r="BF101" s="6"/>
      <c r="BG101" s="6"/>
      <c r="BH101" s="6"/>
      <c r="BI101" s="6"/>
      <c r="BJ101" s="6"/>
      <c r="BK101" s="6"/>
      <c r="BL101" s="93"/>
      <c r="BM101" s="6"/>
      <c r="BN101" s="6"/>
      <c r="BO101" s="6"/>
      <c r="BP101" s="6"/>
      <c r="BQ101" s="6"/>
      <c r="BR101" s="6"/>
      <c r="BS101" s="6"/>
      <c r="BT101" s="102"/>
      <c r="BU101" s="102"/>
      <c r="BV101" s="102"/>
      <c r="BW101" s="102"/>
      <c r="BX101" s="102"/>
      <c r="BY101" s="102"/>
      <c r="BZ101" s="102"/>
      <c r="CA101" s="103"/>
      <c r="CB101" s="103"/>
      <c r="CC101" s="103"/>
      <c r="CD101" s="106"/>
    </row>
    <row r="102" customFormat="false" ht="3" hidden="true" customHeight="true" outlineLevel="0" collapsed="false">
      <c r="B102" s="77"/>
      <c r="C102" s="79"/>
      <c r="D102" s="6"/>
      <c r="E102" s="80"/>
      <c r="F102" s="6"/>
      <c r="G102" s="89"/>
      <c r="H102" s="6"/>
      <c r="I102" s="80"/>
      <c r="J102" s="6"/>
      <c r="K102" s="6"/>
      <c r="L102" s="6"/>
      <c r="M102" s="6"/>
      <c r="N102" s="9"/>
      <c r="O102" s="97"/>
      <c r="P102" s="97"/>
      <c r="Q102" s="97"/>
      <c r="R102" s="97"/>
      <c r="S102" s="97"/>
      <c r="T102" s="97"/>
      <c r="U102" s="97"/>
      <c r="V102" s="103"/>
      <c r="W102" s="103"/>
      <c r="X102" s="103"/>
      <c r="Y102" s="104"/>
      <c r="Z102" s="105"/>
      <c r="AA102" s="105"/>
      <c r="AB102" s="5"/>
      <c r="AC102" s="5"/>
      <c r="AD102" s="79"/>
      <c r="AE102" s="6"/>
      <c r="AF102" s="80"/>
      <c r="AG102" s="6"/>
      <c r="AH102" s="89"/>
      <c r="AI102" s="6"/>
      <c r="AJ102" s="80"/>
      <c r="AK102" s="6"/>
      <c r="AL102" s="6"/>
      <c r="AM102" s="6"/>
      <c r="AN102" s="6"/>
      <c r="AO102" s="9"/>
      <c r="AP102" s="97"/>
      <c r="AQ102" s="97"/>
      <c r="AR102" s="97"/>
      <c r="AS102" s="97"/>
      <c r="AT102" s="97"/>
      <c r="AU102" s="97"/>
      <c r="AV102" s="97"/>
      <c r="AW102" s="103"/>
      <c r="AX102" s="103"/>
      <c r="AY102" s="103"/>
      <c r="AZ102" s="104"/>
      <c r="BA102" s="5"/>
      <c r="BB102" s="5"/>
      <c r="BC102" s="5"/>
      <c r="BD102" s="5"/>
      <c r="BE102" s="84"/>
      <c r="BF102" s="6"/>
      <c r="BG102" s="6"/>
      <c r="BH102" s="6"/>
      <c r="BI102" s="6"/>
      <c r="BJ102" s="6"/>
      <c r="BK102" s="6"/>
      <c r="BL102" s="93"/>
      <c r="BM102" s="6"/>
      <c r="BN102" s="6"/>
      <c r="BO102" s="6"/>
      <c r="BP102" s="6"/>
      <c r="BQ102" s="6"/>
      <c r="BR102" s="6"/>
      <c r="BS102" s="9"/>
      <c r="BT102" s="102"/>
      <c r="BU102" s="102"/>
      <c r="BV102" s="102"/>
      <c r="BW102" s="102"/>
      <c r="BX102" s="102"/>
      <c r="BY102" s="102"/>
      <c r="BZ102" s="102"/>
      <c r="CA102" s="103"/>
      <c r="CB102" s="103"/>
      <c r="CC102" s="103"/>
      <c r="CD102" s="106"/>
    </row>
    <row r="103" customFormat="false" ht="3" hidden="true" customHeight="true" outlineLevel="0" collapsed="false">
      <c r="B103" s="77"/>
      <c r="C103" s="79"/>
      <c r="D103" s="9"/>
      <c r="E103" s="80"/>
      <c r="F103" s="6"/>
      <c r="G103" s="89"/>
      <c r="H103" s="6"/>
      <c r="I103" s="80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03"/>
      <c r="W103" s="103"/>
      <c r="X103" s="103"/>
      <c r="Y103" s="104"/>
      <c r="Z103" s="105"/>
      <c r="AA103" s="105"/>
      <c r="AB103" s="5"/>
      <c r="AC103" s="5"/>
      <c r="AD103" s="79"/>
      <c r="AE103" s="9"/>
      <c r="AF103" s="80"/>
      <c r="AG103" s="6"/>
      <c r="AH103" s="89"/>
      <c r="AI103" s="6"/>
      <c r="AJ103" s="80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103"/>
      <c r="AX103" s="103"/>
      <c r="AY103" s="103"/>
      <c r="AZ103" s="104"/>
      <c r="BA103" s="5"/>
      <c r="BB103" s="5"/>
      <c r="BC103" s="5"/>
      <c r="BD103" s="5"/>
      <c r="BE103" s="84"/>
      <c r="BF103" s="9"/>
      <c r="BG103" s="6"/>
      <c r="BH103" s="6"/>
      <c r="BI103" s="6"/>
      <c r="BJ103" s="6"/>
      <c r="BK103" s="6"/>
      <c r="BL103" s="93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103"/>
      <c r="CB103" s="103"/>
      <c r="CC103" s="103"/>
      <c r="CD103" s="106"/>
    </row>
    <row r="104" customFormat="false" ht="3" hidden="true" customHeight="true" outlineLevel="0" collapsed="false">
      <c r="B104" s="77"/>
      <c r="C104" s="79"/>
      <c r="D104" s="9"/>
      <c r="E104" s="80"/>
      <c r="F104" s="6"/>
      <c r="G104" s="89"/>
      <c r="H104" s="6"/>
      <c r="I104" s="80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03"/>
      <c r="W104" s="103"/>
      <c r="X104" s="103"/>
      <c r="Y104" s="104"/>
      <c r="Z104" s="105"/>
      <c r="AA104" s="105"/>
      <c r="AB104" s="5"/>
      <c r="AC104" s="5"/>
      <c r="AD104" s="79"/>
      <c r="AE104" s="9"/>
      <c r="AF104" s="80"/>
      <c r="AG104" s="6"/>
      <c r="AH104" s="89"/>
      <c r="AI104" s="6"/>
      <c r="AJ104" s="80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103"/>
      <c r="AX104" s="103"/>
      <c r="AY104" s="103"/>
      <c r="AZ104" s="104"/>
      <c r="BA104" s="5"/>
      <c r="BB104" s="5"/>
      <c r="BC104" s="5"/>
      <c r="BD104" s="5"/>
      <c r="BE104" s="84"/>
      <c r="BF104" s="9"/>
      <c r="BG104" s="6"/>
      <c r="BH104" s="6"/>
      <c r="BI104" s="6"/>
      <c r="BJ104" s="6"/>
      <c r="BK104" s="6"/>
      <c r="BL104" s="93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103"/>
      <c r="CB104" s="103"/>
      <c r="CC104" s="103"/>
      <c r="CD104" s="106"/>
    </row>
    <row r="105" customFormat="false" ht="3" hidden="true" customHeight="true" outlineLevel="0" collapsed="false">
      <c r="B105" s="77"/>
      <c r="C105" s="79"/>
      <c r="D105" s="6"/>
      <c r="E105" s="80"/>
      <c r="F105" s="6"/>
      <c r="G105" s="89"/>
      <c r="H105" s="6"/>
      <c r="I105" s="80"/>
      <c r="J105" s="6"/>
      <c r="K105" s="6"/>
      <c r="L105" s="6"/>
      <c r="M105" s="6"/>
      <c r="N105" s="9"/>
      <c r="O105" s="97" t="n">
        <f aca="false">O89-Y89</f>
        <v>4.87491018522081</v>
      </c>
      <c r="P105" s="97"/>
      <c r="Q105" s="97"/>
      <c r="R105" s="97"/>
      <c r="S105" s="97"/>
      <c r="T105" s="97"/>
      <c r="U105" s="97"/>
      <c r="V105" s="103"/>
      <c r="W105" s="103"/>
      <c r="X105" s="103"/>
      <c r="Y105" s="104"/>
      <c r="Z105" s="105"/>
      <c r="AA105" s="105"/>
      <c r="AB105" s="5"/>
      <c r="AC105" s="5"/>
      <c r="AD105" s="79"/>
      <c r="AE105" s="6"/>
      <c r="AF105" s="80"/>
      <c r="AG105" s="6"/>
      <c r="AH105" s="89"/>
      <c r="AI105" s="6"/>
      <c r="AJ105" s="80"/>
      <c r="AK105" s="6"/>
      <c r="AL105" s="6"/>
      <c r="AM105" s="6"/>
      <c r="AN105" s="6"/>
      <c r="AO105" s="9"/>
      <c r="AP105" s="97" t="n">
        <f aca="false">AP89-AZ89</f>
        <v>0.918579907541454</v>
      </c>
      <c r="AQ105" s="97"/>
      <c r="AR105" s="97"/>
      <c r="AS105" s="97"/>
      <c r="AT105" s="97"/>
      <c r="AU105" s="97"/>
      <c r="AV105" s="97"/>
      <c r="AW105" s="103"/>
      <c r="AX105" s="103"/>
      <c r="AY105" s="103"/>
      <c r="AZ105" s="104"/>
      <c r="BA105" s="5"/>
      <c r="BB105" s="5"/>
      <c r="BC105" s="5"/>
      <c r="BD105" s="5"/>
      <c r="BE105" s="84"/>
      <c r="BF105" s="6"/>
      <c r="BG105" s="6"/>
      <c r="BH105" s="6"/>
      <c r="BI105" s="6"/>
      <c r="BJ105" s="6"/>
      <c r="BK105" s="6"/>
      <c r="BL105" s="93"/>
      <c r="BM105" s="6"/>
      <c r="BN105" s="6"/>
      <c r="BO105" s="6"/>
      <c r="BP105" s="6"/>
      <c r="BQ105" s="6"/>
      <c r="BR105" s="6"/>
      <c r="BS105" s="9"/>
      <c r="BT105" s="99"/>
      <c r="BU105" s="102"/>
      <c r="BV105" s="102"/>
      <c r="BW105" s="102"/>
      <c r="BX105" s="102"/>
      <c r="BY105" s="102"/>
      <c r="BZ105" s="102"/>
      <c r="CA105" s="103"/>
      <c r="CB105" s="103"/>
      <c r="CC105" s="103"/>
      <c r="CD105" s="106"/>
    </row>
    <row r="106" customFormat="false" ht="3" hidden="true" customHeight="true" outlineLevel="0" collapsed="false">
      <c r="B106" s="77"/>
      <c r="C106" s="79"/>
      <c r="D106" s="6"/>
      <c r="E106" s="80"/>
      <c r="F106" s="6"/>
      <c r="G106" s="89"/>
      <c r="H106" s="6"/>
      <c r="I106" s="80"/>
      <c r="J106" s="6"/>
      <c r="K106" s="6"/>
      <c r="L106" s="6"/>
      <c r="M106" s="6"/>
      <c r="N106" s="9"/>
      <c r="O106" s="97"/>
      <c r="P106" s="97"/>
      <c r="Q106" s="97"/>
      <c r="R106" s="97"/>
      <c r="S106" s="97"/>
      <c r="T106" s="97"/>
      <c r="U106" s="97"/>
      <c r="V106" s="103"/>
      <c r="W106" s="103"/>
      <c r="X106" s="103"/>
      <c r="Y106" s="104"/>
      <c r="Z106" s="105"/>
      <c r="AA106" s="105"/>
      <c r="AB106" s="5"/>
      <c r="AC106" s="5"/>
      <c r="AD106" s="79"/>
      <c r="AE106" s="6"/>
      <c r="AF106" s="80"/>
      <c r="AG106" s="6"/>
      <c r="AH106" s="89"/>
      <c r="AI106" s="6"/>
      <c r="AJ106" s="80"/>
      <c r="AK106" s="6"/>
      <c r="AL106" s="6"/>
      <c r="AM106" s="6"/>
      <c r="AN106" s="6"/>
      <c r="AO106" s="9"/>
      <c r="AP106" s="97"/>
      <c r="AQ106" s="97"/>
      <c r="AR106" s="97"/>
      <c r="AS106" s="97"/>
      <c r="AT106" s="97"/>
      <c r="AU106" s="97"/>
      <c r="AV106" s="97"/>
      <c r="AW106" s="103"/>
      <c r="AX106" s="103"/>
      <c r="AY106" s="103"/>
      <c r="AZ106" s="104"/>
      <c r="BA106" s="5"/>
      <c r="BB106" s="5"/>
      <c r="BC106" s="5"/>
      <c r="BD106" s="5"/>
      <c r="BE106" s="84"/>
      <c r="BF106" s="6"/>
      <c r="BG106" s="6"/>
      <c r="BH106" s="6"/>
      <c r="BI106" s="6"/>
      <c r="BJ106" s="6"/>
      <c r="BK106" s="6"/>
      <c r="BL106" s="93"/>
      <c r="BM106" s="6"/>
      <c r="BN106" s="6"/>
      <c r="BO106" s="6"/>
      <c r="BP106" s="6"/>
      <c r="BQ106" s="6"/>
      <c r="BR106" s="6"/>
      <c r="BS106" s="9"/>
      <c r="BT106" s="102"/>
      <c r="BU106" s="102"/>
      <c r="BV106" s="102"/>
      <c r="BW106" s="102"/>
      <c r="BX106" s="102"/>
      <c r="BY106" s="102"/>
      <c r="BZ106" s="102"/>
      <c r="CA106" s="103"/>
      <c r="CB106" s="103"/>
      <c r="CC106" s="103"/>
      <c r="CD106" s="106"/>
    </row>
    <row r="107" customFormat="false" ht="3" hidden="true" customHeight="true" outlineLevel="0" collapsed="false">
      <c r="B107" s="77"/>
      <c r="C107" s="79"/>
      <c r="D107" s="6"/>
      <c r="E107" s="80"/>
      <c r="F107" s="6"/>
      <c r="G107" s="89"/>
      <c r="H107" s="6"/>
      <c r="I107" s="80"/>
      <c r="J107" s="6"/>
      <c r="K107" s="6"/>
      <c r="L107" s="6"/>
      <c r="M107" s="6"/>
      <c r="N107" s="9"/>
      <c r="O107" s="97"/>
      <c r="P107" s="97"/>
      <c r="Q107" s="97"/>
      <c r="R107" s="97"/>
      <c r="S107" s="97"/>
      <c r="T107" s="97"/>
      <c r="U107" s="97"/>
      <c r="V107" s="103"/>
      <c r="W107" s="103"/>
      <c r="X107" s="103"/>
      <c r="Y107" s="104"/>
      <c r="Z107" s="105"/>
      <c r="AA107" s="105"/>
      <c r="AB107" s="5"/>
      <c r="AC107" s="5"/>
      <c r="AD107" s="79"/>
      <c r="AE107" s="6"/>
      <c r="AF107" s="80"/>
      <c r="AG107" s="6"/>
      <c r="AH107" s="89"/>
      <c r="AI107" s="6"/>
      <c r="AJ107" s="80"/>
      <c r="AK107" s="6"/>
      <c r="AL107" s="6"/>
      <c r="AM107" s="6"/>
      <c r="AN107" s="6"/>
      <c r="AO107" s="9"/>
      <c r="AP107" s="97"/>
      <c r="AQ107" s="97"/>
      <c r="AR107" s="97"/>
      <c r="AS107" s="97"/>
      <c r="AT107" s="97"/>
      <c r="AU107" s="97"/>
      <c r="AV107" s="97"/>
      <c r="AW107" s="103"/>
      <c r="AX107" s="103"/>
      <c r="AY107" s="103"/>
      <c r="AZ107" s="104"/>
      <c r="BA107" s="5"/>
      <c r="BB107" s="5"/>
      <c r="BC107" s="5"/>
      <c r="BD107" s="5"/>
      <c r="BE107" s="84"/>
      <c r="BF107" s="6"/>
      <c r="BG107" s="6"/>
      <c r="BH107" s="6"/>
      <c r="BI107" s="6"/>
      <c r="BJ107" s="6"/>
      <c r="BK107" s="6"/>
      <c r="BL107" s="93"/>
      <c r="BM107" s="6"/>
      <c r="BN107" s="6"/>
      <c r="BO107" s="6"/>
      <c r="BP107" s="6"/>
      <c r="BQ107" s="6"/>
      <c r="BR107" s="6"/>
      <c r="BS107" s="9"/>
      <c r="BT107" s="102"/>
      <c r="BU107" s="102"/>
      <c r="BV107" s="102"/>
      <c r="BW107" s="102"/>
      <c r="BX107" s="102"/>
      <c r="BY107" s="102"/>
      <c r="BZ107" s="102"/>
      <c r="CA107" s="103"/>
      <c r="CB107" s="103"/>
      <c r="CC107" s="103"/>
      <c r="CD107" s="106"/>
    </row>
    <row r="108" customFormat="false" ht="3" hidden="true" customHeight="true" outlineLevel="0" collapsed="false">
      <c r="B108" s="77"/>
      <c r="C108" s="79"/>
      <c r="D108" s="6"/>
      <c r="E108" s="80"/>
      <c r="F108" s="6"/>
      <c r="G108" s="89"/>
      <c r="H108" s="6"/>
      <c r="I108" s="80"/>
      <c r="J108" s="6"/>
      <c r="K108" s="6"/>
      <c r="L108" s="6"/>
      <c r="M108" s="6"/>
      <c r="N108" s="6"/>
      <c r="O108" s="97"/>
      <c r="P108" s="97"/>
      <c r="Q108" s="97"/>
      <c r="R108" s="97"/>
      <c r="S108" s="97"/>
      <c r="T108" s="97"/>
      <c r="U108" s="97"/>
      <c r="V108" s="103"/>
      <c r="W108" s="103"/>
      <c r="X108" s="103"/>
      <c r="Y108" s="104"/>
      <c r="Z108" s="105"/>
      <c r="AA108" s="105"/>
      <c r="AB108" s="5"/>
      <c r="AC108" s="5"/>
      <c r="AD108" s="79"/>
      <c r="AE108" s="6"/>
      <c r="AF108" s="80"/>
      <c r="AG108" s="6"/>
      <c r="AH108" s="89"/>
      <c r="AI108" s="6"/>
      <c r="AJ108" s="80"/>
      <c r="AK108" s="6"/>
      <c r="AL108" s="6"/>
      <c r="AM108" s="6"/>
      <c r="AN108" s="6"/>
      <c r="AO108" s="6"/>
      <c r="AP108" s="97"/>
      <c r="AQ108" s="97"/>
      <c r="AR108" s="97"/>
      <c r="AS108" s="97"/>
      <c r="AT108" s="97"/>
      <c r="AU108" s="97"/>
      <c r="AV108" s="97"/>
      <c r="AW108" s="103"/>
      <c r="AX108" s="103"/>
      <c r="AY108" s="103"/>
      <c r="AZ108" s="104"/>
      <c r="BA108" s="5"/>
      <c r="BB108" s="5"/>
      <c r="BC108" s="5"/>
      <c r="BD108" s="5"/>
      <c r="BE108" s="84"/>
      <c r="BF108" s="6"/>
      <c r="BG108" s="6"/>
      <c r="BH108" s="6"/>
      <c r="BI108" s="6"/>
      <c r="BJ108" s="6"/>
      <c r="BK108" s="6"/>
      <c r="BL108" s="93"/>
      <c r="BM108" s="6"/>
      <c r="BN108" s="6"/>
      <c r="BO108" s="6"/>
      <c r="BP108" s="6"/>
      <c r="BQ108" s="6"/>
      <c r="BR108" s="6"/>
      <c r="BS108" s="6"/>
      <c r="BT108" s="102"/>
      <c r="BU108" s="102"/>
      <c r="BV108" s="102"/>
      <c r="BW108" s="102"/>
      <c r="BX108" s="102"/>
      <c r="BY108" s="102"/>
      <c r="BZ108" s="102"/>
      <c r="CA108" s="103"/>
      <c r="CB108" s="103"/>
      <c r="CC108" s="103"/>
      <c r="CD108" s="106"/>
    </row>
    <row r="109" customFormat="false" ht="3" hidden="true" customHeight="true" outlineLevel="0" collapsed="false">
      <c r="B109" s="77"/>
      <c r="C109" s="79"/>
      <c r="D109" s="6"/>
      <c r="E109" s="80"/>
      <c r="F109" s="6"/>
      <c r="G109" s="89"/>
      <c r="H109" s="6"/>
      <c r="I109" s="80"/>
      <c r="J109" s="6"/>
      <c r="K109" s="6"/>
      <c r="L109" s="6"/>
      <c r="M109" s="6"/>
      <c r="N109" s="6"/>
      <c r="O109" s="97"/>
      <c r="P109" s="97"/>
      <c r="Q109" s="97"/>
      <c r="R109" s="97"/>
      <c r="S109" s="97"/>
      <c r="T109" s="97"/>
      <c r="U109" s="97"/>
      <c r="V109" s="103"/>
      <c r="W109" s="103"/>
      <c r="X109" s="103"/>
      <c r="Y109" s="104"/>
      <c r="Z109" s="105"/>
      <c r="AA109" s="105"/>
      <c r="AB109" s="5"/>
      <c r="AC109" s="5"/>
      <c r="AD109" s="79"/>
      <c r="AE109" s="6"/>
      <c r="AF109" s="80"/>
      <c r="AG109" s="6"/>
      <c r="AH109" s="89"/>
      <c r="AI109" s="6"/>
      <c r="AJ109" s="80"/>
      <c r="AK109" s="6"/>
      <c r="AL109" s="6"/>
      <c r="AM109" s="6"/>
      <c r="AN109" s="6"/>
      <c r="AO109" s="6"/>
      <c r="AP109" s="97"/>
      <c r="AQ109" s="97"/>
      <c r="AR109" s="97"/>
      <c r="AS109" s="97"/>
      <c r="AT109" s="97"/>
      <c r="AU109" s="97"/>
      <c r="AV109" s="97"/>
      <c r="AW109" s="103"/>
      <c r="AX109" s="103"/>
      <c r="AY109" s="103"/>
      <c r="AZ109" s="104"/>
      <c r="BA109" s="5"/>
      <c r="BB109" s="5"/>
      <c r="BC109" s="5"/>
      <c r="BD109" s="5"/>
      <c r="BE109" s="84"/>
      <c r="BF109" s="6"/>
      <c r="BG109" s="6"/>
      <c r="BH109" s="6"/>
      <c r="BI109" s="6"/>
      <c r="BJ109" s="6"/>
      <c r="BK109" s="6"/>
      <c r="BL109" s="93"/>
      <c r="BM109" s="6"/>
      <c r="BN109" s="6"/>
      <c r="BO109" s="6"/>
      <c r="BP109" s="6"/>
      <c r="BQ109" s="6"/>
      <c r="BR109" s="6"/>
      <c r="BS109" s="6"/>
      <c r="BT109" s="102"/>
      <c r="BU109" s="102"/>
      <c r="BV109" s="102"/>
      <c r="BW109" s="102"/>
      <c r="BX109" s="102"/>
      <c r="BY109" s="102"/>
      <c r="BZ109" s="102"/>
      <c r="CA109" s="103"/>
      <c r="CB109" s="103"/>
      <c r="CC109" s="103"/>
      <c r="CD109" s="106"/>
    </row>
    <row r="110" customFormat="false" ht="3" hidden="true" customHeight="true" outlineLevel="0" collapsed="false">
      <c r="B110" s="77"/>
      <c r="C110" s="79"/>
      <c r="D110" s="6"/>
      <c r="E110" s="80"/>
      <c r="F110" s="6"/>
      <c r="G110" s="89"/>
      <c r="H110" s="6"/>
      <c r="I110" s="80"/>
      <c r="J110" s="6"/>
      <c r="K110" s="6"/>
      <c r="L110" s="6"/>
      <c r="M110" s="6"/>
      <c r="N110" s="9"/>
      <c r="O110" s="97"/>
      <c r="P110" s="97"/>
      <c r="Q110" s="97"/>
      <c r="R110" s="97"/>
      <c r="S110" s="97"/>
      <c r="T110" s="97"/>
      <c r="U110" s="97"/>
      <c r="V110" s="6"/>
      <c r="W110" s="6"/>
      <c r="X110" s="6"/>
      <c r="Y110" s="87"/>
      <c r="Z110" s="5"/>
      <c r="AA110" s="5"/>
      <c r="AB110" s="5"/>
      <c r="AC110" s="5"/>
      <c r="AD110" s="79"/>
      <c r="AE110" s="6"/>
      <c r="AF110" s="80"/>
      <c r="AG110" s="6"/>
      <c r="AH110" s="89"/>
      <c r="AI110" s="6"/>
      <c r="AJ110" s="80"/>
      <c r="AK110" s="6"/>
      <c r="AL110" s="6"/>
      <c r="AM110" s="6"/>
      <c r="AN110" s="6"/>
      <c r="AO110" s="9"/>
      <c r="AP110" s="97"/>
      <c r="AQ110" s="97"/>
      <c r="AR110" s="97"/>
      <c r="AS110" s="97"/>
      <c r="AT110" s="97"/>
      <c r="AU110" s="97"/>
      <c r="AV110" s="97"/>
      <c r="AW110" s="6"/>
      <c r="AX110" s="6"/>
      <c r="AY110" s="6"/>
      <c r="AZ110" s="87"/>
      <c r="BA110" s="5"/>
      <c r="BB110" s="5"/>
      <c r="BC110" s="5"/>
      <c r="BD110" s="5"/>
      <c r="BE110" s="84"/>
      <c r="BF110" s="6"/>
      <c r="BG110" s="6"/>
      <c r="BH110" s="6"/>
      <c r="BI110" s="6"/>
      <c r="BJ110" s="6"/>
      <c r="BK110" s="6"/>
      <c r="BL110" s="93"/>
      <c r="BM110" s="6"/>
      <c r="BN110" s="6"/>
      <c r="BO110" s="6"/>
      <c r="BP110" s="6"/>
      <c r="BQ110" s="6"/>
      <c r="BR110" s="6"/>
      <c r="BS110" s="9"/>
      <c r="BT110" s="102"/>
      <c r="BU110" s="102"/>
      <c r="BV110" s="102"/>
      <c r="BW110" s="102"/>
      <c r="BX110" s="102"/>
      <c r="BY110" s="102"/>
      <c r="BZ110" s="102"/>
      <c r="CA110" s="6"/>
      <c r="CB110" s="6"/>
      <c r="CC110" s="6"/>
      <c r="CD110" s="85"/>
    </row>
    <row r="111" customFormat="false" ht="3" hidden="true" customHeight="true" outlineLevel="0" collapsed="false">
      <c r="C111" s="79"/>
      <c r="D111" s="6"/>
      <c r="E111" s="80"/>
      <c r="F111" s="6"/>
      <c r="G111" s="89"/>
      <c r="H111" s="6"/>
      <c r="I111" s="80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87"/>
      <c r="Z111" s="5"/>
      <c r="AA111" s="5"/>
      <c r="AB111" s="5"/>
      <c r="AC111" s="5"/>
      <c r="AD111" s="79"/>
      <c r="AE111" s="6"/>
      <c r="AF111" s="80"/>
      <c r="AG111" s="6"/>
      <c r="AH111" s="89"/>
      <c r="AI111" s="6"/>
      <c r="AJ111" s="80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87"/>
      <c r="BA111" s="5"/>
      <c r="BB111" s="5"/>
      <c r="BC111" s="5"/>
      <c r="BD111" s="5"/>
      <c r="BE111" s="84"/>
      <c r="BF111" s="6"/>
      <c r="BG111" s="6"/>
      <c r="BH111" s="6"/>
      <c r="BI111" s="6"/>
      <c r="BJ111" s="6"/>
      <c r="BK111" s="6"/>
      <c r="BL111" s="93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85"/>
    </row>
    <row r="112" customFormat="false" ht="9" hidden="true" customHeight="true" outlineLevel="0" collapsed="false">
      <c r="C112" s="5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87"/>
      <c r="Z112" s="5"/>
      <c r="AA112" s="5"/>
      <c r="AB112" s="5"/>
      <c r="AC112" s="5"/>
      <c r="AD112" s="5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87"/>
      <c r="BA112" s="5"/>
      <c r="BB112" s="5"/>
      <c r="BC112" s="5"/>
      <c r="BD112" s="5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85"/>
    </row>
    <row r="113" customFormat="false" ht="3" hidden="true" customHeight="true" outlineLevel="0" collapsed="false">
      <c r="B113" s="77"/>
      <c r="C113" s="79" t="s">
        <v>55</v>
      </c>
      <c r="D113" s="5"/>
      <c r="E113" s="107" t="s">
        <v>47</v>
      </c>
      <c r="F113" s="5"/>
      <c r="G113" s="89" t="n">
        <f aca="false">G97</f>
        <v>753</v>
      </c>
      <c r="H113" s="5"/>
      <c r="I113" s="107" t="s">
        <v>49</v>
      </c>
      <c r="J113" s="5"/>
      <c r="K113" s="97" t="n">
        <f aca="false">O97/O105</f>
        <v>0.191615985517444</v>
      </c>
      <c r="L113" s="97"/>
      <c r="M113" s="97"/>
      <c r="N113" s="97"/>
      <c r="O113" s="97"/>
      <c r="P113" s="97"/>
      <c r="Q113" s="97"/>
      <c r="R113" s="97"/>
      <c r="S113" s="97"/>
      <c r="T113" s="108"/>
      <c r="U113" s="108"/>
      <c r="V113" s="5"/>
      <c r="W113" s="5"/>
      <c r="X113" s="5"/>
      <c r="Y113" s="53"/>
      <c r="Z113" s="5"/>
      <c r="AA113" s="5"/>
      <c r="AB113" s="5"/>
      <c r="AC113" s="5"/>
      <c r="AD113" s="79" t="s">
        <v>55</v>
      </c>
      <c r="AE113" s="5"/>
      <c r="AF113" s="107" t="s">
        <v>47</v>
      </c>
      <c r="AG113" s="5"/>
      <c r="AH113" s="89" t="n">
        <f aca="false">AH97</f>
        <v>718</v>
      </c>
      <c r="AI113" s="5"/>
      <c r="AJ113" s="107" t="s">
        <v>49</v>
      </c>
      <c r="AK113" s="5"/>
      <c r="AL113" s="97" t="n">
        <f aca="false">AP97/AP105</f>
        <v>0.116545940055827</v>
      </c>
      <c r="AM113" s="97"/>
      <c r="AN113" s="97"/>
      <c r="AO113" s="97"/>
      <c r="AP113" s="97"/>
      <c r="AQ113" s="97"/>
      <c r="AR113" s="97"/>
      <c r="AS113" s="97"/>
      <c r="AT113" s="97"/>
      <c r="AU113" s="108"/>
      <c r="AV113" s="108"/>
      <c r="AW113" s="5"/>
      <c r="AX113" s="5"/>
      <c r="AY113" s="5"/>
      <c r="AZ113" s="53"/>
      <c r="BA113" s="5"/>
      <c r="BB113" s="5"/>
      <c r="BC113" s="5"/>
      <c r="BD113" s="5"/>
      <c r="BE113" s="84"/>
      <c r="BF113" s="5"/>
      <c r="BG113" s="5"/>
      <c r="BH113" s="5"/>
      <c r="BI113" s="5"/>
      <c r="BJ113" s="5"/>
      <c r="BK113" s="5"/>
      <c r="BL113" s="93"/>
      <c r="BM113" s="5"/>
      <c r="BN113" s="5"/>
      <c r="BO113" s="5"/>
      <c r="BP113" s="99"/>
      <c r="BQ113" s="99"/>
      <c r="BR113" s="99"/>
      <c r="BS113" s="99"/>
      <c r="BT113" s="99"/>
      <c r="BU113" s="99"/>
      <c r="BV113" s="99"/>
      <c r="BW113" s="99"/>
      <c r="BX113" s="99"/>
      <c r="BY113" s="108"/>
      <c r="BZ113" s="108"/>
      <c r="CA113" s="5"/>
      <c r="CB113" s="5"/>
      <c r="CC113" s="5"/>
    </row>
    <row r="114" customFormat="false" ht="3" hidden="true" customHeight="true" outlineLevel="0" collapsed="false">
      <c r="B114" s="77"/>
      <c r="C114" s="79"/>
      <c r="D114" s="5"/>
      <c r="E114" s="107"/>
      <c r="F114" s="5"/>
      <c r="G114" s="89"/>
      <c r="H114" s="5"/>
      <c r="I114" s="107"/>
      <c r="J114" s="5"/>
      <c r="K114" s="97"/>
      <c r="L114" s="97"/>
      <c r="M114" s="97"/>
      <c r="N114" s="97"/>
      <c r="O114" s="97"/>
      <c r="P114" s="97"/>
      <c r="Q114" s="97"/>
      <c r="R114" s="97"/>
      <c r="S114" s="97"/>
      <c r="T114" s="108"/>
      <c r="U114" s="108"/>
      <c r="V114" s="5"/>
      <c r="W114" s="5"/>
      <c r="X114" s="5"/>
      <c r="Y114" s="53"/>
      <c r="Z114" s="5"/>
      <c r="AA114" s="5"/>
      <c r="AB114" s="5"/>
      <c r="AC114" s="5"/>
      <c r="AD114" s="79"/>
      <c r="AE114" s="5"/>
      <c r="AF114" s="107"/>
      <c r="AG114" s="5"/>
      <c r="AH114" s="89"/>
      <c r="AI114" s="5"/>
      <c r="AJ114" s="107"/>
      <c r="AK114" s="5"/>
      <c r="AL114" s="97"/>
      <c r="AM114" s="97"/>
      <c r="AN114" s="97"/>
      <c r="AO114" s="97"/>
      <c r="AP114" s="97"/>
      <c r="AQ114" s="97"/>
      <c r="AR114" s="97"/>
      <c r="AS114" s="97"/>
      <c r="AT114" s="97"/>
      <c r="AU114" s="108"/>
      <c r="AV114" s="108"/>
      <c r="AW114" s="5"/>
      <c r="AX114" s="5"/>
      <c r="AY114" s="5"/>
      <c r="AZ114" s="53"/>
      <c r="BA114" s="5"/>
      <c r="BB114" s="5"/>
      <c r="BC114" s="5"/>
      <c r="BD114" s="5"/>
      <c r="BE114" s="84"/>
      <c r="BF114" s="5"/>
      <c r="BG114" s="5"/>
      <c r="BH114" s="5"/>
      <c r="BI114" s="5"/>
      <c r="BJ114" s="5"/>
      <c r="BK114" s="5"/>
      <c r="BL114" s="93"/>
      <c r="BM114" s="5"/>
      <c r="BN114" s="5"/>
      <c r="BO114" s="5"/>
      <c r="BP114" s="99"/>
      <c r="BQ114" s="99"/>
      <c r="BR114" s="99"/>
      <c r="BS114" s="99"/>
      <c r="BT114" s="99"/>
      <c r="BU114" s="99"/>
      <c r="BV114" s="99"/>
      <c r="BW114" s="99"/>
      <c r="BX114" s="99"/>
      <c r="BY114" s="108"/>
      <c r="BZ114" s="108"/>
      <c r="CA114" s="5"/>
      <c r="CB114" s="5"/>
      <c r="CC114" s="5"/>
    </row>
    <row r="115" customFormat="false" ht="3" hidden="true" customHeight="true" outlineLevel="0" collapsed="false">
      <c r="B115" s="77"/>
      <c r="C115" s="79"/>
      <c r="D115" s="5"/>
      <c r="E115" s="107"/>
      <c r="F115" s="5"/>
      <c r="G115" s="89"/>
      <c r="H115" s="5"/>
      <c r="I115" s="107"/>
      <c r="J115" s="5"/>
      <c r="K115" s="97"/>
      <c r="L115" s="97"/>
      <c r="M115" s="97"/>
      <c r="N115" s="97"/>
      <c r="O115" s="97"/>
      <c r="P115" s="97"/>
      <c r="Q115" s="97"/>
      <c r="R115" s="97"/>
      <c r="S115" s="97"/>
      <c r="T115" s="108"/>
      <c r="U115" s="108"/>
      <c r="V115" s="5"/>
      <c r="W115" s="5"/>
      <c r="X115" s="5"/>
      <c r="Y115" s="53"/>
      <c r="Z115" s="5"/>
      <c r="AA115" s="5"/>
      <c r="AB115" s="5"/>
      <c r="AC115" s="5"/>
      <c r="AD115" s="79"/>
      <c r="AE115" s="5"/>
      <c r="AF115" s="107"/>
      <c r="AG115" s="5"/>
      <c r="AH115" s="89"/>
      <c r="AI115" s="5"/>
      <c r="AJ115" s="107"/>
      <c r="AK115" s="5"/>
      <c r="AL115" s="97"/>
      <c r="AM115" s="97"/>
      <c r="AN115" s="97"/>
      <c r="AO115" s="97"/>
      <c r="AP115" s="97"/>
      <c r="AQ115" s="97"/>
      <c r="AR115" s="97"/>
      <c r="AS115" s="97"/>
      <c r="AT115" s="97"/>
      <c r="AU115" s="108"/>
      <c r="AV115" s="108"/>
      <c r="AW115" s="5"/>
      <c r="AX115" s="5"/>
      <c r="AY115" s="5"/>
      <c r="AZ115" s="53"/>
      <c r="BA115" s="5"/>
      <c r="BB115" s="5"/>
      <c r="BC115" s="5"/>
      <c r="BD115" s="5"/>
      <c r="BE115" s="84"/>
      <c r="BF115" s="5"/>
      <c r="BG115" s="5"/>
      <c r="BH115" s="5"/>
      <c r="BI115" s="5"/>
      <c r="BJ115" s="5"/>
      <c r="BK115" s="5"/>
      <c r="BL115" s="93"/>
      <c r="BM115" s="5"/>
      <c r="BN115" s="5"/>
      <c r="BO115" s="5"/>
      <c r="BP115" s="99"/>
      <c r="BQ115" s="99"/>
      <c r="BR115" s="99"/>
      <c r="BS115" s="99"/>
      <c r="BT115" s="99"/>
      <c r="BU115" s="99"/>
      <c r="BV115" s="99"/>
      <c r="BW115" s="99"/>
      <c r="BX115" s="99"/>
      <c r="BY115" s="108"/>
      <c r="BZ115" s="108"/>
      <c r="CA115" s="5"/>
      <c r="CB115" s="5"/>
      <c r="CC115" s="5"/>
    </row>
    <row r="116" customFormat="false" ht="3" hidden="true" customHeight="true" outlineLevel="0" collapsed="false">
      <c r="B116" s="77"/>
      <c r="C116" s="79"/>
      <c r="D116" s="5"/>
      <c r="E116" s="107"/>
      <c r="F116" s="5"/>
      <c r="G116" s="89"/>
      <c r="H116" s="5"/>
      <c r="I116" s="107"/>
      <c r="J116" s="5"/>
      <c r="K116" s="97"/>
      <c r="L116" s="97"/>
      <c r="M116" s="97"/>
      <c r="N116" s="97"/>
      <c r="O116" s="97"/>
      <c r="P116" s="97"/>
      <c r="Q116" s="97"/>
      <c r="R116" s="97"/>
      <c r="S116" s="97"/>
      <c r="T116" s="108"/>
      <c r="U116" s="108"/>
      <c r="V116" s="5"/>
      <c r="W116" s="5"/>
      <c r="X116" s="5"/>
      <c r="Y116" s="53"/>
      <c r="Z116" s="5"/>
      <c r="AA116" s="5"/>
      <c r="AB116" s="5"/>
      <c r="AC116" s="5"/>
      <c r="AD116" s="79"/>
      <c r="AE116" s="5"/>
      <c r="AF116" s="107"/>
      <c r="AG116" s="5"/>
      <c r="AH116" s="89"/>
      <c r="AI116" s="5"/>
      <c r="AJ116" s="107"/>
      <c r="AK116" s="5"/>
      <c r="AL116" s="97"/>
      <c r="AM116" s="97"/>
      <c r="AN116" s="97"/>
      <c r="AO116" s="97"/>
      <c r="AP116" s="97"/>
      <c r="AQ116" s="97"/>
      <c r="AR116" s="97"/>
      <c r="AS116" s="97"/>
      <c r="AT116" s="97"/>
      <c r="AU116" s="108"/>
      <c r="AV116" s="108"/>
      <c r="AW116" s="5"/>
      <c r="AX116" s="5"/>
      <c r="AY116" s="5"/>
      <c r="AZ116" s="53"/>
      <c r="BA116" s="5"/>
      <c r="BB116" s="5"/>
      <c r="BC116" s="5"/>
      <c r="BD116" s="5"/>
      <c r="BE116" s="84"/>
      <c r="BF116" s="5"/>
      <c r="BG116" s="5"/>
      <c r="BH116" s="5"/>
      <c r="BI116" s="5"/>
      <c r="BJ116" s="5"/>
      <c r="BK116" s="5"/>
      <c r="BL116" s="93"/>
      <c r="BM116" s="5"/>
      <c r="BN116" s="5"/>
      <c r="BO116" s="5"/>
      <c r="BP116" s="99"/>
      <c r="BQ116" s="99"/>
      <c r="BR116" s="99"/>
      <c r="BS116" s="99"/>
      <c r="BT116" s="99"/>
      <c r="BU116" s="99"/>
      <c r="BV116" s="99"/>
      <c r="BW116" s="99"/>
      <c r="BX116" s="99"/>
      <c r="BY116" s="108"/>
      <c r="BZ116" s="108"/>
      <c r="CA116" s="5"/>
      <c r="CB116" s="5"/>
      <c r="CC116" s="5"/>
    </row>
    <row r="117" customFormat="false" ht="3" hidden="true" customHeight="true" outlineLevel="0" collapsed="false">
      <c r="B117" s="77"/>
      <c r="C117" s="79"/>
      <c r="D117" s="5"/>
      <c r="E117" s="107"/>
      <c r="F117" s="5"/>
      <c r="G117" s="89"/>
      <c r="H117" s="5"/>
      <c r="I117" s="107"/>
      <c r="J117" s="5"/>
      <c r="K117" s="97"/>
      <c r="L117" s="97"/>
      <c r="M117" s="97"/>
      <c r="N117" s="97"/>
      <c r="O117" s="97"/>
      <c r="P117" s="97"/>
      <c r="Q117" s="97"/>
      <c r="R117" s="97"/>
      <c r="S117" s="97"/>
      <c r="T117" s="108"/>
      <c r="U117" s="108"/>
      <c r="V117" s="5"/>
      <c r="W117" s="5"/>
      <c r="X117" s="5"/>
      <c r="Y117" s="53"/>
      <c r="Z117" s="5"/>
      <c r="AA117" s="5"/>
      <c r="AB117" s="5"/>
      <c r="AC117" s="5"/>
      <c r="AD117" s="79"/>
      <c r="AE117" s="5"/>
      <c r="AF117" s="107"/>
      <c r="AG117" s="5"/>
      <c r="AH117" s="89"/>
      <c r="AI117" s="5"/>
      <c r="AJ117" s="107"/>
      <c r="AK117" s="5"/>
      <c r="AL117" s="97"/>
      <c r="AM117" s="97"/>
      <c r="AN117" s="97"/>
      <c r="AO117" s="97"/>
      <c r="AP117" s="97"/>
      <c r="AQ117" s="97"/>
      <c r="AR117" s="97"/>
      <c r="AS117" s="97"/>
      <c r="AT117" s="97"/>
      <c r="AU117" s="108"/>
      <c r="AV117" s="108"/>
      <c r="AW117" s="5"/>
      <c r="AX117" s="5"/>
      <c r="AY117" s="5"/>
      <c r="AZ117" s="53"/>
      <c r="BA117" s="5"/>
      <c r="BB117" s="5"/>
      <c r="BC117" s="5"/>
      <c r="BD117" s="5"/>
      <c r="BE117" s="84"/>
      <c r="BF117" s="5"/>
      <c r="BG117" s="5"/>
      <c r="BH117" s="5"/>
      <c r="BI117" s="5"/>
      <c r="BJ117" s="5"/>
      <c r="BK117" s="5"/>
      <c r="BL117" s="93"/>
      <c r="BM117" s="5"/>
      <c r="BN117" s="5"/>
      <c r="BO117" s="5"/>
      <c r="BP117" s="99"/>
      <c r="BQ117" s="99"/>
      <c r="BR117" s="99"/>
      <c r="BS117" s="99"/>
      <c r="BT117" s="99"/>
      <c r="BU117" s="99"/>
      <c r="BV117" s="99"/>
      <c r="BW117" s="99"/>
      <c r="BX117" s="99"/>
      <c r="BY117" s="108"/>
      <c r="BZ117" s="108"/>
      <c r="CA117" s="5"/>
      <c r="CB117" s="5"/>
      <c r="CC117" s="5"/>
    </row>
    <row r="118" customFormat="false" ht="3" hidden="true" customHeight="true" outlineLevel="0" collapsed="false">
      <c r="B118" s="77"/>
      <c r="C118" s="79"/>
      <c r="D118" s="5"/>
      <c r="E118" s="107"/>
      <c r="F118" s="5"/>
      <c r="G118" s="89"/>
      <c r="H118" s="5"/>
      <c r="I118" s="107"/>
      <c r="J118" s="5"/>
      <c r="K118" s="97"/>
      <c r="L118" s="97"/>
      <c r="M118" s="97"/>
      <c r="N118" s="97"/>
      <c r="O118" s="97"/>
      <c r="P118" s="97"/>
      <c r="Q118" s="97"/>
      <c r="R118" s="97"/>
      <c r="S118" s="97"/>
      <c r="T118" s="108"/>
      <c r="U118" s="108"/>
      <c r="V118" s="5"/>
      <c r="W118" s="5"/>
      <c r="X118" s="5"/>
      <c r="Y118" s="53"/>
      <c r="Z118" s="5"/>
      <c r="AA118" s="5"/>
      <c r="AB118" s="5"/>
      <c r="AC118" s="5"/>
      <c r="AD118" s="79"/>
      <c r="AE118" s="5"/>
      <c r="AF118" s="107"/>
      <c r="AG118" s="5"/>
      <c r="AH118" s="89"/>
      <c r="AI118" s="5"/>
      <c r="AJ118" s="107"/>
      <c r="AK118" s="5"/>
      <c r="AL118" s="97"/>
      <c r="AM118" s="97"/>
      <c r="AN118" s="97"/>
      <c r="AO118" s="97"/>
      <c r="AP118" s="97"/>
      <c r="AQ118" s="97"/>
      <c r="AR118" s="97"/>
      <c r="AS118" s="97"/>
      <c r="AT118" s="97"/>
      <c r="AU118" s="108"/>
      <c r="AV118" s="108"/>
      <c r="AW118" s="5"/>
      <c r="AX118" s="5"/>
      <c r="AY118" s="5"/>
      <c r="AZ118" s="53"/>
      <c r="BA118" s="5"/>
      <c r="BB118" s="5"/>
      <c r="BC118" s="5"/>
      <c r="BD118" s="5"/>
      <c r="BE118" s="84"/>
      <c r="BF118" s="5"/>
      <c r="BG118" s="5"/>
      <c r="BH118" s="5"/>
      <c r="BI118" s="5"/>
      <c r="BJ118" s="5"/>
      <c r="BK118" s="5"/>
      <c r="BL118" s="93"/>
      <c r="BM118" s="5"/>
      <c r="BN118" s="5"/>
      <c r="BO118" s="5"/>
      <c r="BP118" s="99"/>
      <c r="BQ118" s="99"/>
      <c r="BR118" s="99"/>
      <c r="BS118" s="99"/>
      <c r="BT118" s="99"/>
      <c r="BU118" s="99"/>
      <c r="BV118" s="99"/>
      <c r="BW118" s="99"/>
      <c r="BX118" s="99"/>
      <c r="BY118" s="108"/>
      <c r="BZ118" s="108"/>
      <c r="CA118" s="5"/>
      <c r="CB118" s="5"/>
      <c r="CC118" s="5"/>
    </row>
    <row r="119" customFormat="false" ht="3" hidden="true" customHeight="true" outlineLevel="0" collapsed="false">
      <c r="B119" s="77"/>
      <c r="C119" s="79"/>
      <c r="D119" s="109"/>
      <c r="E119" s="107"/>
      <c r="F119" s="5"/>
      <c r="G119" s="89"/>
      <c r="H119" s="5"/>
      <c r="I119" s="107"/>
      <c r="J119" s="5"/>
      <c r="K119" s="97"/>
      <c r="L119" s="97"/>
      <c r="M119" s="97"/>
      <c r="N119" s="97"/>
      <c r="O119" s="97"/>
      <c r="P119" s="97"/>
      <c r="Q119" s="97"/>
      <c r="R119" s="97"/>
      <c r="S119" s="97"/>
      <c r="T119" s="5"/>
      <c r="U119" s="5"/>
      <c r="V119" s="5"/>
      <c r="W119" s="5"/>
      <c r="X119" s="5"/>
      <c r="Y119" s="53"/>
      <c r="Z119" s="5"/>
      <c r="AA119" s="5"/>
      <c r="AB119" s="5"/>
      <c r="AC119" s="5"/>
      <c r="AD119" s="79"/>
      <c r="AE119" s="109"/>
      <c r="AF119" s="107"/>
      <c r="AG119" s="5"/>
      <c r="AH119" s="89"/>
      <c r="AI119" s="5"/>
      <c r="AJ119" s="107"/>
      <c r="AK119" s="5"/>
      <c r="AL119" s="97"/>
      <c r="AM119" s="97"/>
      <c r="AN119" s="97"/>
      <c r="AO119" s="97"/>
      <c r="AP119" s="97"/>
      <c r="AQ119" s="97"/>
      <c r="AR119" s="97"/>
      <c r="AS119" s="97"/>
      <c r="AT119" s="97"/>
      <c r="AU119" s="5"/>
      <c r="AV119" s="5"/>
      <c r="AW119" s="5"/>
      <c r="AX119" s="5"/>
      <c r="AY119" s="5"/>
      <c r="AZ119" s="53"/>
      <c r="BA119" s="5"/>
      <c r="BB119" s="5"/>
      <c r="BC119" s="5"/>
      <c r="BD119" s="5"/>
      <c r="BE119" s="84"/>
      <c r="BF119" s="109"/>
      <c r="BG119" s="5"/>
      <c r="BH119" s="5"/>
      <c r="BI119" s="5"/>
      <c r="BJ119" s="5"/>
      <c r="BK119" s="5"/>
      <c r="BL119" s="93"/>
      <c r="BM119" s="5"/>
      <c r="BN119" s="5"/>
      <c r="BO119" s="5"/>
      <c r="BP119" s="99"/>
      <c r="BQ119" s="99"/>
      <c r="BR119" s="99"/>
      <c r="BS119" s="99"/>
      <c r="BT119" s="99"/>
      <c r="BU119" s="99"/>
      <c r="BV119" s="99"/>
      <c r="BW119" s="99"/>
      <c r="BX119" s="99"/>
      <c r="BY119" s="5"/>
      <c r="BZ119" s="5"/>
      <c r="CA119" s="5"/>
      <c r="CB119" s="5"/>
      <c r="CC119" s="5"/>
    </row>
    <row r="120" customFormat="false" ht="1.5" hidden="false" customHeight="true" outlineLevel="0" collapsed="false">
      <c r="C120" s="5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3"/>
      <c r="Z120" s="5"/>
      <c r="AA120" s="5"/>
      <c r="AB120" s="5"/>
      <c r="AC120" s="5"/>
      <c r="AD120" s="52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3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</row>
    <row r="121" customFormat="false" ht="3" hidden="false" customHeight="true" outlineLevel="0" collapsed="false">
      <c r="B121" s="77"/>
      <c r="C121" s="110" t="s">
        <v>46</v>
      </c>
      <c r="D121" s="5"/>
      <c r="E121" s="111" t="s">
        <v>47</v>
      </c>
      <c r="F121" s="5"/>
      <c r="G121" s="112" t="n">
        <f aca="false">(G113*K113)</f>
        <v>144.286837094635</v>
      </c>
      <c r="H121" s="5"/>
      <c r="I121" s="109"/>
      <c r="J121" s="5"/>
      <c r="K121" s="113"/>
      <c r="L121" s="113"/>
      <c r="M121" s="113"/>
      <c r="N121" s="113"/>
      <c r="O121" s="113"/>
      <c r="P121" s="113"/>
      <c r="Q121" s="113"/>
      <c r="R121" s="113"/>
      <c r="S121" s="113"/>
      <c r="T121" s="108"/>
      <c r="U121" s="108"/>
      <c r="V121" s="5"/>
      <c r="W121" s="5"/>
      <c r="X121" s="5"/>
      <c r="Y121" s="53"/>
      <c r="Z121" s="5"/>
      <c r="AA121" s="5"/>
      <c r="AB121" s="5"/>
      <c r="AC121" s="5"/>
      <c r="AD121" s="110" t="s">
        <v>46</v>
      </c>
      <c r="AE121" s="5"/>
      <c r="AF121" s="111" t="s">
        <v>47</v>
      </c>
      <c r="AG121" s="5"/>
      <c r="AH121" s="112" t="n">
        <f aca="false">(AH113*AL113)</f>
        <v>83.6799849600836</v>
      </c>
      <c r="AI121" s="5"/>
      <c r="AJ121" s="109"/>
      <c r="AK121" s="5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08"/>
      <c r="AV121" s="108"/>
      <c r="AW121" s="5"/>
      <c r="AX121" s="5"/>
      <c r="AY121" s="5"/>
      <c r="AZ121" s="53"/>
      <c r="BA121" s="5"/>
      <c r="BB121" s="5"/>
      <c r="BC121" s="5"/>
      <c r="BD121" s="5"/>
      <c r="BE121" s="84"/>
      <c r="BF121" s="5"/>
      <c r="BG121" s="6"/>
      <c r="BH121" s="5"/>
      <c r="BI121" s="5"/>
      <c r="BJ121" s="5"/>
      <c r="BK121" s="5"/>
      <c r="BL121" s="93"/>
      <c r="BM121" s="5"/>
      <c r="BN121" s="109"/>
      <c r="BO121" s="5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08"/>
      <c r="BZ121" s="108"/>
      <c r="CA121" s="5"/>
      <c r="CB121" s="5"/>
      <c r="CC121" s="5"/>
    </row>
    <row r="122" customFormat="false" ht="3" hidden="false" customHeight="true" outlineLevel="0" collapsed="false">
      <c r="B122" s="77"/>
      <c r="C122" s="110"/>
      <c r="D122" s="5"/>
      <c r="E122" s="111"/>
      <c r="F122" s="5"/>
      <c r="G122" s="112"/>
      <c r="H122" s="5"/>
      <c r="I122" s="109"/>
      <c r="J122" s="5"/>
      <c r="K122" s="113"/>
      <c r="L122" s="113"/>
      <c r="M122" s="113"/>
      <c r="N122" s="113"/>
      <c r="O122" s="113"/>
      <c r="P122" s="113"/>
      <c r="Q122" s="113"/>
      <c r="R122" s="113"/>
      <c r="S122" s="113"/>
      <c r="T122" s="108"/>
      <c r="U122" s="108"/>
      <c r="V122" s="5"/>
      <c r="W122" s="5"/>
      <c r="X122" s="5"/>
      <c r="Y122" s="53"/>
      <c r="Z122" s="5"/>
      <c r="AA122" s="5"/>
      <c r="AB122" s="5"/>
      <c r="AC122" s="5"/>
      <c r="AD122" s="110"/>
      <c r="AE122" s="5"/>
      <c r="AF122" s="111"/>
      <c r="AG122" s="5"/>
      <c r="AH122" s="112"/>
      <c r="AI122" s="5"/>
      <c r="AJ122" s="109"/>
      <c r="AK122" s="5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08"/>
      <c r="AV122" s="108"/>
      <c r="AW122" s="5"/>
      <c r="AX122" s="5"/>
      <c r="AY122" s="5"/>
      <c r="AZ122" s="53"/>
      <c r="BA122" s="5"/>
      <c r="BB122" s="5"/>
      <c r="BC122" s="5"/>
      <c r="BD122" s="5"/>
      <c r="BE122" s="84"/>
      <c r="BF122" s="5"/>
      <c r="BG122" s="6"/>
      <c r="BH122" s="5"/>
      <c r="BI122" s="5"/>
      <c r="BJ122" s="5"/>
      <c r="BK122" s="5"/>
      <c r="BL122" s="93"/>
      <c r="BM122" s="5"/>
      <c r="BN122" s="109"/>
      <c r="BO122" s="5"/>
      <c r="BP122" s="113"/>
      <c r="BQ122" s="113"/>
      <c r="BR122" s="113"/>
      <c r="BS122" s="113"/>
      <c r="BT122" s="113"/>
      <c r="BU122" s="113"/>
      <c r="BV122" s="113"/>
      <c r="BW122" s="113"/>
      <c r="BX122" s="113"/>
      <c r="BY122" s="108"/>
      <c r="BZ122" s="108"/>
      <c r="CA122" s="5"/>
      <c r="CB122" s="5"/>
      <c r="CC122" s="5"/>
    </row>
    <row r="123" customFormat="false" ht="3" hidden="false" customHeight="true" outlineLevel="0" collapsed="false">
      <c r="B123" s="77"/>
      <c r="C123" s="110"/>
      <c r="D123" s="5"/>
      <c r="E123" s="111"/>
      <c r="F123" s="5"/>
      <c r="G123" s="112"/>
      <c r="H123" s="5"/>
      <c r="I123" s="109"/>
      <c r="J123" s="5"/>
      <c r="K123" s="113"/>
      <c r="L123" s="113"/>
      <c r="M123" s="113"/>
      <c r="N123" s="113"/>
      <c r="O123" s="113"/>
      <c r="P123" s="113"/>
      <c r="Q123" s="113"/>
      <c r="R123" s="113"/>
      <c r="S123" s="113"/>
      <c r="T123" s="108"/>
      <c r="U123" s="108"/>
      <c r="V123" s="5"/>
      <c r="W123" s="5"/>
      <c r="X123" s="5"/>
      <c r="Y123" s="53"/>
      <c r="Z123" s="5"/>
      <c r="AA123" s="5"/>
      <c r="AB123" s="5"/>
      <c r="AC123" s="5"/>
      <c r="AD123" s="110"/>
      <c r="AE123" s="5"/>
      <c r="AF123" s="111"/>
      <c r="AG123" s="5"/>
      <c r="AH123" s="112"/>
      <c r="AI123" s="5"/>
      <c r="AJ123" s="109"/>
      <c r="AK123" s="5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08"/>
      <c r="AV123" s="108"/>
      <c r="AW123" s="5"/>
      <c r="AX123" s="5"/>
      <c r="AY123" s="5"/>
      <c r="AZ123" s="53"/>
      <c r="BA123" s="5"/>
      <c r="BB123" s="5"/>
      <c r="BC123" s="5"/>
      <c r="BD123" s="5"/>
      <c r="BE123" s="84"/>
      <c r="BF123" s="5"/>
      <c r="BG123" s="6"/>
      <c r="BH123" s="5"/>
      <c r="BI123" s="5"/>
      <c r="BJ123" s="5"/>
      <c r="BK123" s="5"/>
      <c r="BL123" s="93"/>
      <c r="BM123" s="5"/>
      <c r="BN123" s="109"/>
      <c r="BO123" s="5"/>
      <c r="BP123" s="113"/>
      <c r="BQ123" s="113"/>
      <c r="BR123" s="113"/>
      <c r="BS123" s="113"/>
      <c r="BT123" s="113"/>
      <c r="BU123" s="113"/>
      <c r="BV123" s="113"/>
      <c r="BW123" s="113"/>
      <c r="BX123" s="113"/>
      <c r="BY123" s="108"/>
      <c r="BZ123" s="108"/>
      <c r="CA123" s="5"/>
      <c r="CB123" s="5"/>
      <c r="CC123" s="5"/>
    </row>
    <row r="124" customFormat="false" ht="3" hidden="false" customHeight="true" outlineLevel="0" collapsed="false">
      <c r="B124" s="77"/>
      <c r="C124" s="110"/>
      <c r="D124" s="5"/>
      <c r="E124" s="111"/>
      <c r="F124" s="5"/>
      <c r="G124" s="112"/>
      <c r="H124" s="5"/>
      <c r="I124" s="109"/>
      <c r="J124" s="5"/>
      <c r="K124" s="113"/>
      <c r="L124" s="113"/>
      <c r="M124" s="113"/>
      <c r="N124" s="113"/>
      <c r="O124" s="113"/>
      <c r="P124" s="113"/>
      <c r="Q124" s="113"/>
      <c r="R124" s="113"/>
      <c r="S124" s="113"/>
      <c r="T124" s="108"/>
      <c r="U124" s="108"/>
      <c r="V124" s="5"/>
      <c r="W124" s="5"/>
      <c r="X124" s="5"/>
      <c r="Y124" s="53"/>
      <c r="Z124" s="5"/>
      <c r="AA124" s="5"/>
      <c r="AB124" s="5"/>
      <c r="AC124" s="5"/>
      <c r="AD124" s="110"/>
      <c r="AE124" s="5"/>
      <c r="AF124" s="111"/>
      <c r="AG124" s="5"/>
      <c r="AH124" s="112"/>
      <c r="AI124" s="5"/>
      <c r="AJ124" s="109"/>
      <c r="AK124" s="5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08"/>
      <c r="AV124" s="108"/>
      <c r="AW124" s="5"/>
      <c r="AX124" s="5"/>
      <c r="AY124" s="5"/>
      <c r="AZ124" s="53"/>
      <c r="BA124" s="5"/>
      <c r="BB124" s="5"/>
      <c r="BC124" s="5"/>
      <c r="BD124" s="5"/>
      <c r="BE124" s="84"/>
      <c r="BF124" s="5"/>
      <c r="BG124" s="6"/>
      <c r="BH124" s="5"/>
      <c r="BI124" s="5"/>
      <c r="BJ124" s="5"/>
      <c r="BK124" s="5"/>
      <c r="BL124" s="93"/>
      <c r="BM124" s="5"/>
      <c r="BN124" s="109"/>
      <c r="BO124" s="5"/>
      <c r="BP124" s="113"/>
      <c r="BQ124" s="113"/>
      <c r="BR124" s="113"/>
      <c r="BS124" s="113"/>
      <c r="BT124" s="113"/>
      <c r="BU124" s="113"/>
      <c r="BV124" s="113"/>
      <c r="BW124" s="113"/>
      <c r="BX124" s="113"/>
      <c r="BY124" s="108"/>
      <c r="BZ124" s="108"/>
      <c r="CA124" s="5"/>
      <c r="CB124" s="5"/>
      <c r="CC124" s="5"/>
    </row>
    <row r="125" customFormat="false" ht="3" hidden="false" customHeight="true" outlineLevel="0" collapsed="false">
      <c r="B125" s="77"/>
      <c r="C125" s="110"/>
      <c r="D125" s="5"/>
      <c r="E125" s="111"/>
      <c r="F125" s="5"/>
      <c r="G125" s="112"/>
      <c r="H125" s="5"/>
      <c r="I125" s="109"/>
      <c r="J125" s="5"/>
      <c r="K125" s="113"/>
      <c r="L125" s="113"/>
      <c r="M125" s="113"/>
      <c r="N125" s="113"/>
      <c r="O125" s="113"/>
      <c r="P125" s="113"/>
      <c r="Q125" s="113"/>
      <c r="R125" s="113"/>
      <c r="S125" s="113"/>
      <c r="T125" s="108"/>
      <c r="U125" s="108"/>
      <c r="V125" s="5"/>
      <c r="W125" s="5"/>
      <c r="X125" s="5"/>
      <c r="Y125" s="53"/>
      <c r="Z125" s="5"/>
      <c r="AA125" s="5"/>
      <c r="AB125" s="5"/>
      <c r="AC125" s="5"/>
      <c r="AD125" s="110"/>
      <c r="AE125" s="5"/>
      <c r="AF125" s="111"/>
      <c r="AG125" s="5"/>
      <c r="AH125" s="112"/>
      <c r="AI125" s="5"/>
      <c r="AJ125" s="109"/>
      <c r="AK125" s="5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08"/>
      <c r="AV125" s="108"/>
      <c r="AW125" s="5"/>
      <c r="AX125" s="5"/>
      <c r="AY125" s="5"/>
      <c r="AZ125" s="53"/>
      <c r="BA125" s="5"/>
      <c r="BB125" s="5"/>
      <c r="BC125" s="5"/>
      <c r="BD125" s="5"/>
      <c r="BE125" s="84"/>
      <c r="BF125" s="5"/>
      <c r="BG125" s="6"/>
      <c r="BH125" s="5"/>
      <c r="BI125" s="5"/>
      <c r="BJ125" s="5"/>
      <c r="BK125" s="5"/>
      <c r="BL125" s="93"/>
      <c r="BM125" s="5"/>
      <c r="BN125" s="109"/>
      <c r="BO125" s="5"/>
      <c r="BP125" s="113"/>
      <c r="BQ125" s="113"/>
      <c r="BR125" s="113"/>
      <c r="BS125" s="113"/>
      <c r="BT125" s="113"/>
      <c r="BU125" s="113"/>
      <c r="BV125" s="113"/>
      <c r="BW125" s="113"/>
      <c r="BX125" s="113"/>
      <c r="BY125" s="108"/>
      <c r="BZ125" s="108"/>
      <c r="CA125" s="5"/>
      <c r="CB125" s="5"/>
      <c r="CC125" s="5"/>
    </row>
    <row r="126" customFormat="false" ht="2.25" hidden="false" customHeight="true" outlineLevel="0" collapsed="false">
      <c r="B126" s="77"/>
      <c r="C126" s="110"/>
      <c r="D126" s="5"/>
      <c r="E126" s="111"/>
      <c r="F126" s="5"/>
      <c r="G126" s="112"/>
      <c r="H126" s="5"/>
      <c r="I126" s="109"/>
      <c r="J126" s="5"/>
      <c r="K126" s="113"/>
      <c r="L126" s="113"/>
      <c r="M126" s="113"/>
      <c r="N126" s="113"/>
      <c r="O126" s="113"/>
      <c r="P126" s="113"/>
      <c r="Q126" s="113"/>
      <c r="R126" s="113"/>
      <c r="S126" s="113"/>
      <c r="T126" s="108"/>
      <c r="U126" s="108"/>
      <c r="V126" s="5"/>
      <c r="W126" s="5"/>
      <c r="X126" s="5"/>
      <c r="Y126" s="53"/>
      <c r="Z126" s="5"/>
      <c r="AA126" s="5"/>
      <c r="AB126" s="5"/>
      <c r="AC126" s="5"/>
      <c r="AD126" s="110"/>
      <c r="AE126" s="5"/>
      <c r="AF126" s="111"/>
      <c r="AG126" s="5"/>
      <c r="AH126" s="112"/>
      <c r="AI126" s="5"/>
      <c r="AJ126" s="109"/>
      <c r="AK126" s="5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08"/>
      <c r="AV126" s="108"/>
      <c r="AW126" s="5"/>
      <c r="AX126" s="5"/>
      <c r="AY126" s="5"/>
      <c r="AZ126" s="53"/>
      <c r="BA126" s="5"/>
      <c r="BB126" s="5"/>
      <c r="BC126" s="5"/>
      <c r="BD126" s="5"/>
      <c r="BE126" s="84"/>
      <c r="BF126" s="5"/>
      <c r="BG126" s="6"/>
      <c r="BH126" s="5"/>
      <c r="BI126" s="5"/>
      <c r="BJ126" s="5"/>
      <c r="BK126" s="5"/>
      <c r="BL126" s="93"/>
      <c r="BM126" s="5"/>
      <c r="BN126" s="109"/>
      <c r="BO126" s="5"/>
      <c r="BP126" s="113"/>
      <c r="BQ126" s="113"/>
      <c r="BR126" s="113"/>
      <c r="BS126" s="113"/>
      <c r="BT126" s="113"/>
      <c r="BU126" s="113"/>
      <c r="BV126" s="113"/>
      <c r="BW126" s="113"/>
      <c r="BX126" s="113"/>
      <c r="BY126" s="108"/>
      <c r="BZ126" s="108"/>
      <c r="CA126" s="5"/>
      <c r="CB126" s="5"/>
      <c r="CC126" s="5"/>
    </row>
    <row r="127" customFormat="false" ht="3" hidden="true" customHeight="true" outlineLevel="0" collapsed="false">
      <c r="B127" s="77"/>
      <c r="C127" s="110"/>
      <c r="D127" s="5"/>
      <c r="E127" s="111"/>
      <c r="F127" s="5"/>
      <c r="G127" s="112"/>
      <c r="H127" s="5"/>
      <c r="I127" s="109"/>
      <c r="J127" s="5"/>
      <c r="K127" s="113"/>
      <c r="L127" s="113"/>
      <c r="M127" s="113"/>
      <c r="N127" s="113"/>
      <c r="O127" s="113"/>
      <c r="P127" s="113"/>
      <c r="Q127" s="113"/>
      <c r="R127" s="113"/>
      <c r="S127" s="113"/>
      <c r="T127" s="108"/>
      <c r="U127" s="108"/>
      <c r="V127" s="5"/>
      <c r="W127" s="5"/>
      <c r="X127" s="5"/>
      <c r="Y127" s="53"/>
      <c r="Z127" s="5"/>
      <c r="AA127" s="5"/>
      <c r="AB127" s="5"/>
      <c r="AC127" s="5"/>
      <c r="AD127" s="110"/>
      <c r="AE127" s="5"/>
      <c r="AF127" s="111"/>
      <c r="AG127" s="5"/>
      <c r="AH127" s="112"/>
      <c r="AI127" s="5"/>
      <c r="AJ127" s="109"/>
      <c r="AK127" s="5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08"/>
      <c r="AV127" s="108"/>
      <c r="AW127" s="5"/>
      <c r="AX127" s="5"/>
      <c r="AY127" s="5"/>
      <c r="AZ127" s="53"/>
      <c r="BA127" s="5"/>
      <c r="BB127" s="5"/>
      <c r="BC127" s="5"/>
      <c r="BD127" s="5"/>
      <c r="BE127" s="84"/>
      <c r="BF127" s="5"/>
      <c r="BG127" s="6"/>
      <c r="BH127" s="5"/>
      <c r="BI127" s="5"/>
      <c r="BJ127" s="5"/>
      <c r="BK127" s="5"/>
      <c r="BL127" s="93"/>
      <c r="BM127" s="5"/>
      <c r="BN127" s="109"/>
      <c r="BO127" s="5"/>
      <c r="BP127" s="113"/>
      <c r="BQ127" s="113"/>
      <c r="BR127" s="113"/>
      <c r="BS127" s="113"/>
      <c r="BT127" s="113"/>
      <c r="BU127" s="113"/>
      <c r="BV127" s="113"/>
      <c r="BW127" s="113"/>
      <c r="BX127" s="113"/>
      <c r="BY127" s="108"/>
      <c r="BZ127" s="108"/>
      <c r="CA127" s="5"/>
      <c r="CB127" s="5"/>
      <c r="CC127" s="5"/>
    </row>
    <row r="128" customFormat="false" ht="18.75" hidden="false" customHeight="true" outlineLevel="0" collapsed="false">
      <c r="B128" s="77"/>
      <c r="C128" s="110"/>
      <c r="D128" s="114"/>
      <c r="E128" s="111"/>
      <c r="F128" s="100"/>
      <c r="G128" s="112"/>
      <c r="H128" s="100"/>
      <c r="I128" s="114"/>
      <c r="J128" s="100"/>
      <c r="K128" s="115"/>
      <c r="L128" s="115"/>
      <c r="M128" s="115"/>
      <c r="N128" s="115"/>
      <c r="O128" s="115"/>
      <c r="P128" s="115"/>
      <c r="Q128" s="115"/>
      <c r="R128" s="115"/>
      <c r="S128" s="115"/>
      <c r="T128" s="100"/>
      <c r="U128" s="100"/>
      <c r="V128" s="100"/>
      <c r="W128" s="100"/>
      <c r="X128" s="100"/>
      <c r="Y128" s="116"/>
      <c r="Z128" s="5"/>
      <c r="AA128" s="5"/>
      <c r="AB128" s="5"/>
      <c r="AC128" s="5"/>
      <c r="AD128" s="110"/>
      <c r="AE128" s="114"/>
      <c r="AF128" s="111"/>
      <c r="AG128" s="100"/>
      <c r="AH128" s="112"/>
      <c r="AI128" s="100"/>
      <c r="AJ128" s="114"/>
      <c r="AK128" s="100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00"/>
      <c r="AV128" s="100"/>
      <c r="AW128" s="100"/>
      <c r="AX128" s="100"/>
      <c r="AY128" s="100"/>
      <c r="AZ128" s="116"/>
      <c r="BA128" s="5"/>
      <c r="BB128" s="5"/>
      <c r="BC128" s="5"/>
      <c r="BD128" s="5"/>
      <c r="BE128" s="84"/>
      <c r="BF128" s="109"/>
      <c r="BG128" s="6"/>
      <c r="BH128" s="5"/>
      <c r="BI128" s="5"/>
      <c r="BJ128" s="5"/>
      <c r="BK128" s="5"/>
      <c r="BL128" s="93"/>
      <c r="BM128" s="5"/>
      <c r="BN128" s="109"/>
      <c r="BO128" s="5"/>
      <c r="BP128" s="113"/>
      <c r="BQ128" s="113"/>
      <c r="BR128" s="113"/>
      <c r="BS128" s="113"/>
      <c r="BT128" s="113"/>
      <c r="BU128" s="113"/>
      <c r="BV128" s="113"/>
      <c r="BW128" s="113"/>
      <c r="BX128" s="113"/>
      <c r="BY128" s="5"/>
      <c r="BZ128" s="5"/>
      <c r="CA128" s="5"/>
      <c r="CB128" s="5"/>
      <c r="CC128" s="5"/>
    </row>
    <row r="129" customFormat="false" ht="15" hidden="false" customHeight="true" outlineLevel="0" collapsed="false">
      <c r="B129" s="77"/>
      <c r="C129" s="117"/>
      <c r="D129" s="109"/>
      <c r="E129" s="6"/>
      <c r="F129" s="5"/>
      <c r="G129" s="118"/>
      <c r="H129" s="5"/>
      <c r="I129" s="109"/>
      <c r="J129" s="5"/>
      <c r="K129" s="113"/>
      <c r="L129" s="113"/>
      <c r="M129" s="113"/>
      <c r="N129" s="113"/>
      <c r="O129" s="113"/>
      <c r="P129" s="113"/>
      <c r="Q129" s="113"/>
      <c r="R129" s="113"/>
      <c r="S129" s="113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117"/>
      <c r="AE129" s="109"/>
      <c r="AF129" s="6"/>
      <c r="AG129" s="5"/>
      <c r="AH129" s="118"/>
      <c r="AI129" s="5"/>
      <c r="AJ129" s="109"/>
      <c r="AK129" s="5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117"/>
      <c r="BF129" s="109"/>
      <c r="BG129" s="6"/>
      <c r="BH129" s="5"/>
      <c r="BI129" s="5"/>
      <c r="BJ129" s="5"/>
      <c r="BK129" s="5"/>
      <c r="BL129" s="118"/>
      <c r="BM129" s="5"/>
      <c r="BN129" s="109"/>
      <c r="BO129" s="5"/>
      <c r="BP129" s="113"/>
      <c r="BQ129" s="113"/>
      <c r="BR129" s="113"/>
      <c r="BS129" s="113"/>
      <c r="BT129" s="113"/>
      <c r="BU129" s="113"/>
      <c r="BV129" s="113"/>
      <c r="BW129" s="113"/>
      <c r="BX129" s="113"/>
      <c r="BY129" s="5"/>
      <c r="BZ129" s="5"/>
      <c r="CA129" s="5"/>
      <c r="CB129" s="5"/>
      <c r="CC129" s="5"/>
    </row>
    <row r="130" customFormat="false" ht="12.75" hidden="false" customHeight="true" outlineLevel="0" collapsed="false">
      <c r="C130" s="4" t="s">
        <v>56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5"/>
      <c r="AB130" s="5"/>
      <c r="AC130" s="5"/>
      <c r="AD130" s="4" t="s">
        <v>57</v>
      </c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5"/>
      <c r="BB130" s="5"/>
      <c r="BC130" s="5"/>
      <c r="BD130" s="5"/>
      <c r="BE130" s="4" t="s">
        <v>58</v>
      </c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I130" s="46"/>
    </row>
    <row r="131" customFormat="false" ht="16.5" hidden="false" customHeight="true" outlineLevel="0" collapsed="false">
      <c r="C131" s="119" t="s">
        <v>59</v>
      </c>
      <c r="D131" s="120" t="s">
        <v>60</v>
      </c>
      <c r="E131" s="120"/>
      <c r="F131" s="120"/>
      <c r="G131" s="120"/>
      <c r="H131" s="120"/>
      <c r="I131" s="120"/>
      <c r="J131" s="120"/>
      <c r="K131" s="120"/>
      <c r="L131" s="120"/>
      <c r="M131" s="120"/>
      <c r="N131" s="120" t="s">
        <v>61</v>
      </c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5"/>
      <c r="AA131" s="5"/>
      <c r="AB131" s="5"/>
      <c r="AC131" s="5"/>
      <c r="AD131" s="119" t="s">
        <v>59</v>
      </c>
      <c r="AE131" s="120" t="s">
        <v>60</v>
      </c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 t="s">
        <v>62</v>
      </c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5"/>
      <c r="BB131" s="5"/>
      <c r="BC131" s="5"/>
      <c r="BD131" s="5"/>
      <c r="BE131" s="119" t="s">
        <v>59</v>
      </c>
      <c r="BF131" s="120" t="s">
        <v>60</v>
      </c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 t="s">
        <v>63</v>
      </c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I131" s="46"/>
    </row>
    <row r="132" customFormat="false" ht="15.75" hidden="false" customHeight="true" outlineLevel="0" collapsed="false">
      <c r="C132" s="121" t="n">
        <v>1</v>
      </c>
      <c r="D132" s="122" t="n">
        <f aca="false">IF(C132&lt;=$I$15, $D$5, "")</f>
        <v>0</v>
      </c>
      <c r="E132" s="122"/>
      <c r="F132" s="122"/>
      <c r="G132" s="122"/>
      <c r="H132" s="122"/>
      <c r="I132" s="122"/>
      <c r="J132" s="122"/>
      <c r="K132" s="122"/>
      <c r="L132" s="122"/>
      <c r="M132" s="122"/>
      <c r="N132" s="17" t="n">
        <f aca="false">IF(C132&lt;=$I$15, $I$16, "")</f>
        <v>147.9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5"/>
      <c r="AA132" s="5"/>
      <c r="AB132" s="5"/>
      <c r="AC132" s="5"/>
      <c r="AD132" s="121" t="n">
        <v>1</v>
      </c>
      <c r="AE132" s="122" t="n">
        <f aca="false">D132</f>
        <v>0</v>
      </c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7" t="n">
        <f aca="false">AH121</f>
        <v>83.6799849600836</v>
      </c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5"/>
      <c r="BB132" s="5"/>
      <c r="BC132" s="5"/>
      <c r="BD132" s="5"/>
      <c r="BE132" s="121" t="n">
        <v>1</v>
      </c>
      <c r="BF132" s="122" t="n">
        <f aca="false">AE132</f>
        <v>0</v>
      </c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7" t="n">
        <f aca="false">N132</f>
        <v>147.9</v>
      </c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I132" s="46"/>
    </row>
    <row r="133" customFormat="false" ht="15.75" hidden="false" customHeight="true" outlineLevel="0" collapsed="false">
      <c r="C133" s="23" t="n">
        <v>2</v>
      </c>
      <c r="D133" s="122" t="n">
        <f aca="false">IF(C133&lt;=$I$15, EDATE($D$5, C133-1), "")</f>
        <v>31</v>
      </c>
      <c r="E133" s="122"/>
      <c r="F133" s="122"/>
      <c r="G133" s="122"/>
      <c r="H133" s="122"/>
      <c r="I133" s="122"/>
      <c r="J133" s="122"/>
      <c r="K133" s="122"/>
      <c r="L133" s="122"/>
      <c r="M133" s="122"/>
      <c r="N133" s="123" t="n">
        <f aca="false">IF(C133&lt;=$I$15, $I$16, "")</f>
        <v>147.9</v>
      </c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5"/>
      <c r="AA133" s="5"/>
      <c r="AB133" s="5"/>
      <c r="AC133" s="5"/>
      <c r="AD133" s="23" t="n">
        <v>2</v>
      </c>
      <c r="AE133" s="124" t="n">
        <f aca="false">D133</f>
        <v>31</v>
      </c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3" t="n">
        <f aca="false">AO132</f>
        <v>83.6799849600836</v>
      </c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5"/>
      <c r="BB133" s="5"/>
      <c r="BC133" s="5"/>
      <c r="BD133" s="5"/>
      <c r="BE133" s="23" t="n">
        <v>2</v>
      </c>
      <c r="BF133" s="124" t="n">
        <f aca="false">AE133</f>
        <v>31</v>
      </c>
      <c r="BG133" s="124"/>
      <c r="BH133" s="124"/>
      <c r="BI133" s="124"/>
      <c r="BJ133" s="124"/>
      <c r="BK133" s="124"/>
      <c r="BL133" s="124"/>
      <c r="BM133" s="124"/>
      <c r="BN133" s="124"/>
      <c r="BO133" s="124"/>
      <c r="BP133" s="123" t="n">
        <f aca="false">BP132</f>
        <v>147.9</v>
      </c>
      <c r="BQ133" s="123"/>
      <c r="BR133" s="123"/>
      <c r="BS133" s="123"/>
      <c r="BT133" s="123"/>
      <c r="BU133" s="123"/>
      <c r="BV133" s="123"/>
      <c r="BW133" s="123"/>
      <c r="BX133" s="123"/>
      <c r="BY133" s="123"/>
      <c r="BZ133" s="123"/>
      <c r="CA133" s="123"/>
      <c r="CB133" s="123"/>
      <c r="CC133" s="123"/>
      <c r="CI133" s="46"/>
    </row>
    <row r="134" customFormat="false" ht="15.75" hidden="false" customHeight="true" outlineLevel="0" collapsed="false">
      <c r="C134" s="23" t="n">
        <v>3</v>
      </c>
      <c r="D134" s="122" t="n">
        <f aca="false">IF(C134&lt;=$I$15, EDATE($D$5, C134-1), "")</f>
        <v>60</v>
      </c>
      <c r="E134" s="122"/>
      <c r="F134" s="122"/>
      <c r="G134" s="122"/>
      <c r="H134" s="122"/>
      <c r="I134" s="122"/>
      <c r="J134" s="122"/>
      <c r="K134" s="122"/>
      <c r="L134" s="122"/>
      <c r="M134" s="122"/>
      <c r="N134" s="123" t="n">
        <f aca="false">IF(C134&lt;=$I$15, $I$16, "")</f>
        <v>147.9</v>
      </c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5"/>
      <c r="AA134" s="5"/>
      <c r="AB134" s="5"/>
      <c r="AC134" s="5"/>
      <c r="AD134" s="23" t="n">
        <v>3</v>
      </c>
      <c r="AE134" s="124" t="n">
        <f aca="false">D134</f>
        <v>60</v>
      </c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3" t="n">
        <f aca="false">AO133</f>
        <v>83.6799849600836</v>
      </c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5"/>
      <c r="BB134" s="5"/>
      <c r="BC134" s="5"/>
      <c r="BD134" s="5"/>
      <c r="BE134" s="23" t="n">
        <v>3</v>
      </c>
      <c r="BF134" s="124" t="n">
        <f aca="false">AE134</f>
        <v>60</v>
      </c>
      <c r="BG134" s="124"/>
      <c r="BH134" s="124"/>
      <c r="BI134" s="124"/>
      <c r="BJ134" s="124"/>
      <c r="BK134" s="124"/>
      <c r="BL134" s="124"/>
      <c r="BM134" s="124"/>
      <c r="BN134" s="124"/>
      <c r="BO134" s="124"/>
      <c r="BP134" s="123" t="n">
        <f aca="false">BP133</f>
        <v>147.9</v>
      </c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  <c r="CA134" s="123"/>
      <c r="CB134" s="123"/>
      <c r="CC134" s="123"/>
      <c r="CI134" s="46"/>
    </row>
    <row r="135" customFormat="false" ht="15.75" hidden="false" customHeight="true" outlineLevel="0" collapsed="false">
      <c r="C135" s="23" t="n">
        <v>4</v>
      </c>
      <c r="D135" s="122" t="n">
        <f aca="false">IF(C135&lt;=$I$15, EDATE($D$5, C135-1), "")</f>
        <v>90</v>
      </c>
      <c r="E135" s="122"/>
      <c r="F135" s="122"/>
      <c r="G135" s="122"/>
      <c r="H135" s="122"/>
      <c r="I135" s="122"/>
      <c r="J135" s="122"/>
      <c r="K135" s="122"/>
      <c r="L135" s="122"/>
      <c r="M135" s="122"/>
      <c r="N135" s="123" t="n">
        <f aca="false">IF(C135&lt;=$I$15, $I$16, "")</f>
        <v>147.9</v>
      </c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5"/>
      <c r="AA135" s="5"/>
      <c r="AB135" s="5"/>
      <c r="AC135" s="5"/>
      <c r="AD135" s="23" t="n">
        <v>4</v>
      </c>
      <c r="AE135" s="124" t="n">
        <f aca="false">D135</f>
        <v>90</v>
      </c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3" t="n">
        <f aca="false">AO134</f>
        <v>83.6799849600836</v>
      </c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5"/>
      <c r="BB135" s="5"/>
      <c r="BC135" s="5"/>
      <c r="BD135" s="5"/>
      <c r="BE135" s="23" t="n">
        <v>4</v>
      </c>
      <c r="BF135" s="124" t="n">
        <f aca="false">AE135</f>
        <v>90</v>
      </c>
      <c r="BG135" s="124"/>
      <c r="BH135" s="124"/>
      <c r="BI135" s="124"/>
      <c r="BJ135" s="124"/>
      <c r="BK135" s="124"/>
      <c r="BL135" s="124"/>
      <c r="BM135" s="124"/>
      <c r="BN135" s="124"/>
      <c r="BO135" s="124"/>
      <c r="BP135" s="123" t="n">
        <v>0</v>
      </c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  <c r="CB135" s="123"/>
      <c r="CC135" s="123"/>
      <c r="CI135" s="46"/>
    </row>
    <row r="136" customFormat="false" ht="15.75" hidden="false" customHeight="true" outlineLevel="0" collapsed="false">
      <c r="C136" s="23" t="n">
        <v>5</v>
      </c>
      <c r="D136" s="122" t="n">
        <f aca="false">IF(C136&lt;=$I$15, EDATE($D$5, C136-1), "")</f>
        <v>121</v>
      </c>
      <c r="E136" s="122"/>
      <c r="F136" s="122"/>
      <c r="G136" s="122"/>
      <c r="H136" s="122"/>
      <c r="I136" s="122"/>
      <c r="J136" s="122"/>
      <c r="K136" s="122"/>
      <c r="L136" s="122"/>
      <c r="M136" s="122"/>
      <c r="N136" s="123" t="n">
        <f aca="false">IF(C136&lt;=$I$15, $I$16, "")</f>
        <v>147.9</v>
      </c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5"/>
      <c r="AA136" s="5"/>
      <c r="AB136" s="5"/>
      <c r="AC136" s="5"/>
      <c r="AD136" s="23" t="n">
        <v>5</v>
      </c>
      <c r="AE136" s="124" t="n">
        <f aca="false">D136</f>
        <v>121</v>
      </c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3" t="n">
        <f aca="false">AO135</f>
        <v>83.6799849600836</v>
      </c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5"/>
      <c r="BB136" s="5"/>
      <c r="BC136" s="5"/>
      <c r="BD136" s="5"/>
      <c r="BE136" s="23" t="n">
        <v>5</v>
      </c>
      <c r="BF136" s="124" t="n">
        <f aca="false">AE136</f>
        <v>121</v>
      </c>
      <c r="BG136" s="124"/>
      <c r="BH136" s="124"/>
      <c r="BI136" s="124"/>
      <c r="BJ136" s="124"/>
      <c r="BK136" s="124"/>
      <c r="BL136" s="124"/>
      <c r="BM136" s="124"/>
      <c r="BN136" s="124"/>
      <c r="BO136" s="124"/>
      <c r="BP136" s="123" t="n">
        <f aca="false">BP135</f>
        <v>0</v>
      </c>
      <c r="BQ136" s="123"/>
      <c r="BR136" s="123"/>
      <c r="BS136" s="123"/>
      <c r="BT136" s="123"/>
      <c r="BU136" s="123"/>
      <c r="BV136" s="123"/>
      <c r="BW136" s="123"/>
      <c r="BX136" s="123"/>
      <c r="BY136" s="123"/>
      <c r="BZ136" s="123"/>
      <c r="CA136" s="123"/>
      <c r="CB136" s="123"/>
      <c r="CC136" s="123"/>
      <c r="CI136" s="46"/>
    </row>
    <row r="137" customFormat="false" ht="15.75" hidden="false" customHeight="true" outlineLevel="0" collapsed="false">
      <c r="C137" s="23" t="n">
        <v>6</v>
      </c>
      <c r="D137" s="122" t="n">
        <f aca="false">IF(C137&lt;=$I$15, EDATE($D$5, C137-1), "")</f>
        <v>151</v>
      </c>
      <c r="E137" s="122"/>
      <c r="F137" s="122"/>
      <c r="G137" s="122"/>
      <c r="H137" s="122"/>
      <c r="I137" s="122"/>
      <c r="J137" s="122"/>
      <c r="K137" s="122"/>
      <c r="L137" s="122"/>
      <c r="M137" s="122"/>
      <c r="N137" s="123" t="n">
        <f aca="false">IF(C137&lt;=$I$15, $I$16, "")</f>
        <v>147.9</v>
      </c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5"/>
      <c r="AA137" s="5"/>
      <c r="AB137" s="5"/>
      <c r="AC137" s="5"/>
      <c r="AD137" s="23" t="n">
        <v>6</v>
      </c>
      <c r="AE137" s="124" t="n">
        <f aca="false">D137</f>
        <v>151</v>
      </c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3" t="n">
        <f aca="false">AO136</f>
        <v>83.6799849600836</v>
      </c>
      <c r="AP137" s="123"/>
      <c r="AQ137" s="123"/>
      <c r="AR137" s="123"/>
      <c r="AS137" s="123"/>
      <c r="AT137" s="123"/>
      <c r="AU137" s="123"/>
      <c r="AV137" s="123"/>
      <c r="AW137" s="123"/>
      <c r="AX137" s="123"/>
      <c r="AY137" s="123"/>
      <c r="AZ137" s="123"/>
      <c r="BA137" s="5"/>
      <c r="BB137" s="5"/>
      <c r="BC137" s="5"/>
      <c r="BD137" s="5"/>
      <c r="BE137" s="23" t="n">
        <v>6</v>
      </c>
      <c r="BF137" s="124" t="n">
        <f aca="false">AE137</f>
        <v>151</v>
      </c>
      <c r="BG137" s="124"/>
      <c r="BH137" s="124"/>
      <c r="BI137" s="124"/>
      <c r="BJ137" s="124"/>
      <c r="BK137" s="124"/>
      <c r="BL137" s="124"/>
      <c r="BM137" s="124"/>
      <c r="BN137" s="124"/>
      <c r="BO137" s="124"/>
      <c r="BP137" s="123" t="n">
        <f aca="false">BP136</f>
        <v>0</v>
      </c>
      <c r="BQ137" s="123"/>
      <c r="BR137" s="123"/>
      <c r="BS137" s="123"/>
      <c r="BT137" s="123"/>
      <c r="BU137" s="123"/>
      <c r="BV137" s="123"/>
      <c r="BW137" s="123"/>
      <c r="BX137" s="123"/>
      <c r="BY137" s="123"/>
      <c r="BZ137" s="123"/>
      <c r="CA137" s="123"/>
      <c r="CB137" s="123"/>
      <c r="CC137" s="123"/>
      <c r="CI137" s="46"/>
    </row>
    <row r="138" customFormat="false" ht="15.75" hidden="false" customHeight="true" outlineLevel="0" collapsed="false">
      <c r="C138" s="23" t="n">
        <v>7</v>
      </c>
      <c r="D138" s="122" t="n">
        <f aca="false">IF(C138&lt;=$I$15, EDATE($D$5, C138-1), "")</f>
        <v>182</v>
      </c>
      <c r="E138" s="122"/>
      <c r="F138" s="122"/>
      <c r="G138" s="122"/>
      <c r="H138" s="122"/>
      <c r="I138" s="122"/>
      <c r="J138" s="122"/>
      <c r="K138" s="122"/>
      <c r="L138" s="122"/>
      <c r="M138" s="122"/>
      <c r="N138" s="123" t="n">
        <f aca="false">IF(C138&lt;=$I$15, $I$16, "")</f>
        <v>147.9</v>
      </c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5"/>
      <c r="AA138" s="5"/>
      <c r="AB138" s="5"/>
      <c r="AC138" s="5"/>
      <c r="AD138" s="23" t="n">
        <v>7</v>
      </c>
      <c r="AE138" s="124" t="n">
        <f aca="false">D138</f>
        <v>182</v>
      </c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3" t="n">
        <f aca="false">AO137</f>
        <v>83.6799849600836</v>
      </c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5"/>
      <c r="BB138" s="5"/>
      <c r="BC138" s="5"/>
      <c r="BD138" s="5"/>
      <c r="BE138" s="23" t="n">
        <v>7</v>
      </c>
      <c r="BF138" s="124" t="n">
        <f aca="false">AE138</f>
        <v>182</v>
      </c>
      <c r="BG138" s="124"/>
      <c r="BH138" s="124"/>
      <c r="BI138" s="124"/>
      <c r="BJ138" s="124"/>
      <c r="BK138" s="124"/>
      <c r="BL138" s="124"/>
      <c r="BM138" s="124"/>
      <c r="BN138" s="124"/>
      <c r="BO138" s="124"/>
      <c r="BP138" s="123" t="n">
        <f aca="false">BP137</f>
        <v>0</v>
      </c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  <c r="CA138" s="123"/>
      <c r="CB138" s="123"/>
      <c r="CC138" s="123"/>
      <c r="CI138" s="46"/>
    </row>
    <row r="139" customFormat="false" ht="15.75" hidden="false" customHeight="true" outlineLevel="0" collapsed="false">
      <c r="C139" s="23" t="n">
        <v>8</v>
      </c>
      <c r="D139" s="122" t="n">
        <f aca="false">IF(C139&lt;=$I$15, EDATE($D$5, C139-1), "")</f>
        <v>212</v>
      </c>
      <c r="E139" s="122"/>
      <c r="F139" s="122"/>
      <c r="G139" s="122"/>
      <c r="H139" s="122"/>
      <c r="I139" s="122"/>
      <c r="J139" s="122"/>
      <c r="K139" s="122"/>
      <c r="L139" s="122"/>
      <c r="M139" s="122"/>
      <c r="N139" s="123" t="n">
        <f aca="false">IF(C139&lt;=$I$15, $I$16, "")</f>
        <v>147.9</v>
      </c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5"/>
      <c r="AA139" s="5"/>
      <c r="AB139" s="5"/>
      <c r="AC139" s="5"/>
      <c r="AD139" s="23" t="n">
        <v>8</v>
      </c>
      <c r="AE139" s="124" t="n">
        <f aca="false">D139</f>
        <v>212</v>
      </c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3" t="n">
        <f aca="false">AO138</f>
        <v>83.6799849600836</v>
      </c>
      <c r="AP139" s="123"/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5"/>
      <c r="BB139" s="5"/>
      <c r="BC139" s="5"/>
      <c r="BD139" s="5"/>
      <c r="BE139" s="23" t="n">
        <v>8</v>
      </c>
      <c r="BF139" s="124" t="n">
        <f aca="false">AE139</f>
        <v>212</v>
      </c>
      <c r="BG139" s="124"/>
      <c r="BH139" s="124"/>
      <c r="BI139" s="124"/>
      <c r="BJ139" s="124"/>
      <c r="BK139" s="124"/>
      <c r="BL139" s="124"/>
      <c r="BM139" s="124"/>
      <c r="BN139" s="124"/>
      <c r="BO139" s="124"/>
      <c r="BP139" s="123" t="n">
        <f aca="false">BP138</f>
        <v>0</v>
      </c>
      <c r="BQ139" s="123"/>
      <c r="BR139" s="123"/>
      <c r="BS139" s="123"/>
      <c r="BT139" s="123"/>
      <c r="BU139" s="123"/>
      <c r="BV139" s="123"/>
      <c r="BW139" s="123"/>
      <c r="BX139" s="123"/>
      <c r="BY139" s="123"/>
      <c r="BZ139" s="123"/>
      <c r="CA139" s="123"/>
      <c r="CB139" s="123"/>
      <c r="CC139" s="123"/>
      <c r="CI139" s="46"/>
    </row>
    <row r="140" customFormat="false" ht="15.75" hidden="false" customHeight="true" outlineLevel="0" collapsed="false">
      <c r="C140" s="23" t="n">
        <v>9</v>
      </c>
      <c r="D140" s="122" t="n">
        <f aca="false">IF(C140&lt;=$I$15, EDATE($D$5, C140-1), "")</f>
        <v>243</v>
      </c>
      <c r="E140" s="122"/>
      <c r="F140" s="122"/>
      <c r="G140" s="122"/>
      <c r="H140" s="122"/>
      <c r="I140" s="122"/>
      <c r="J140" s="122"/>
      <c r="K140" s="122"/>
      <c r="L140" s="122"/>
      <c r="M140" s="122"/>
      <c r="N140" s="123" t="n">
        <f aca="false">IF(C140&lt;=$I$15, $I$16, "")</f>
        <v>147.9</v>
      </c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5"/>
      <c r="AA140" s="5"/>
      <c r="AB140" s="5"/>
      <c r="AC140" s="5"/>
      <c r="AD140" s="23" t="n">
        <v>9</v>
      </c>
      <c r="AE140" s="124" t="n">
        <f aca="false">D140</f>
        <v>243</v>
      </c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3" t="n">
        <f aca="false">AO139</f>
        <v>83.6799849600836</v>
      </c>
      <c r="AP140" s="123"/>
      <c r="AQ140" s="123"/>
      <c r="AR140" s="123"/>
      <c r="AS140" s="123"/>
      <c r="AT140" s="123"/>
      <c r="AU140" s="123"/>
      <c r="AV140" s="123"/>
      <c r="AW140" s="123"/>
      <c r="AX140" s="123"/>
      <c r="AY140" s="123"/>
      <c r="AZ140" s="123"/>
      <c r="BA140" s="5"/>
      <c r="BB140" s="5"/>
      <c r="BC140" s="5"/>
      <c r="BD140" s="5"/>
      <c r="BE140" s="23" t="n">
        <v>9</v>
      </c>
      <c r="BF140" s="124" t="n">
        <f aca="false">AE140</f>
        <v>243</v>
      </c>
      <c r="BG140" s="124"/>
      <c r="BH140" s="124"/>
      <c r="BI140" s="124"/>
      <c r="BJ140" s="124"/>
      <c r="BK140" s="124"/>
      <c r="BL140" s="124"/>
      <c r="BM140" s="124"/>
      <c r="BN140" s="124"/>
      <c r="BO140" s="124"/>
      <c r="BP140" s="123" t="n">
        <f aca="false">BP139</f>
        <v>0</v>
      </c>
      <c r="BQ140" s="123"/>
      <c r="BR140" s="123"/>
      <c r="BS140" s="123"/>
      <c r="BT140" s="123"/>
      <c r="BU140" s="123"/>
      <c r="BV140" s="123"/>
      <c r="BW140" s="123"/>
      <c r="BX140" s="123"/>
      <c r="BY140" s="123"/>
      <c r="BZ140" s="123"/>
      <c r="CA140" s="123"/>
      <c r="CB140" s="123"/>
      <c r="CC140" s="123"/>
      <c r="CI140" s="46"/>
    </row>
    <row r="141" customFormat="false" ht="15.75" hidden="false" customHeight="true" outlineLevel="0" collapsed="false">
      <c r="C141" s="23" t="n">
        <v>10</v>
      </c>
      <c r="D141" s="122" t="n">
        <f aca="false">IF(C141&lt;=$I$15, EDATE($D$5, C141-1), "")</f>
        <v>274</v>
      </c>
      <c r="E141" s="122"/>
      <c r="F141" s="122"/>
      <c r="G141" s="122"/>
      <c r="H141" s="122"/>
      <c r="I141" s="122"/>
      <c r="J141" s="122"/>
      <c r="K141" s="122"/>
      <c r="L141" s="122"/>
      <c r="M141" s="122"/>
      <c r="N141" s="123" t="n">
        <f aca="false">IF(C141&lt;=$I$15, $I$16, "")</f>
        <v>147.9</v>
      </c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5"/>
      <c r="AA141" s="5"/>
      <c r="AB141" s="5"/>
      <c r="AC141" s="5"/>
      <c r="AD141" s="23" t="n">
        <v>10</v>
      </c>
      <c r="AE141" s="124" t="n">
        <f aca="false">D141</f>
        <v>274</v>
      </c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3" t="n">
        <f aca="false">AO140</f>
        <v>83.6799849600836</v>
      </c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5"/>
      <c r="BB141" s="5"/>
      <c r="BC141" s="5"/>
      <c r="BD141" s="5"/>
      <c r="BE141" s="23" t="n">
        <v>10</v>
      </c>
      <c r="BF141" s="124" t="n">
        <f aca="false">AE141</f>
        <v>274</v>
      </c>
      <c r="BG141" s="124"/>
      <c r="BH141" s="124"/>
      <c r="BI141" s="124"/>
      <c r="BJ141" s="124"/>
      <c r="BK141" s="124"/>
      <c r="BL141" s="124"/>
      <c r="BM141" s="124"/>
      <c r="BN141" s="124"/>
      <c r="BO141" s="124"/>
      <c r="BP141" s="123" t="n">
        <f aca="false">BP140</f>
        <v>0</v>
      </c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I141" s="46"/>
    </row>
    <row r="142" customFormat="false" ht="15.75" hidden="false" customHeight="true" outlineLevel="0" collapsed="false">
      <c r="C142" s="23" t="n">
        <v>11</v>
      </c>
      <c r="D142" s="122" t="n">
        <f aca="false">IF(C142&lt;=$I$15, EDATE($D$5, C142-1), "")</f>
        <v>304</v>
      </c>
      <c r="E142" s="122"/>
      <c r="F142" s="122"/>
      <c r="G142" s="122"/>
      <c r="H142" s="122"/>
      <c r="I142" s="122"/>
      <c r="J142" s="122"/>
      <c r="K142" s="122"/>
      <c r="L142" s="122"/>
      <c r="M142" s="122"/>
      <c r="N142" s="123" t="n">
        <f aca="false">IF(C142&lt;=$I$15, $I$16, "")</f>
        <v>147.9</v>
      </c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5"/>
      <c r="AA142" s="5"/>
      <c r="AB142" s="5"/>
      <c r="AC142" s="5"/>
      <c r="AD142" s="23" t="n">
        <v>11</v>
      </c>
      <c r="AE142" s="124" t="n">
        <f aca="false">D142</f>
        <v>304</v>
      </c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3" t="n">
        <f aca="false">AO141</f>
        <v>83.6799849600836</v>
      </c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5"/>
      <c r="BB142" s="5"/>
      <c r="BC142" s="5"/>
      <c r="BD142" s="5"/>
      <c r="BE142" s="23" t="n">
        <v>11</v>
      </c>
      <c r="BF142" s="124" t="n">
        <f aca="false">AE142</f>
        <v>304</v>
      </c>
      <c r="BG142" s="124"/>
      <c r="BH142" s="124"/>
      <c r="BI142" s="124"/>
      <c r="BJ142" s="124"/>
      <c r="BK142" s="124"/>
      <c r="BL142" s="124"/>
      <c r="BM142" s="124"/>
      <c r="BN142" s="124"/>
      <c r="BO142" s="124"/>
      <c r="BP142" s="123" t="n">
        <v>0</v>
      </c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  <c r="CA142" s="123"/>
      <c r="CB142" s="123"/>
      <c r="CC142" s="123"/>
      <c r="CI142" s="46"/>
    </row>
    <row r="143" customFormat="false" ht="15.75" hidden="false" customHeight="true" outlineLevel="0" collapsed="false">
      <c r="C143" s="23" t="n">
        <v>12</v>
      </c>
      <c r="D143" s="122" t="n">
        <f aca="false">IF(C143&lt;=$I$15, EDATE($D$5, C143-1), "")</f>
        <v>335</v>
      </c>
      <c r="E143" s="122"/>
      <c r="F143" s="122"/>
      <c r="G143" s="122"/>
      <c r="H143" s="122"/>
      <c r="I143" s="122"/>
      <c r="J143" s="122"/>
      <c r="K143" s="122"/>
      <c r="L143" s="122"/>
      <c r="M143" s="122"/>
      <c r="N143" s="123" t="n">
        <f aca="false">IF(C143&lt;=$I$15, $I$16, "")</f>
        <v>147.9</v>
      </c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5"/>
      <c r="AA143" s="5"/>
      <c r="AB143" s="5"/>
      <c r="AC143" s="5"/>
      <c r="AD143" s="23" t="n">
        <v>12</v>
      </c>
      <c r="AE143" s="124" t="n">
        <f aca="false">D143</f>
        <v>335</v>
      </c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3" t="n">
        <f aca="false">AO142</f>
        <v>83.6799849600836</v>
      </c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5"/>
      <c r="BB143" s="5"/>
      <c r="BC143" s="5"/>
      <c r="BD143" s="5"/>
      <c r="BE143" s="23" t="n">
        <v>12</v>
      </c>
      <c r="BF143" s="124" t="n">
        <f aca="false">AE143</f>
        <v>335</v>
      </c>
      <c r="BG143" s="124"/>
      <c r="BH143" s="124"/>
      <c r="BI143" s="124"/>
      <c r="BJ143" s="124"/>
      <c r="BK143" s="124"/>
      <c r="BL143" s="124"/>
      <c r="BM143" s="124"/>
      <c r="BN143" s="124"/>
      <c r="BO143" s="124"/>
      <c r="BP143" s="123" t="n">
        <v>0</v>
      </c>
      <c r="BQ143" s="123"/>
      <c r="BR143" s="123"/>
      <c r="BS143" s="123"/>
      <c r="BT143" s="123"/>
      <c r="BU143" s="123"/>
      <c r="BV143" s="123"/>
      <c r="BW143" s="123"/>
      <c r="BX143" s="123"/>
      <c r="BY143" s="123"/>
      <c r="BZ143" s="123"/>
      <c r="CA143" s="123"/>
      <c r="CB143" s="123"/>
      <c r="CC143" s="123"/>
      <c r="CI143" s="46"/>
    </row>
    <row r="144" customFormat="false" ht="15.75" hidden="false" customHeight="true" outlineLevel="0" collapsed="false">
      <c r="C144" s="23" t="n">
        <v>13</v>
      </c>
      <c r="D144" s="122" t="str">
        <f aca="false">IF(C144&lt;=$I$15, EDATE($D$5, C144-1), "")</f>
        <v/>
      </c>
      <c r="E144" s="122"/>
      <c r="F144" s="122"/>
      <c r="G144" s="122"/>
      <c r="H144" s="122"/>
      <c r="I144" s="122"/>
      <c r="J144" s="122"/>
      <c r="K144" s="122"/>
      <c r="L144" s="122"/>
      <c r="M144" s="122"/>
      <c r="N144" s="123" t="str">
        <f aca="false">IF(C144&lt;=$I$15, $I$16, "")</f>
        <v/>
      </c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5"/>
      <c r="AA144" s="5"/>
      <c r="AB144" s="5"/>
      <c r="AC144" s="5"/>
      <c r="AD144" s="23" t="n">
        <v>13</v>
      </c>
      <c r="AE144" s="124" t="str">
        <f aca="false">D144</f>
        <v/>
      </c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3" t="n">
        <f aca="false">AO143</f>
        <v>83.6799849600836</v>
      </c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5"/>
      <c r="BB144" s="5"/>
      <c r="BC144" s="5"/>
      <c r="BD144" s="5"/>
      <c r="BE144" s="23" t="n">
        <v>13</v>
      </c>
      <c r="BF144" s="124" t="str">
        <f aca="false">AE144</f>
        <v/>
      </c>
      <c r="BG144" s="124"/>
      <c r="BH144" s="124"/>
      <c r="BI144" s="124"/>
      <c r="BJ144" s="124"/>
      <c r="BK144" s="124"/>
      <c r="BL144" s="124"/>
      <c r="BM144" s="124"/>
      <c r="BN144" s="124"/>
      <c r="BO144" s="124"/>
      <c r="BP144" s="123" t="n">
        <v>0</v>
      </c>
      <c r="BQ144" s="123"/>
      <c r="BR144" s="123"/>
      <c r="BS144" s="123"/>
      <c r="BT144" s="123"/>
      <c r="BU144" s="123"/>
      <c r="BV144" s="123"/>
      <c r="BW144" s="123"/>
      <c r="BX144" s="123"/>
      <c r="BY144" s="123"/>
      <c r="BZ144" s="123"/>
      <c r="CA144" s="123"/>
      <c r="CB144" s="123"/>
      <c r="CC144" s="123"/>
      <c r="CI144" s="46"/>
    </row>
    <row r="145" customFormat="false" ht="15.75" hidden="false" customHeight="true" outlineLevel="0" collapsed="false">
      <c r="C145" s="23" t="n">
        <v>14</v>
      </c>
      <c r="D145" s="122" t="str">
        <f aca="false">IF(C145&lt;=$I$15, EDATE($D$5, C145-1), "")</f>
        <v/>
      </c>
      <c r="E145" s="122"/>
      <c r="F145" s="122"/>
      <c r="G145" s="122"/>
      <c r="H145" s="122"/>
      <c r="I145" s="122"/>
      <c r="J145" s="122"/>
      <c r="K145" s="122"/>
      <c r="L145" s="122"/>
      <c r="M145" s="122"/>
      <c r="N145" s="123" t="str">
        <f aca="false">IF(C145&lt;=$I$15, $I$16, "")</f>
        <v/>
      </c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5"/>
      <c r="AA145" s="5"/>
      <c r="AB145" s="5"/>
      <c r="AC145" s="5"/>
      <c r="AD145" s="23" t="n">
        <v>14</v>
      </c>
      <c r="AE145" s="124" t="str">
        <f aca="false">D145</f>
        <v/>
      </c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3" t="n">
        <f aca="false">AO144</f>
        <v>83.6799849600836</v>
      </c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5"/>
      <c r="BB145" s="5"/>
      <c r="BC145" s="5"/>
      <c r="BD145" s="5"/>
      <c r="BE145" s="23" t="n">
        <v>14</v>
      </c>
      <c r="BF145" s="124" t="str">
        <f aca="false">AE145</f>
        <v/>
      </c>
      <c r="BG145" s="124"/>
      <c r="BH145" s="124"/>
      <c r="BI145" s="124"/>
      <c r="BJ145" s="124"/>
      <c r="BK145" s="124"/>
      <c r="BL145" s="124"/>
      <c r="BM145" s="124"/>
      <c r="BN145" s="124"/>
      <c r="BO145" s="124"/>
      <c r="BP145" s="123" t="n">
        <f aca="false">BP144</f>
        <v>0</v>
      </c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  <c r="CB145" s="123"/>
      <c r="CC145" s="123"/>
      <c r="CI145" s="46"/>
    </row>
    <row r="146" customFormat="false" ht="15.75" hidden="false" customHeight="true" outlineLevel="0" collapsed="false">
      <c r="C146" s="23" t="n">
        <v>15</v>
      </c>
      <c r="D146" s="122" t="str">
        <f aca="false">IF(C146&lt;=$I$15, EDATE($D$5, C146-1), "")</f>
        <v/>
      </c>
      <c r="E146" s="122"/>
      <c r="F146" s="122"/>
      <c r="G146" s="122"/>
      <c r="H146" s="122"/>
      <c r="I146" s="122"/>
      <c r="J146" s="122"/>
      <c r="K146" s="122"/>
      <c r="L146" s="122"/>
      <c r="M146" s="122"/>
      <c r="N146" s="123" t="str">
        <f aca="false">IF(C146&lt;=$I$15, $I$16, "")</f>
        <v/>
      </c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5"/>
      <c r="AA146" s="5"/>
      <c r="AB146" s="5"/>
      <c r="AC146" s="5"/>
      <c r="AD146" s="23" t="n">
        <v>15</v>
      </c>
      <c r="AE146" s="124" t="str">
        <f aca="false">D146</f>
        <v/>
      </c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3" t="n">
        <f aca="false">AO145</f>
        <v>83.6799849600836</v>
      </c>
      <c r="AP146" s="123"/>
      <c r="AQ146" s="123"/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5"/>
      <c r="BB146" s="5"/>
      <c r="BC146" s="5"/>
      <c r="BD146" s="5"/>
      <c r="BE146" s="23" t="n">
        <v>15</v>
      </c>
      <c r="BF146" s="124" t="str">
        <f aca="false">AE146</f>
        <v/>
      </c>
      <c r="BG146" s="124"/>
      <c r="BH146" s="124"/>
      <c r="BI146" s="124"/>
      <c r="BJ146" s="124"/>
      <c r="BK146" s="124"/>
      <c r="BL146" s="124"/>
      <c r="BM146" s="124"/>
      <c r="BN146" s="124"/>
      <c r="BO146" s="124"/>
      <c r="BP146" s="123" t="n">
        <f aca="false">BP145</f>
        <v>0</v>
      </c>
      <c r="BQ146" s="123"/>
      <c r="BR146" s="123"/>
      <c r="BS146" s="123"/>
      <c r="BT146" s="123"/>
      <c r="BU146" s="123"/>
      <c r="BV146" s="123"/>
      <c r="BW146" s="123"/>
      <c r="BX146" s="123"/>
      <c r="BY146" s="123"/>
      <c r="BZ146" s="123"/>
      <c r="CA146" s="123"/>
      <c r="CB146" s="123"/>
      <c r="CC146" s="123"/>
      <c r="CI146" s="46"/>
    </row>
    <row r="147" customFormat="false" ht="15" hidden="false" customHeight="false" outlineLevel="0" collapsed="false">
      <c r="A147" s="125"/>
      <c r="B147" s="125"/>
      <c r="C147" s="126" t="n">
        <v>16</v>
      </c>
      <c r="D147" s="127" t="str">
        <f aca="false">IF(C147&lt;=$I$15, EDATE($D$5, C147-1), "")</f>
        <v/>
      </c>
      <c r="E147" s="128"/>
      <c r="F147" s="128"/>
      <c r="G147" s="128"/>
      <c r="H147" s="128"/>
      <c r="I147" s="128"/>
      <c r="J147" s="128"/>
      <c r="K147" s="128"/>
      <c r="L147" s="128"/>
      <c r="M147" s="129"/>
      <c r="N147" s="130" t="str">
        <f aca="false">IF(C147&lt;=$I$15, $I$16, "")</f>
        <v/>
      </c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9"/>
      <c r="Z147" s="131"/>
      <c r="AA147" s="131"/>
      <c r="AB147" s="131"/>
      <c r="AC147" s="131"/>
      <c r="AD147" s="126"/>
      <c r="AE147" s="127" t="str">
        <f aca="false">D147</f>
        <v/>
      </c>
      <c r="AF147" s="128"/>
      <c r="AG147" s="128"/>
      <c r="AH147" s="128"/>
      <c r="AI147" s="128"/>
      <c r="AJ147" s="128"/>
      <c r="AK147" s="128"/>
      <c r="AL147" s="128"/>
      <c r="AM147" s="128"/>
      <c r="AN147" s="129"/>
      <c r="AO147" s="130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9"/>
      <c r="BA147" s="131"/>
      <c r="BB147" s="131"/>
      <c r="BC147" s="131"/>
      <c r="BD147" s="131"/>
      <c r="BE147" s="126"/>
      <c r="BF147" s="127" t="str">
        <f aca="false">AE147</f>
        <v/>
      </c>
      <c r="BG147" s="128"/>
      <c r="BH147" s="128"/>
      <c r="BI147" s="128"/>
      <c r="BJ147" s="128"/>
      <c r="BK147" s="128"/>
      <c r="BL147" s="128"/>
      <c r="BM147" s="128"/>
      <c r="BN147" s="128"/>
      <c r="BO147" s="129"/>
      <c r="BP147" s="130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9"/>
      <c r="CD147" s="125"/>
      <c r="CE147" s="125"/>
      <c r="CF147" s="125"/>
      <c r="CG147" s="125"/>
      <c r="CH147" s="125"/>
      <c r="CI147" s="46"/>
      <c r="CJ147" s="125"/>
      <c r="CK147" s="125"/>
      <c r="CL147" s="125"/>
    </row>
    <row r="148" customFormat="false" ht="15" hidden="false" customHeight="false" outlineLevel="0" collapsed="false">
      <c r="A148" s="125"/>
      <c r="B148" s="125"/>
      <c r="C148" s="126" t="n">
        <v>17</v>
      </c>
      <c r="D148" s="127" t="str">
        <f aca="false">IF(C148&lt;=$I$15, EDATE($D$5, C148-1), "")</f>
        <v/>
      </c>
      <c r="E148" s="128"/>
      <c r="F148" s="128"/>
      <c r="G148" s="128"/>
      <c r="H148" s="128"/>
      <c r="I148" s="128"/>
      <c r="J148" s="128"/>
      <c r="K148" s="128"/>
      <c r="L148" s="128"/>
      <c r="M148" s="129"/>
      <c r="N148" s="130" t="str">
        <f aca="false">IF(C148&lt;=$I$15, $I$16, "")</f>
        <v/>
      </c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9"/>
      <c r="Z148" s="131"/>
      <c r="AA148" s="131"/>
      <c r="AB148" s="131"/>
      <c r="AC148" s="131"/>
      <c r="AD148" s="126"/>
      <c r="AE148" s="127" t="str">
        <f aca="false">D148</f>
        <v/>
      </c>
      <c r="AF148" s="128"/>
      <c r="AG148" s="128"/>
      <c r="AH148" s="128"/>
      <c r="AI148" s="128"/>
      <c r="AJ148" s="128"/>
      <c r="AK148" s="128"/>
      <c r="AL148" s="128"/>
      <c r="AM148" s="128"/>
      <c r="AN148" s="129"/>
      <c r="AO148" s="130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9"/>
      <c r="BA148" s="131"/>
      <c r="BB148" s="131"/>
      <c r="BC148" s="131"/>
      <c r="BD148" s="131"/>
      <c r="BE148" s="126"/>
      <c r="BF148" s="127" t="str">
        <f aca="false">AE148</f>
        <v/>
      </c>
      <c r="BG148" s="128"/>
      <c r="BH148" s="128"/>
      <c r="BI148" s="128"/>
      <c r="BJ148" s="128"/>
      <c r="BK148" s="128"/>
      <c r="BL148" s="128"/>
      <c r="BM148" s="128"/>
      <c r="BN148" s="128"/>
      <c r="BO148" s="129"/>
      <c r="BP148" s="130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9"/>
      <c r="CD148" s="125"/>
      <c r="CE148" s="125"/>
      <c r="CF148" s="125"/>
      <c r="CG148" s="125"/>
      <c r="CH148" s="125"/>
      <c r="CI148" s="46"/>
      <c r="CJ148" s="125"/>
      <c r="CK148" s="125"/>
      <c r="CL148" s="125"/>
    </row>
    <row r="149" customFormat="false" ht="15" hidden="false" customHeight="false" outlineLevel="0" collapsed="false">
      <c r="A149" s="125"/>
      <c r="B149" s="125"/>
      <c r="C149" s="126" t="n">
        <v>18</v>
      </c>
      <c r="D149" s="127" t="str">
        <f aca="false">IF(C149&lt;=$I$15, EDATE($D$5, C149-1), "")</f>
        <v/>
      </c>
      <c r="E149" s="128"/>
      <c r="F149" s="128"/>
      <c r="G149" s="128"/>
      <c r="H149" s="128"/>
      <c r="I149" s="128"/>
      <c r="J149" s="128"/>
      <c r="K149" s="128"/>
      <c r="L149" s="128"/>
      <c r="M149" s="129"/>
      <c r="N149" s="130" t="str">
        <f aca="false">IF(C149&lt;=$I$15, $I$16, "")</f>
        <v/>
      </c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9"/>
      <c r="Z149" s="131"/>
      <c r="AA149" s="131"/>
      <c r="AB149" s="131"/>
      <c r="AC149" s="131"/>
      <c r="AD149" s="126"/>
      <c r="AE149" s="127" t="str">
        <f aca="false">D149</f>
        <v/>
      </c>
      <c r="AF149" s="128"/>
      <c r="AG149" s="128"/>
      <c r="AH149" s="128"/>
      <c r="AI149" s="128"/>
      <c r="AJ149" s="128"/>
      <c r="AK149" s="128"/>
      <c r="AL149" s="128"/>
      <c r="AM149" s="128"/>
      <c r="AN149" s="129"/>
      <c r="AO149" s="130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9"/>
      <c r="BA149" s="131"/>
      <c r="BB149" s="131"/>
      <c r="BC149" s="131"/>
      <c r="BD149" s="131"/>
      <c r="BE149" s="126"/>
      <c r="BF149" s="127" t="str">
        <f aca="false">AE149</f>
        <v/>
      </c>
      <c r="BG149" s="128"/>
      <c r="BH149" s="128"/>
      <c r="BI149" s="128"/>
      <c r="BJ149" s="128"/>
      <c r="BK149" s="128"/>
      <c r="BL149" s="128"/>
      <c r="BM149" s="128"/>
      <c r="BN149" s="128"/>
      <c r="BO149" s="129"/>
      <c r="BP149" s="130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9"/>
      <c r="CD149" s="125"/>
      <c r="CE149" s="125"/>
      <c r="CF149" s="125"/>
      <c r="CG149" s="125"/>
      <c r="CH149" s="125"/>
      <c r="CI149" s="46"/>
      <c r="CJ149" s="125"/>
      <c r="CK149" s="125"/>
      <c r="CL149" s="125"/>
    </row>
    <row r="150" customFormat="false" ht="15" hidden="false" customHeight="false" outlineLevel="0" collapsed="false">
      <c r="A150" s="125"/>
      <c r="B150" s="125"/>
      <c r="C150" s="126" t="n">
        <v>19</v>
      </c>
      <c r="D150" s="127" t="str">
        <f aca="false">IF(C150&lt;=$I$15, EDATE($D$5, C150-1), "")</f>
        <v/>
      </c>
      <c r="E150" s="128"/>
      <c r="F150" s="128"/>
      <c r="G150" s="128"/>
      <c r="H150" s="128"/>
      <c r="I150" s="128"/>
      <c r="J150" s="128"/>
      <c r="K150" s="128"/>
      <c r="L150" s="128"/>
      <c r="M150" s="129"/>
      <c r="N150" s="130" t="str">
        <f aca="false">IF(C150&lt;=$I$15, $I$16, "")</f>
        <v/>
      </c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9"/>
      <c r="Z150" s="131"/>
      <c r="AA150" s="131"/>
      <c r="AB150" s="131"/>
      <c r="AC150" s="131"/>
      <c r="AD150" s="126"/>
      <c r="AE150" s="127" t="str">
        <f aca="false">D150</f>
        <v/>
      </c>
      <c r="AF150" s="128"/>
      <c r="AG150" s="128"/>
      <c r="AH150" s="128"/>
      <c r="AI150" s="128"/>
      <c r="AJ150" s="128"/>
      <c r="AK150" s="128"/>
      <c r="AL150" s="128"/>
      <c r="AM150" s="128"/>
      <c r="AN150" s="129"/>
      <c r="AO150" s="130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9"/>
      <c r="BA150" s="131"/>
      <c r="BB150" s="131"/>
      <c r="BC150" s="131"/>
      <c r="BD150" s="131"/>
      <c r="BE150" s="126"/>
      <c r="BF150" s="127" t="str">
        <f aca="false">AE150</f>
        <v/>
      </c>
      <c r="BG150" s="128"/>
      <c r="BH150" s="128"/>
      <c r="BI150" s="128"/>
      <c r="BJ150" s="128"/>
      <c r="BK150" s="128"/>
      <c r="BL150" s="128"/>
      <c r="BM150" s="128"/>
      <c r="BN150" s="128"/>
      <c r="BO150" s="129"/>
      <c r="BP150" s="130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9"/>
      <c r="CD150" s="125"/>
      <c r="CE150" s="125"/>
      <c r="CF150" s="125"/>
      <c r="CG150" s="125"/>
      <c r="CH150" s="125"/>
      <c r="CI150" s="46"/>
      <c r="CJ150" s="125"/>
      <c r="CK150" s="125"/>
      <c r="CL150" s="125"/>
    </row>
    <row r="151" customFormat="false" ht="15" hidden="false" customHeight="false" outlineLevel="0" collapsed="false">
      <c r="A151" s="125"/>
      <c r="B151" s="125"/>
      <c r="C151" s="126" t="n">
        <v>20</v>
      </c>
      <c r="D151" s="127" t="str">
        <f aca="false">IF(C151&lt;=$I$15, EDATE($D$5, C151-1), "")</f>
        <v/>
      </c>
      <c r="E151" s="128"/>
      <c r="F151" s="128"/>
      <c r="G151" s="128"/>
      <c r="H151" s="128"/>
      <c r="I151" s="128"/>
      <c r="J151" s="128"/>
      <c r="K151" s="128"/>
      <c r="L151" s="128"/>
      <c r="M151" s="129"/>
      <c r="N151" s="130" t="str">
        <f aca="false">IF(C151&lt;=$I$15, $I$16, "")</f>
        <v/>
      </c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9"/>
      <c r="Z151" s="131"/>
      <c r="AA151" s="131"/>
      <c r="AB151" s="131"/>
      <c r="AC151" s="131"/>
      <c r="AD151" s="126"/>
      <c r="AE151" s="127" t="str">
        <f aca="false">D151</f>
        <v/>
      </c>
      <c r="AF151" s="128"/>
      <c r="AG151" s="128"/>
      <c r="AH151" s="128"/>
      <c r="AI151" s="128"/>
      <c r="AJ151" s="128"/>
      <c r="AK151" s="128"/>
      <c r="AL151" s="128"/>
      <c r="AM151" s="128"/>
      <c r="AN151" s="129"/>
      <c r="AO151" s="130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9"/>
      <c r="BA151" s="131"/>
      <c r="BB151" s="131"/>
      <c r="BC151" s="131"/>
      <c r="BD151" s="131"/>
      <c r="BE151" s="126"/>
      <c r="BF151" s="127" t="str">
        <f aca="false">AE151</f>
        <v/>
      </c>
      <c r="BG151" s="128"/>
      <c r="BH151" s="128"/>
      <c r="BI151" s="128"/>
      <c r="BJ151" s="128"/>
      <c r="BK151" s="128"/>
      <c r="BL151" s="128"/>
      <c r="BM151" s="128"/>
      <c r="BN151" s="128"/>
      <c r="BO151" s="129"/>
      <c r="BP151" s="130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9"/>
      <c r="CD151" s="125"/>
      <c r="CE151" s="125"/>
      <c r="CF151" s="125"/>
      <c r="CG151" s="125"/>
      <c r="CH151" s="125"/>
      <c r="CI151" s="46"/>
      <c r="CJ151" s="125"/>
      <c r="CK151" s="125"/>
      <c r="CL151" s="125"/>
    </row>
    <row r="152" customFormat="false" ht="15" hidden="false" customHeight="false" outlineLevel="0" collapsed="false">
      <c r="A152" s="125"/>
      <c r="B152" s="125"/>
      <c r="C152" s="126" t="n">
        <v>21</v>
      </c>
      <c r="D152" s="127" t="str">
        <f aca="false">IF(C152&lt;=$I$15, EDATE($D$5, C152-1), "")</f>
        <v/>
      </c>
      <c r="E152" s="128"/>
      <c r="F152" s="128"/>
      <c r="G152" s="128"/>
      <c r="H152" s="128"/>
      <c r="I152" s="128"/>
      <c r="J152" s="128"/>
      <c r="K152" s="128"/>
      <c r="L152" s="128"/>
      <c r="M152" s="129"/>
      <c r="N152" s="130" t="str">
        <f aca="false">IF(C152&lt;=$I$15, $I$16, "")</f>
        <v/>
      </c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9"/>
      <c r="Z152" s="131"/>
      <c r="AA152" s="131"/>
      <c r="AB152" s="131"/>
      <c r="AC152" s="131"/>
      <c r="AD152" s="126"/>
      <c r="AE152" s="127" t="str">
        <f aca="false">D152</f>
        <v/>
      </c>
      <c r="AF152" s="128"/>
      <c r="AG152" s="128"/>
      <c r="AH152" s="128"/>
      <c r="AI152" s="128"/>
      <c r="AJ152" s="128"/>
      <c r="AK152" s="128"/>
      <c r="AL152" s="128"/>
      <c r="AM152" s="128"/>
      <c r="AN152" s="129"/>
      <c r="AO152" s="130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9"/>
      <c r="BA152" s="131"/>
      <c r="BB152" s="131"/>
      <c r="BC152" s="131"/>
      <c r="BD152" s="131"/>
      <c r="BE152" s="126"/>
      <c r="BF152" s="127" t="str">
        <f aca="false">AE152</f>
        <v/>
      </c>
      <c r="BG152" s="128"/>
      <c r="BH152" s="128"/>
      <c r="BI152" s="128"/>
      <c r="BJ152" s="128"/>
      <c r="BK152" s="128"/>
      <c r="BL152" s="128"/>
      <c r="BM152" s="128"/>
      <c r="BN152" s="128"/>
      <c r="BO152" s="129"/>
      <c r="BP152" s="130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9"/>
      <c r="CD152" s="125"/>
      <c r="CE152" s="125"/>
      <c r="CF152" s="125"/>
      <c r="CG152" s="125"/>
      <c r="CH152" s="125"/>
      <c r="CI152" s="46"/>
      <c r="CJ152" s="125"/>
      <c r="CK152" s="125"/>
      <c r="CL152" s="125"/>
    </row>
    <row r="153" customFormat="false" ht="15" hidden="false" customHeight="false" outlineLevel="0" collapsed="false">
      <c r="A153" s="125"/>
      <c r="B153" s="125"/>
      <c r="C153" s="126" t="n">
        <v>22</v>
      </c>
      <c r="D153" s="127" t="str">
        <f aca="false">IF(C153&lt;=$I$15, EDATE($D$5, C153-1), "")</f>
        <v/>
      </c>
      <c r="E153" s="128"/>
      <c r="F153" s="128"/>
      <c r="G153" s="128"/>
      <c r="H153" s="128"/>
      <c r="I153" s="128"/>
      <c r="J153" s="128"/>
      <c r="K153" s="128"/>
      <c r="L153" s="128"/>
      <c r="M153" s="129"/>
      <c r="N153" s="130" t="str">
        <f aca="false">IF(C153&lt;=$I$15, $I$16, "")</f>
        <v/>
      </c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9"/>
      <c r="Z153" s="131"/>
      <c r="AA153" s="131"/>
      <c r="AB153" s="131"/>
      <c r="AC153" s="131"/>
      <c r="AD153" s="126"/>
      <c r="AE153" s="127" t="str">
        <f aca="false">D153</f>
        <v/>
      </c>
      <c r="AF153" s="128"/>
      <c r="AG153" s="128"/>
      <c r="AH153" s="128"/>
      <c r="AI153" s="128"/>
      <c r="AJ153" s="128"/>
      <c r="AK153" s="128"/>
      <c r="AL153" s="128"/>
      <c r="AM153" s="128"/>
      <c r="AN153" s="129"/>
      <c r="AO153" s="130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9"/>
      <c r="BA153" s="131"/>
      <c r="BB153" s="131"/>
      <c r="BC153" s="131"/>
      <c r="BD153" s="131"/>
      <c r="BE153" s="126"/>
      <c r="BF153" s="127" t="str">
        <f aca="false">AE153</f>
        <v/>
      </c>
      <c r="BG153" s="128"/>
      <c r="BH153" s="128"/>
      <c r="BI153" s="128"/>
      <c r="BJ153" s="128"/>
      <c r="BK153" s="128"/>
      <c r="BL153" s="128"/>
      <c r="BM153" s="128"/>
      <c r="BN153" s="128"/>
      <c r="BO153" s="129"/>
      <c r="BP153" s="130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9"/>
      <c r="CD153" s="125"/>
      <c r="CE153" s="125"/>
      <c r="CF153" s="125"/>
      <c r="CG153" s="125"/>
      <c r="CH153" s="125"/>
      <c r="CI153" s="46"/>
      <c r="CJ153" s="125"/>
      <c r="CK153" s="125"/>
      <c r="CL153" s="125"/>
    </row>
    <row r="154" customFormat="false" ht="12.75" hidden="false" customHeight="true" outlineLevel="0" collapsed="false">
      <c r="A154" s="125"/>
      <c r="B154" s="125"/>
      <c r="C154" s="126" t="n">
        <v>23</v>
      </c>
      <c r="D154" s="127" t="str">
        <f aca="false">IF(C154&lt;=$I$15, EDATE($D$5, C154-1), "")</f>
        <v/>
      </c>
      <c r="E154" s="128"/>
      <c r="F154" s="128"/>
      <c r="G154" s="128"/>
      <c r="H154" s="128"/>
      <c r="I154" s="128"/>
      <c r="J154" s="128"/>
      <c r="K154" s="128"/>
      <c r="L154" s="128"/>
      <c r="M154" s="129"/>
      <c r="N154" s="130" t="str">
        <f aca="false">IF(C154&lt;=$I$15, $I$16, "")</f>
        <v/>
      </c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9"/>
      <c r="Z154" s="131"/>
      <c r="AA154" s="131"/>
      <c r="AB154" s="131"/>
      <c r="AC154" s="131"/>
      <c r="AD154" s="126"/>
      <c r="AE154" s="127" t="str">
        <f aca="false">D154</f>
        <v/>
      </c>
      <c r="AF154" s="128"/>
      <c r="AG154" s="128"/>
      <c r="AH154" s="128"/>
      <c r="AI154" s="128"/>
      <c r="AJ154" s="128"/>
      <c r="AK154" s="128"/>
      <c r="AL154" s="128"/>
      <c r="AM154" s="128"/>
      <c r="AN154" s="129"/>
      <c r="AO154" s="130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9"/>
      <c r="BA154" s="131"/>
      <c r="BB154" s="131"/>
      <c r="BC154" s="131"/>
      <c r="BD154" s="131"/>
      <c r="BE154" s="126"/>
      <c r="BF154" s="127" t="str">
        <f aca="false">AE154</f>
        <v/>
      </c>
      <c r="BG154" s="128"/>
      <c r="BH154" s="128"/>
      <c r="BI154" s="128"/>
      <c r="BJ154" s="128"/>
      <c r="BK154" s="128"/>
      <c r="BL154" s="128"/>
      <c r="BM154" s="128"/>
      <c r="BN154" s="128"/>
      <c r="BO154" s="129"/>
      <c r="BP154" s="130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9"/>
      <c r="CD154" s="125"/>
      <c r="CE154" s="125"/>
      <c r="CF154" s="125"/>
      <c r="CG154" s="125"/>
      <c r="CH154" s="125"/>
      <c r="CI154" s="46"/>
      <c r="CJ154" s="125"/>
      <c r="CK154" s="125"/>
      <c r="CL154" s="125"/>
    </row>
    <row r="155" customFormat="false" ht="12.75" hidden="false" customHeight="true" outlineLevel="0" collapsed="false">
      <c r="A155" s="125"/>
      <c r="B155" s="125"/>
      <c r="C155" s="126" t="n">
        <v>24</v>
      </c>
      <c r="D155" s="127" t="str">
        <f aca="false">IF(C155&lt;=$I$15, EDATE($D$5, C155-1), "")</f>
        <v/>
      </c>
      <c r="E155" s="128"/>
      <c r="F155" s="128"/>
      <c r="G155" s="128"/>
      <c r="H155" s="128"/>
      <c r="I155" s="128"/>
      <c r="J155" s="128"/>
      <c r="K155" s="128"/>
      <c r="L155" s="128"/>
      <c r="M155" s="129"/>
      <c r="N155" s="130" t="str">
        <f aca="false">IF(C155&lt;=$I$15, $I$16, "")</f>
        <v/>
      </c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9"/>
      <c r="Z155" s="131"/>
      <c r="AA155" s="131"/>
      <c r="AB155" s="131"/>
      <c r="AC155" s="131"/>
      <c r="AD155" s="126"/>
      <c r="AE155" s="127" t="str">
        <f aca="false">D155</f>
        <v/>
      </c>
      <c r="AF155" s="128"/>
      <c r="AG155" s="128"/>
      <c r="AH155" s="128"/>
      <c r="AI155" s="128"/>
      <c r="AJ155" s="128"/>
      <c r="AK155" s="128"/>
      <c r="AL155" s="128"/>
      <c r="AM155" s="128"/>
      <c r="AN155" s="129"/>
      <c r="AO155" s="130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9"/>
      <c r="BA155" s="131"/>
      <c r="BB155" s="131"/>
      <c r="BC155" s="131"/>
      <c r="BD155" s="131"/>
      <c r="BE155" s="126"/>
      <c r="BF155" s="127" t="str">
        <f aca="false">AE155</f>
        <v/>
      </c>
      <c r="BG155" s="128"/>
      <c r="BH155" s="128"/>
      <c r="BI155" s="128"/>
      <c r="BJ155" s="128"/>
      <c r="BK155" s="128"/>
      <c r="BL155" s="128"/>
      <c r="BM155" s="128"/>
      <c r="BN155" s="128"/>
      <c r="BO155" s="129"/>
      <c r="BP155" s="130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9"/>
      <c r="CD155" s="125"/>
      <c r="CE155" s="125"/>
      <c r="CF155" s="125"/>
      <c r="CG155" s="125"/>
      <c r="CH155" s="125"/>
      <c r="CI155" s="46"/>
      <c r="CJ155" s="125"/>
      <c r="CK155" s="125"/>
      <c r="CL155" s="125"/>
    </row>
    <row r="156" customFormat="false" ht="13.5" hidden="false" customHeight="false" outlineLevel="0" collapsed="false">
      <c r="CI156" s="46"/>
    </row>
    <row r="157" customFormat="false" ht="13.5" hidden="false" customHeight="false" outlineLevel="0" collapsed="false">
      <c r="CI157" s="46"/>
    </row>
    <row r="158" customFormat="false" ht="13.5" hidden="false" customHeight="false" outlineLevel="0" collapsed="false">
      <c r="CI158" s="46"/>
    </row>
    <row r="159" customFormat="false" ht="13.5" hidden="false" customHeight="false" outlineLevel="0" collapsed="false">
      <c r="CI159" s="46"/>
    </row>
    <row r="160" customFormat="false" ht="13.5" hidden="false" customHeight="false" outlineLevel="0" collapsed="false">
      <c r="CI160" s="46"/>
    </row>
    <row r="161" customFormat="false" ht="13.5" hidden="false" customHeight="false" outlineLevel="0" collapsed="false">
      <c r="CI161" s="46"/>
    </row>
    <row r="162" customFormat="false" ht="13.5" hidden="false" customHeight="false" outlineLevel="0" collapsed="false">
      <c r="CI162" s="46"/>
    </row>
    <row r="163" customFormat="false" ht="13.5" hidden="false" customHeight="false" outlineLevel="0" collapsed="false">
      <c r="CI163" s="46"/>
    </row>
  </sheetData>
  <mergeCells count="328">
    <mergeCell ref="C1:CB1"/>
    <mergeCell ref="D3:L3"/>
    <mergeCell ref="D4:L4"/>
    <mergeCell ref="C6:Y6"/>
    <mergeCell ref="AD6:AZ6"/>
    <mergeCell ref="BE6:CB6"/>
    <mergeCell ref="C7:H7"/>
    <mergeCell ref="I7:Y7"/>
    <mergeCell ref="AD7:AO7"/>
    <mergeCell ref="AP7:AZ7"/>
    <mergeCell ref="BE7:BK7"/>
    <mergeCell ref="BL7:CB7"/>
    <mergeCell ref="C8:H8"/>
    <mergeCell ref="I8:Y8"/>
    <mergeCell ref="AD8:AO8"/>
    <mergeCell ref="AP8:AZ8"/>
    <mergeCell ref="BE8:BK8"/>
    <mergeCell ref="BL8:CB8"/>
    <mergeCell ref="C9:H9"/>
    <mergeCell ref="I9:Y9"/>
    <mergeCell ref="AD9:AO9"/>
    <mergeCell ref="AP9:AZ9"/>
    <mergeCell ref="BE9:BK9"/>
    <mergeCell ref="BL9:CB9"/>
    <mergeCell ref="C10:H10"/>
    <mergeCell ref="I10:Y10"/>
    <mergeCell ref="AD10:AO10"/>
    <mergeCell ref="AP10:AZ10"/>
    <mergeCell ref="BE10:BK10"/>
    <mergeCell ref="BL10:CB10"/>
    <mergeCell ref="C11:H11"/>
    <mergeCell ref="I11:Y11"/>
    <mergeCell ref="AD11:AO11"/>
    <mergeCell ref="AP11:AZ11"/>
    <mergeCell ref="BE11:BK11"/>
    <mergeCell ref="BL11:CB11"/>
    <mergeCell ref="C12:H12"/>
    <mergeCell ref="I12:Y12"/>
    <mergeCell ref="AD12:AO12"/>
    <mergeCell ref="AP12:AZ12"/>
    <mergeCell ref="BE12:BK12"/>
    <mergeCell ref="BL12:CB12"/>
    <mergeCell ref="C13:H13"/>
    <mergeCell ref="I13:Y13"/>
    <mergeCell ref="AD13:AO13"/>
    <mergeCell ref="AP13:AZ13"/>
    <mergeCell ref="BE13:BK14"/>
    <mergeCell ref="BL13:CB14"/>
    <mergeCell ref="C14:H14"/>
    <mergeCell ref="I14:Y14"/>
    <mergeCell ref="AD14:AO14"/>
    <mergeCell ref="AP14:AZ14"/>
    <mergeCell ref="C15:H15"/>
    <mergeCell ref="I15:Y15"/>
    <mergeCell ref="AD15:AO15"/>
    <mergeCell ref="AP15:AZ15"/>
    <mergeCell ref="C16:H16"/>
    <mergeCell ref="I16:Y16"/>
    <mergeCell ref="AD16:AO16"/>
    <mergeCell ref="AP16:AZ16"/>
    <mergeCell ref="BE16:BK16"/>
    <mergeCell ref="BL16:CB16"/>
    <mergeCell ref="C17:H17"/>
    <mergeCell ref="I17:Y17"/>
    <mergeCell ref="AD17:AO17"/>
    <mergeCell ref="AP17:AZ17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AD19:AO19"/>
    <mergeCell ref="AP19:AZ19"/>
    <mergeCell ref="BE19:BK19"/>
    <mergeCell ref="BL19:CB19"/>
    <mergeCell ref="C25:Y25"/>
    <mergeCell ref="AD25:AZ25"/>
    <mergeCell ref="H29:S29"/>
    <mergeCell ref="AD29:AH29"/>
    <mergeCell ref="AI29:AT29"/>
    <mergeCell ref="BE29:BH29"/>
    <mergeCell ref="BK29:CB29"/>
    <mergeCell ref="H30:Q30"/>
    <mergeCell ref="AI30:AR30"/>
    <mergeCell ref="BE30:BH31"/>
    <mergeCell ref="BK30:CB31"/>
    <mergeCell ref="I31:O31"/>
    <mergeCell ref="AJ31:AP31"/>
    <mergeCell ref="C33:C47"/>
    <mergeCell ref="E33:E47"/>
    <mergeCell ref="G33:G47"/>
    <mergeCell ref="I33:I47"/>
    <mergeCell ref="O33:O38"/>
    <mergeCell ref="Q33:Q38"/>
    <mergeCell ref="S33:S38"/>
    <mergeCell ref="U33:U35"/>
    <mergeCell ref="W33:W38"/>
    <mergeCell ref="Y33:Y38"/>
    <mergeCell ref="AD33:AD47"/>
    <mergeCell ref="AF33:AF47"/>
    <mergeCell ref="AH33:AH47"/>
    <mergeCell ref="AJ33:AJ47"/>
    <mergeCell ref="AP33:AP38"/>
    <mergeCell ref="AR33:AR38"/>
    <mergeCell ref="AT33:AT38"/>
    <mergeCell ref="AV33:AV35"/>
    <mergeCell ref="AX33:AX38"/>
    <mergeCell ref="AZ33:AZ38"/>
    <mergeCell ref="BE38:CB44"/>
    <mergeCell ref="O41:O46"/>
    <mergeCell ref="Q41:Q46"/>
    <mergeCell ref="S41:S46"/>
    <mergeCell ref="U41:U43"/>
    <mergeCell ref="W41:W46"/>
    <mergeCell ref="Y41:Y46"/>
    <mergeCell ref="AP41:AP46"/>
    <mergeCell ref="AR41:AR46"/>
    <mergeCell ref="AT41:AT46"/>
    <mergeCell ref="AV41:AV43"/>
    <mergeCell ref="AX41:AX46"/>
    <mergeCell ref="AZ41:AZ46"/>
    <mergeCell ref="BE45:CB48"/>
    <mergeCell ref="C49:C63"/>
    <mergeCell ref="E49:E63"/>
    <mergeCell ref="G49:G63"/>
    <mergeCell ref="I49:I63"/>
    <mergeCell ref="O49:O54"/>
    <mergeCell ref="Q49:Q54"/>
    <mergeCell ref="S49:S54"/>
    <mergeCell ref="U49:U51"/>
    <mergeCell ref="W49:W54"/>
    <mergeCell ref="Y49:Y54"/>
    <mergeCell ref="AD49:AD63"/>
    <mergeCell ref="AF49:AF63"/>
    <mergeCell ref="AH49:AH63"/>
    <mergeCell ref="AJ49:AJ63"/>
    <mergeCell ref="AP49:AP54"/>
    <mergeCell ref="AR49:AR54"/>
    <mergeCell ref="AT49:AT54"/>
    <mergeCell ref="AV49:AV51"/>
    <mergeCell ref="AX49:AX54"/>
    <mergeCell ref="AZ49:AZ54"/>
    <mergeCell ref="O57:O62"/>
    <mergeCell ref="Q57:Q62"/>
    <mergeCell ref="S57:S62"/>
    <mergeCell ref="U57:U59"/>
    <mergeCell ref="W57:W62"/>
    <mergeCell ref="Y57:Y62"/>
    <mergeCell ref="AP57:AP62"/>
    <mergeCell ref="AR57:AR62"/>
    <mergeCell ref="AT57:AT62"/>
    <mergeCell ref="AV57:AV59"/>
    <mergeCell ref="AX57:AX62"/>
    <mergeCell ref="AZ57:AZ62"/>
    <mergeCell ref="C65:C79"/>
    <mergeCell ref="E65:E79"/>
    <mergeCell ref="G65:G79"/>
    <mergeCell ref="I65:I79"/>
    <mergeCell ref="O65:S70"/>
    <mergeCell ref="U65:U67"/>
    <mergeCell ref="W65:W70"/>
    <mergeCell ref="Y65:Y70"/>
    <mergeCell ref="AD65:AD79"/>
    <mergeCell ref="AF65:AF79"/>
    <mergeCell ref="AH65:AH79"/>
    <mergeCell ref="AJ65:AJ79"/>
    <mergeCell ref="AP65:AT70"/>
    <mergeCell ref="AV65:AV67"/>
    <mergeCell ref="AX65:AX70"/>
    <mergeCell ref="AZ65:AZ70"/>
    <mergeCell ref="O73:S78"/>
    <mergeCell ref="U73:U75"/>
    <mergeCell ref="W73:W78"/>
    <mergeCell ref="Y73:Y78"/>
    <mergeCell ref="AP73:AT78"/>
    <mergeCell ref="AV73:AV75"/>
    <mergeCell ref="AX73:AX78"/>
    <mergeCell ref="AZ73:AZ78"/>
    <mergeCell ref="C81:C95"/>
    <mergeCell ref="E81:E95"/>
    <mergeCell ref="G81:G95"/>
    <mergeCell ref="I81:I95"/>
    <mergeCell ref="O81:U86"/>
    <mergeCell ref="W81:W86"/>
    <mergeCell ref="Y81:Y86"/>
    <mergeCell ref="AD81:AD95"/>
    <mergeCell ref="AF81:AF95"/>
    <mergeCell ref="AH81:AH95"/>
    <mergeCell ref="AJ81:AJ95"/>
    <mergeCell ref="AP81:AV86"/>
    <mergeCell ref="AX81:AX86"/>
    <mergeCell ref="AZ81:AZ86"/>
    <mergeCell ref="O89:U94"/>
    <mergeCell ref="W89:W94"/>
    <mergeCell ref="Y89:Y94"/>
    <mergeCell ref="AP89:AV94"/>
    <mergeCell ref="AX89:AX94"/>
    <mergeCell ref="AZ89:AZ94"/>
    <mergeCell ref="C97:C111"/>
    <mergeCell ref="E97:E111"/>
    <mergeCell ref="G97:G111"/>
    <mergeCell ref="I97:I111"/>
    <mergeCell ref="O97:U102"/>
    <mergeCell ref="AD97:AD111"/>
    <mergeCell ref="AF97:AF111"/>
    <mergeCell ref="AH97:AH111"/>
    <mergeCell ref="AJ97:AJ111"/>
    <mergeCell ref="AP97:AV102"/>
    <mergeCell ref="O105:U110"/>
    <mergeCell ref="AP105:AV110"/>
    <mergeCell ref="C113:C119"/>
    <mergeCell ref="E113:E119"/>
    <mergeCell ref="G113:G119"/>
    <mergeCell ref="I113:I119"/>
    <mergeCell ref="K113:S119"/>
    <mergeCell ref="AD113:AD119"/>
    <mergeCell ref="AF113:AF119"/>
    <mergeCell ref="AH113:AH119"/>
    <mergeCell ref="AJ113:AJ119"/>
    <mergeCell ref="AL113:AT119"/>
    <mergeCell ref="C121:C128"/>
    <mergeCell ref="E121:E128"/>
    <mergeCell ref="G121:G128"/>
    <mergeCell ref="AD121:AD128"/>
    <mergeCell ref="AF121:AF128"/>
    <mergeCell ref="AH121:AH128"/>
    <mergeCell ref="C130:Y130"/>
    <mergeCell ref="AD130:AZ130"/>
    <mergeCell ref="BE130:CC130"/>
    <mergeCell ref="D131:M131"/>
    <mergeCell ref="N131:Y131"/>
    <mergeCell ref="AE131:AN131"/>
    <mergeCell ref="AO131:AZ131"/>
    <mergeCell ref="BF131:BO131"/>
    <mergeCell ref="BP131:CC131"/>
    <mergeCell ref="D132:M132"/>
    <mergeCell ref="N132:Y132"/>
    <mergeCell ref="AE132:AN132"/>
    <mergeCell ref="AO132:AZ132"/>
    <mergeCell ref="BF132:BO132"/>
    <mergeCell ref="BP132:CC132"/>
    <mergeCell ref="D133:M133"/>
    <mergeCell ref="N133:Y133"/>
    <mergeCell ref="AE133:AN133"/>
    <mergeCell ref="AO133:AZ133"/>
    <mergeCell ref="BF133:BO133"/>
    <mergeCell ref="BP133:CC133"/>
    <mergeCell ref="D134:M134"/>
    <mergeCell ref="N134:Y134"/>
    <mergeCell ref="AE134:AN134"/>
    <mergeCell ref="AO134:AZ134"/>
    <mergeCell ref="BF134:BO134"/>
    <mergeCell ref="BP134:CC134"/>
    <mergeCell ref="D135:M135"/>
    <mergeCell ref="N135:Y135"/>
    <mergeCell ref="AE135:AN135"/>
    <mergeCell ref="AO135:AZ135"/>
    <mergeCell ref="BF135:BO135"/>
    <mergeCell ref="BP135:CC135"/>
    <mergeCell ref="D136:M136"/>
    <mergeCell ref="N136:Y136"/>
    <mergeCell ref="AE136:AN136"/>
    <mergeCell ref="AO136:AZ136"/>
    <mergeCell ref="BF136:BO136"/>
    <mergeCell ref="BP136:CC136"/>
    <mergeCell ref="D137:M137"/>
    <mergeCell ref="N137:Y137"/>
    <mergeCell ref="AE137:AN137"/>
    <mergeCell ref="AO137:AZ137"/>
    <mergeCell ref="BF137:BO137"/>
    <mergeCell ref="BP137:CC137"/>
    <mergeCell ref="D138:M138"/>
    <mergeCell ref="N138:Y138"/>
    <mergeCell ref="AE138:AN138"/>
    <mergeCell ref="AO138:AZ138"/>
    <mergeCell ref="BF138:BO138"/>
    <mergeCell ref="BP138:CC138"/>
    <mergeCell ref="D139:M139"/>
    <mergeCell ref="N139:Y139"/>
    <mergeCell ref="AE139:AN139"/>
    <mergeCell ref="AO139:AZ139"/>
    <mergeCell ref="BF139:BO139"/>
    <mergeCell ref="BP139:CC139"/>
    <mergeCell ref="D140:M140"/>
    <mergeCell ref="N140:Y140"/>
    <mergeCell ref="AE140:AN140"/>
    <mergeCell ref="AO140:AZ140"/>
    <mergeCell ref="BF140:BO140"/>
    <mergeCell ref="BP140:CC140"/>
    <mergeCell ref="D141:M141"/>
    <mergeCell ref="N141:Y141"/>
    <mergeCell ref="AE141:AN141"/>
    <mergeCell ref="AO141:AZ141"/>
    <mergeCell ref="BF141:BO141"/>
    <mergeCell ref="BP141:CC141"/>
    <mergeCell ref="D142:M142"/>
    <mergeCell ref="N142:Y142"/>
    <mergeCell ref="AE142:AN142"/>
    <mergeCell ref="AO142:AZ142"/>
    <mergeCell ref="BF142:BO142"/>
    <mergeCell ref="BP142:CC142"/>
    <mergeCell ref="D143:M143"/>
    <mergeCell ref="N143:Y143"/>
    <mergeCell ref="AE143:AN143"/>
    <mergeCell ref="AO143:AZ143"/>
    <mergeCell ref="BF143:BO143"/>
    <mergeCell ref="BP143:CC143"/>
    <mergeCell ref="D144:M144"/>
    <mergeCell ref="N144:Y144"/>
    <mergeCell ref="AE144:AN144"/>
    <mergeCell ref="AO144:AZ144"/>
    <mergeCell ref="BF144:BO144"/>
    <mergeCell ref="BP144:CC144"/>
    <mergeCell ref="D145:M145"/>
    <mergeCell ref="N145:Y145"/>
    <mergeCell ref="AE145:AN145"/>
    <mergeCell ref="AO145:AZ145"/>
    <mergeCell ref="BF145:BO145"/>
    <mergeCell ref="BP145:CC145"/>
    <mergeCell ref="D146:M146"/>
    <mergeCell ref="N146:Y146"/>
    <mergeCell ref="AE146:AN146"/>
    <mergeCell ref="AO146:AZ146"/>
    <mergeCell ref="BF146:BO146"/>
    <mergeCell ref="BP146:CC146"/>
  </mergeCells>
  <printOptions headings="false" gridLines="false" gridLinesSet="true" horizontalCentered="false" verticalCentered="false"/>
  <pageMargins left="0.275694444444444" right="0.275694444444444" top="0.275694444444444" bottom="0.275694444444444" header="0.118055555555556" footer="0.11805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&amp;C&amp;"Calibri,Bold"&amp;14Cálculo de Ação Crefaz</oddHeader>
    <oddFooter>&amp;RPágina &amp;P de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L171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3" activeCellId="0" sqref="C3"/>
    </sheetView>
  </sheetViews>
  <sheetFormatPr defaultColWidth="0.71484375" defaultRowHeight="13.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1"/>
    <col collapsed="false" customWidth="true" hidden="false" outlineLevel="0" max="3" min="3" style="1" width="17.42"/>
    <col collapsed="false" customWidth="true" hidden="false" outlineLevel="0" max="6" min="4" style="1" width="1"/>
    <col collapsed="false" customWidth="true" hidden="false" outlineLevel="0" max="7" min="7" style="1" width="10.42"/>
    <col collapsed="false" customWidth="false" hidden="false" outlineLevel="0" max="8" min="8" style="1" width="0.71"/>
    <col collapsed="false" customWidth="true" hidden="false" outlineLevel="0" max="9" min="9" style="1" width="1.57"/>
    <col collapsed="false" customWidth="false" hidden="false" outlineLevel="0" max="11" min="10" style="1" width="0.71"/>
    <col collapsed="false" customWidth="true" hidden="false" outlineLevel="0" max="12" min="12" style="1" width="3.29"/>
    <col collapsed="false" customWidth="false" hidden="false" outlineLevel="0" max="14" min="13" style="1" width="0.71"/>
    <col collapsed="false" customWidth="true" hidden="false" outlineLevel="0" max="15" min="15" style="1" width="2.15"/>
    <col collapsed="false" customWidth="false" hidden="false" outlineLevel="0" max="16" min="16" style="1" width="0.71"/>
    <col collapsed="false" customWidth="true" hidden="false" outlineLevel="0" max="17" min="17" style="1" width="1.57"/>
    <col collapsed="false" customWidth="false" hidden="false" outlineLevel="0" max="18" min="18" style="1" width="0.71"/>
    <col collapsed="false" customWidth="true" hidden="false" outlineLevel="0" max="19" min="19" style="1" width="6"/>
    <col collapsed="false" customWidth="false" hidden="false" outlineLevel="0" max="20" min="20" style="1" width="0.71"/>
    <col collapsed="false" customWidth="true" hidden="false" outlineLevel="0" max="21" min="21" style="1" width="2.42"/>
    <col collapsed="false" customWidth="false" hidden="false" outlineLevel="0" max="22" min="22" style="1" width="0.71"/>
    <col collapsed="false" customWidth="true" hidden="false" outlineLevel="0" max="23" min="23" style="1" width="1.57"/>
    <col collapsed="false" customWidth="false" hidden="false" outlineLevel="0" max="24" min="24" style="1" width="0.71"/>
    <col collapsed="false" customWidth="true" hidden="false" outlineLevel="0" max="25" min="25" style="1" width="6.14"/>
    <col collapsed="false" customWidth="false" hidden="false" outlineLevel="0" max="28" min="26" style="1" width="0.71"/>
    <col collapsed="false" customWidth="true" hidden="false" outlineLevel="0" max="29" min="29" style="1" width="1.57"/>
    <col collapsed="false" customWidth="true" hidden="false" outlineLevel="0" max="30" min="30" style="1" width="12.71"/>
    <col collapsed="false" customWidth="false" hidden="false" outlineLevel="0" max="31" min="31" style="1" width="0.71"/>
    <col collapsed="false" customWidth="true" hidden="false" outlineLevel="0" max="32" min="32" style="1" width="2.29"/>
    <col collapsed="false" customWidth="false" hidden="false" outlineLevel="0" max="33" min="33" style="1" width="0.71"/>
    <col collapsed="false" customWidth="true" hidden="false" outlineLevel="0" max="34" min="34" style="1" width="13.57"/>
    <col collapsed="false" customWidth="false" hidden="false" outlineLevel="0" max="35" min="35" style="1" width="0.71"/>
    <col collapsed="false" customWidth="true" hidden="false" outlineLevel="0" max="36" min="36" style="1" width="1.57"/>
    <col collapsed="false" customWidth="false" hidden="false" outlineLevel="0" max="41" min="37" style="1" width="0.71"/>
    <col collapsed="false" customWidth="true" hidden="false" outlineLevel="0" max="42" min="42" style="1" width="2.15"/>
    <col collapsed="false" customWidth="false" hidden="false" outlineLevel="0" max="43" min="43" style="1" width="0.71"/>
    <col collapsed="false" customWidth="true" hidden="false" outlineLevel="0" max="44" min="44" style="1" width="1.57"/>
    <col collapsed="false" customWidth="false" hidden="false" outlineLevel="0" max="45" min="45" style="1" width="0.71"/>
    <col collapsed="false" customWidth="true" hidden="false" outlineLevel="0" max="46" min="46" style="1" width="5.86"/>
    <col collapsed="false" customWidth="false" hidden="false" outlineLevel="0" max="47" min="47" style="1" width="0.71"/>
    <col collapsed="false" customWidth="true" hidden="false" outlineLevel="0" max="48" min="48" style="1" width="2.29"/>
    <col collapsed="false" customWidth="false" hidden="false" outlineLevel="0" max="49" min="49" style="1" width="0.71"/>
    <col collapsed="false" customWidth="true" hidden="false" outlineLevel="0" max="50" min="50" style="1" width="1.57"/>
    <col collapsed="false" customWidth="false" hidden="false" outlineLevel="0" max="51" min="51" style="1" width="0.71"/>
    <col collapsed="false" customWidth="true" hidden="false" outlineLevel="0" max="52" min="52" style="1" width="5.86"/>
    <col collapsed="false" customWidth="false" hidden="false" outlineLevel="0" max="56" min="53" style="1" width="0.71"/>
    <col collapsed="false" customWidth="true" hidden="false" outlineLevel="0" max="57" min="57" style="1" width="21"/>
    <col collapsed="false" customWidth="false" hidden="true" outlineLevel="0" max="58" min="58" style="1" width="0.71"/>
    <col collapsed="false" customWidth="true" hidden="false" outlineLevel="0" max="59" min="59" style="1" width="2.29"/>
    <col collapsed="false" customWidth="true" hidden="false" outlineLevel="0" max="60" min="60" style="1" width="4.42"/>
    <col collapsed="false" customWidth="true" hidden="false" outlineLevel="0" max="61" min="61" style="1" width="1.71"/>
    <col collapsed="false" customWidth="true" hidden="true" outlineLevel="0" max="62" min="62" style="1" width="7.42"/>
    <col collapsed="false" customWidth="true" hidden="false" outlineLevel="0" max="63" min="63" style="1" width="2.15"/>
    <col collapsed="false" customWidth="true" hidden="false" outlineLevel="0" max="64" min="64" style="1" width="4.57"/>
    <col collapsed="false" customWidth="false" hidden="false" outlineLevel="0" max="65" min="65" style="1" width="0.71"/>
    <col collapsed="false" customWidth="true" hidden="false" outlineLevel="0" max="66" min="66" style="1" width="1.57"/>
    <col collapsed="false" customWidth="false" hidden="false" outlineLevel="0" max="71" min="67" style="1" width="0.71"/>
    <col collapsed="false" customWidth="true" hidden="false" outlineLevel="0" max="72" min="72" style="1" width="2.15"/>
    <col collapsed="false" customWidth="false" hidden="false" outlineLevel="0" max="73" min="73" style="1" width="0.71"/>
    <col collapsed="false" customWidth="true" hidden="false" outlineLevel="0" max="74" min="74" style="1" width="1.57"/>
    <col collapsed="false" customWidth="false" hidden="false" outlineLevel="0" max="75" min="75" style="1" width="0.71"/>
    <col collapsed="false" customWidth="true" hidden="false" outlineLevel="0" max="76" min="76" style="1" width="4.42"/>
    <col collapsed="false" customWidth="false" hidden="false" outlineLevel="0" max="77" min="77" style="1" width="0.71"/>
    <col collapsed="false" customWidth="true" hidden="false" outlineLevel="0" max="78" min="78" style="1" width="4"/>
    <col collapsed="false" customWidth="false" hidden="false" outlineLevel="0" max="79" min="79" style="1" width="0.71"/>
    <col collapsed="false" customWidth="true" hidden="false" outlineLevel="0" max="80" min="80" style="1" width="1.57"/>
    <col collapsed="false" customWidth="false" hidden="false" outlineLevel="0" max="81" min="81" style="1" width="0.71"/>
    <col collapsed="false" customWidth="true" hidden="false" outlineLevel="0" max="82" min="82" style="1" width="10"/>
    <col collapsed="false" customWidth="true" hidden="false" outlineLevel="0" max="83" min="83" style="2" width="12.57"/>
    <col collapsed="false" customWidth="false" hidden="false" outlineLevel="0" max="86" min="84" style="1" width="0.71"/>
    <col collapsed="false" customWidth="true" hidden="false" outlineLevel="0" max="87" min="87" style="3" width="12.42"/>
    <col collapsed="false" customWidth="true" hidden="false" outlineLevel="0" max="88" min="88" style="1" width="6.29"/>
    <col collapsed="false" customWidth="true" hidden="false" outlineLevel="0" max="89" min="89" style="2" width="12.57"/>
    <col collapsed="false" customWidth="true" hidden="false" outlineLevel="0" max="90" min="90" style="3" width="13.29"/>
    <col collapsed="false" customWidth="false" hidden="false" outlineLevel="0" max="303" min="91" style="1" width="0.71"/>
    <col collapsed="false" customWidth="true" hidden="false" outlineLevel="0" max="304" min="304" style="1" width="3.42"/>
    <col collapsed="false" customWidth="true" hidden="false" outlineLevel="0" max="305" min="305" style="1" width="2.42"/>
    <col collapsed="false" customWidth="true" hidden="false" outlineLevel="0" max="306" min="306" style="1" width="7"/>
    <col collapsed="false" customWidth="false" hidden="false" outlineLevel="0" max="307" min="307" style="1" width="0.71"/>
    <col collapsed="false" customWidth="true" hidden="false" outlineLevel="0" max="308" min="308" style="1" width="1.57"/>
    <col collapsed="false" customWidth="false" hidden="false" outlineLevel="0" max="309" min="309" style="1" width="0.71"/>
    <col collapsed="false" customWidth="true" hidden="false" outlineLevel="0" max="310" min="310" style="1" width="11.29"/>
    <col collapsed="false" customWidth="false" hidden="false" outlineLevel="0" max="311" min="311" style="1" width="0.71"/>
    <col collapsed="false" customWidth="true" hidden="false" outlineLevel="0" max="312" min="312" style="1" width="1.57"/>
    <col collapsed="false" customWidth="false" hidden="false" outlineLevel="0" max="317" min="313" style="1" width="0.71"/>
    <col collapsed="false" customWidth="true" hidden="false" outlineLevel="0" max="318" min="318" style="1" width="2.15"/>
    <col collapsed="false" customWidth="false" hidden="false" outlineLevel="0" max="319" min="319" style="1" width="0.71"/>
    <col collapsed="false" customWidth="true" hidden="false" outlineLevel="0" max="320" min="320" style="1" width="1.57"/>
    <col collapsed="false" customWidth="false" hidden="false" outlineLevel="0" max="321" min="321" style="1" width="0.71"/>
    <col collapsed="false" customWidth="true" hidden="false" outlineLevel="0" max="322" min="322" style="1" width="7"/>
    <col collapsed="false" customWidth="false" hidden="false" outlineLevel="0" max="323" min="323" style="1" width="0.71"/>
    <col collapsed="false" customWidth="true" hidden="false" outlineLevel="0" max="324" min="324" style="1" width="4"/>
    <col collapsed="false" customWidth="false" hidden="false" outlineLevel="0" max="325" min="325" style="1" width="0.71"/>
    <col collapsed="false" customWidth="true" hidden="false" outlineLevel="0" max="326" min="326" style="1" width="1.57"/>
    <col collapsed="false" customWidth="false" hidden="false" outlineLevel="0" max="327" min="327" style="1" width="0.71"/>
    <col collapsed="false" customWidth="true" hidden="false" outlineLevel="0" max="328" min="328" style="1" width="7"/>
    <col collapsed="false" customWidth="false" hidden="false" outlineLevel="0" max="331" min="329" style="1" width="0.71"/>
    <col collapsed="false" customWidth="true" hidden="false" outlineLevel="0" max="332" min="332" style="1" width="2.42"/>
    <col collapsed="false" customWidth="false" hidden="false" outlineLevel="0" max="338" min="333" style="1" width="0.71"/>
    <col collapsed="false" customWidth="true" hidden="false" outlineLevel="0" max="339" min="339" style="1" width="16.57"/>
    <col collapsed="false" customWidth="false" hidden="false" outlineLevel="0" max="342" min="340" style="1" width="0.71"/>
    <col collapsed="false" customWidth="true" hidden="false" outlineLevel="0" max="343" min="343" style="1" width="9.86"/>
    <col collapsed="false" customWidth="true" hidden="false" outlineLevel="0" max="346" min="344" style="1" width="9.29"/>
    <col collapsed="false" customWidth="false" hidden="false" outlineLevel="0" max="559" min="347" style="1" width="0.71"/>
    <col collapsed="false" customWidth="true" hidden="false" outlineLevel="0" max="560" min="560" style="1" width="3.42"/>
    <col collapsed="false" customWidth="true" hidden="false" outlineLevel="0" max="561" min="561" style="1" width="2.42"/>
    <col collapsed="false" customWidth="true" hidden="false" outlineLevel="0" max="562" min="562" style="1" width="7"/>
    <col collapsed="false" customWidth="false" hidden="false" outlineLevel="0" max="563" min="563" style="1" width="0.71"/>
    <col collapsed="false" customWidth="true" hidden="false" outlineLevel="0" max="564" min="564" style="1" width="1.57"/>
    <col collapsed="false" customWidth="false" hidden="false" outlineLevel="0" max="565" min="565" style="1" width="0.71"/>
    <col collapsed="false" customWidth="true" hidden="false" outlineLevel="0" max="566" min="566" style="1" width="11.29"/>
    <col collapsed="false" customWidth="false" hidden="false" outlineLevel="0" max="567" min="567" style="1" width="0.71"/>
    <col collapsed="false" customWidth="true" hidden="false" outlineLevel="0" max="568" min="568" style="1" width="1.57"/>
    <col collapsed="false" customWidth="false" hidden="false" outlineLevel="0" max="573" min="569" style="1" width="0.71"/>
    <col collapsed="false" customWidth="true" hidden="false" outlineLevel="0" max="574" min="574" style="1" width="2.15"/>
    <col collapsed="false" customWidth="false" hidden="false" outlineLevel="0" max="575" min="575" style="1" width="0.71"/>
    <col collapsed="false" customWidth="true" hidden="false" outlineLevel="0" max="576" min="576" style="1" width="1.57"/>
    <col collapsed="false" customWidth="false" hidden="false" outlineLevel="0" max="577" min="577" style="1" width="0.71"/>
    <col collapsed="false" customWidth="true" hidden="false" outlineLevel="0" max="578" min="578" style="1" width="7"/>
    <col collapsed="false" customWidth="false" hidden="false" outlineLevel="0" max="579" min="579" style="1" width="0.71"/>
    <col collapsed="false" customWidth="true" hidden="false" outlineLevel="0" max="580" min="580" style="1" width="4"/>
    <col collapsed="false" customWidth="false" hidden="false" outlineLevel="0" max="581" min="581" style="1" width="0.71"/>
    <col collapsed="false" customWidth="true" hidden="false" outlineLevel="0" max="582" min="582" style="1" width="1.57"/>
    <col collapsed="false" customWidth="false" hidden="false" outlineLevel="0" max="583" min="583" style="1" width="0.71"/>
    <col collapsed="false" customWidth="true" hidden="false" outlineLevel="0" max="584" min="584" style="1" width="7"/>
    <col collapsed="false" customWidth="false" hidden="false" outlineLevel="0" max="587" min="585" style="1" width="0.71"/>
    <col collapsed="false" customWidth="true" hidden="false" outlineLevel="0" max="588" min="588" style="1" width="2.42"/>
    <col collapsed="false" customWidth="false" hidden="false" outlineLevel="0" max="594" min="589" style="1" width="0.71"/>
    <col collapsed="false" customWidth="true" hidden="false" outlineLevel="0" max="595" min="595" style="1" width="16.57"/>
    <col collapsed="false" customWidth="false" hidden="false" outlineLevel="0" max="598" min="596" style="1" width="0.71"/>
    <col collapsed="false" customWidth="true" hidden="false" outlineLevel="0" max="599" min="599" style="1" width="9.86"/>
    <col collapsed="false" customWidth="true" hidden="false" outlineLevel="0" max="602" min="600" style="1" width="9.29"/>
    <col collapsed="false" customWidth="false" hidden="false" outlineLevel="0" max="815" min="603" style="1" width="0.71"/>
    <col collapsed="false" customWidth="true" hidden="false" outlineLevel="0" max="816" min="816" style="1" width="3.42"/>
    <col collapsed="false" customWidth="true" hidden="false" outlineLevel="0" max="817" min="817" style="1" width="2.42"/>
    <col collapsed="false" customWidth="true" hidden="false" outlineLevel="0" max="818" min="818" style="1" width="7"/>
    <col collapsed="false" customWidth="false" hidden="false" outlineLevel="0" max="819" min="819" style="1" width="0.71"/>
    <col collapsed="false" customWidth="true" hidden="false" outlineLevel="0" max="820" min="820" style="1" width="1.57"/>
    <col collapsed="false" customWidth="false" hidden="false" outlineLevel="0" max="821" min="821" style="1" width="0.71"/>
    <col collapsed="false" customWidth="true" hidden="false" outlineLevel="0" max="822" min="822" style="1" width="11.29"/>
    <col collapsed="false" customWidth="false" hidden="false" outlineLevel="0" max="823" min="823" style="1" width="0.71"/>
    <col collapsed="false" customWidth="true" hidden="false" outlineLevel="0" max="824" min="824" style="1" width="1.57"/>
    <col collapsed="false" customWidth="false" hidden="false" outlineLevel="0" max="829" min="825" style="1" width="0.71"/>
    <col collapsed="false" customWidth="true" hidden="false" outlineLevel="0" max="830" min="830" style="1" width="2.15"/>
    <col collapsed="false" customWidth="false" hidden="false" outlineLevel="0" max="831" min="831" style="1" width="0.71"/>
    <col collapsed="false" customWidth="true" hidden="false" outlineLevel="0" max="832" min="832" style="1" width="1.57"/>
    <col collapsed="false" customWidth="false" hidden="false" outlineLevel="0" max="833" min="833" style="1" width="0.71"/>
    <col collapsed="false" customWidth="true" hidden="false" outlineLevel="0" max="834" min="834" style="1" width="7"/>
    <col collapsed="false" customWidth="false" hidden="false" outlineLevel="0" max="835" min="835" style="1" width="0.71"/>
    <col collapsed="false" customWidth="true" hidden="false" outlineLevel="0" max="836" min="836" style="1" width="4"/>
    <col collapsed="false" customWidth="false" hidden="false" outlineLevel="0" max="837" min="837" style="1" width="0.71"/>
    <col collapsed="false" customWidth="true" hidden="false" outlineLevel="0" max="838" min="838" style="1" width="1.57"/>
    <col collapsed="false" customWidth="false" hidden="false" outlineLevel="0" max="839" min="839" style="1" width="0.71"/>
    <col collapsed="false" customWidth="true" hidden="false" outlineLevel="0" max="840" min="840" style="1" width="7"/>
    <col collapsed="false" customWidth="false" hidden="false" outlineLevel="0" max="843" min="841" style="1" width="0.71"/>
    <col collapsed="false" customWidth="true" hidden="false" outlineLevel="0" max="844" min="844" style="1" width="2.42"/>
    <col collapsed="false" customWidth="false" hidden="false" outlineLevel="0" max="850" min="845" style="1" width="0.71"/>
    <col collapsed="false" customWidth="true" hidden="false" outlineLevel="0" max="851" min="851" style="1" width="16.57"/>
    <col collapsed="false" customWidth="false" hidden="false" outlineLevel="0" max="854" min="852" style="1" width="0.71"/>
    <col collapsed="false" customWidth="true" hidden="false" outlineLevel="0" max="855" min="855" style="1" width="9.86"/>
    <col collapsed="false" customWidth="true" hidden="false" outlineLevel="0" max="858" min="856" style="1" width="9.29"/>
    <col collapsed="false" customWidth="false" hidden="false" outlineLevel="0" max="1071" min="859" style="1" width="0.71"/>
    <col collapsed="false" customWidth="true" hidden="false" outlineLevel="0" max="1072" min="1072" style="1" width="3.42"/>
    <col collapsed="false" customWidth="true" hidden="false" outlineLevel="0" max="1073" min="1073" style="1" width="2.42"/>
    <col collapsed="false" customWidth="true" hidden="false" outlineLevel="0" max="1074" min="1074" style="1" width="7"/>
    <col collapsed="false" customWidth="false" hidden="false" outlineLevel="0" max="1075" min="1075" style="1" width="0.71"/>
    <col collapsed="false" customWidth="true" hidden="false" outlineLevel="0" max="1076" min="1076" style="1" width="1.57"/>
    <col collapsed="false" customWidth="false" hidden="false" outlineLevel="0" max="1077" min="1077" style="1" width="0.71"/>
    <col collapsed="false" customWidth="true" hidden="false" outlineLevel="0" max="1078" min="1078" style="1" width="11.29"/>
    <col collapsed="false" customWidth="false" hidden="false" outlineLevel="0" max="1079" min="1079" style="1" width="0.71"/>
    <col collapsed="false" customWidth="true" hidden="false" outlineLevel="0" max="1080" min="1080" style="1" width="1.57"/>
    <col collapsed="false" customWidth="false" hidden="false" outlineLevel="0" max="1085" min="1081" style="1" width="0.71"/>
    <col collapsed="false" customWidth="true" hidden="false" outlineLevel="0" max="1086" min="1086" style="1" width="2.15"/>
    <col collapsed="false" customWidth="false" hidden="false" outlineLevel="0" max="1087" min="1087" style="1" width="0.71"/>
    <col collapsed="false" customWidth="true" hidden="false" outlineLevel="0" max="1088" min="1088" style="1" width="1.57"/>
    <col collapsed="false" customWidth="false" hidden="false" outlineLevel="0" max="1089" min="1089" style="1" width="0.71"/>
    <col collapsed="false" customWidth="true" hidden="false" outlineLevel="0" max="1090" min="1090" style="1" width="7"/>
    <col collapsed="false" customWidth="false" hidden="false" outlineLevel="0" max="1091" min="1091" style="1" width="0.71"/>
    <col collapsed="false" customWidth="true" hidden="false" outlineLevel="0" max="1092" min="1092" style="1" width="4"/>
    <col collapsed="false" customWidth="false" hidden="false" outlineLevel="0" max="1093" min="1093" style="1" width="0.71"/>
    <col collapsed="false" customWidth="true" hidden="false" outlineLevel="0" max="1094" min="1094" style="1" width="1.57"/>
    <col collapsed="false" customWidth="false" hidden="false" outlineLevel="0" max="1095" min="1095" style="1" width="0.71"/>
    <col collapsed="false" customWidth="true" hidden="false" outlineLevel="0" max="1096" min="1096" style="1" width="7"/>
    <col collapsed="false" customWidth="false" hidden="false" outlineLevel="0" max="1099" min="1097" style="1" width="0.71"/>
    <col collapsed="false" customWidth="true" hidden="false" outlineLevel="0" max="1100" min="1100" style="1" width="2.42"/>
    <col collapsed="false" customWidth="false" hidden="false" outlineLevel="0" max="1106" min="1101" style="1" width="0.71"/>
    <col collapsed="false" customWidth="true" hidden="false" outlineLevel="0" max="1107" min="1107" style="1" width="16.57"/>
    <col collapsed="false" customWidth="false" hidden="false" outlineLevel="0" max="1110" min="1108" style="1" width="0.71"/>
    <col collapsed="false" customWidth="true" hidden="false" outlineLevel="0" max="1111" min="1111" style="1" width="9.86"/>
    <col collapsed="false" customWidth="true" hidden="false" outlineLevel="0" max="1114" min="1112" style="1" width="9.29"/>
    <col collapsed="false" customWidth="false" hidden="false" outlineLevel="0" max="1327" min="1115" style="1" width="0.71"/>
    <col collapsed="false" customWidth="true" hidden="false" outlineLevel="0" max="1328" min="1328" style="1" width="3.42"/>
    <col collapsed="false" customWidth="true" hidden="false" outlineLevel="0" max="1329" min="1329" style="1" width="2.42"/>
    <col collapsed="false" customWidth="true" hidden="false" outlineLevel="0" max="1330" min="1330" style="1" width="7"/>
    <col collapsed="false" customWidth="false" hidden="false" outlineLevel="0" max="1331" min="1331" style="1" width="0.71"/>
    <col collapsed="false" customWidth="true" hidden="false" outlineLevel="0" max="1332" min="1332" style="1" width="1.57"/>
    <col collapsed="false" customWidth="false" hidden="false" outlineLevel="0" max="1333" min="1333" style="1" width="0.71"/>
    <col collapsed="false" customWidth="true" hidden="false" outlineLevel="0" max="1334" min="1334" style="1" width="11.29"/>
    <col collapsed="false" customWidth="false" hidden="false" outlineLevel="0" max="1335" min="1335" style="1" width="0.71"/>
    <col collapsed="false" customWidth="true" hidden="false" outlineLevel="0" max="1336" min="1336" style="1" width="1.57"/>
    <col collapsed="false" customWidth="false" hidden="false" outlineLevel="0" max="1341" min="1337" style="1" width="0.71"/>
    <col collapsed="false" customWidth="true" hidden="false" outlineLevel="0" max="1342" min="1342" style="1" width="2.15"/>
    <col collapsed="false" customWidth="false" hidden="false" outlineLevel="0" max="1343" min="1343" style="1" width="0.71"/>
    <col collapsed="false" customWidth="true" hidden="false" outlineLevel="0" max="1344" min="1344" style="1" width="1.57"/>
    <col collapsed="false" customWidth="false" hidden="false" outlineLevel="0" max="1345" min="1345" style="1" width="0.71"/>
    <col collapsed="false" customWidth="true" hidden="false" outlineLevel="0" max="1346" min="1346" style="1" width="7"/>
    <col collapsed="false" customWidth="false" hidden="false" outlineLevel="0" max="1347" min="1347" style="1" width="0.71"/>
    <col collapsed="false" customWidth="true" hidden="false" outlineLevel="0" max="1348" min="1348" style="1" width="4"/>
    <col collapsed="false" customWidth="false" hidden="false" outlineLevel="0" max="1349" min="1349" style="1" width="0.71"/>
    <col collapsed="false" customWidth="true" hidden="false" outlineLevel="0" max="1350" min="1350" style="1" width="1.57"/>
    <col collapsed="false" customWidth="false" hidden="false" outlineLevel="0" max="1351" min="1351" style="1" width="0.71"/>
    <col collapsed="false" customWidth="true" hidden="false" outlineLevel="0" max="1352" min="1352" style="1" width="7"/>
    <col collapsed="false" customWidth="false" hidden="false" outlineLevel="0" max="1355" min="1353" style="1" width="0.71"/>
    <col collapsed="false" customWidth="true" hidden="false" outlineLevel="0" max="1356" min="1356" style="1" width="2.42"/>
    <col collapsed="false" customWidth="false" hidden="false" outlineLevel="0" max="1362" min="1357" style="1" width="0.71"/>
    <col collapsed="false" customWidth="true" hidden="false" outlineLevel="0" max="1363" min="1363" style="1" width="16.57"/>
    <col collapsed="false" customWidth="false" hidden="false" outlineLevel="0" max="1366" min="1364" style="1" width="0.71"/>
    <col collapsed="false" customWidth="true" hidden="false" outlineLevel="0" max="1367" min="1367" style="1" width="9.86"/>
    <col collapsed="false" customWidth="true" hidden="false" outlineLevel="0" max="1370" min="1368" style="1" width="9.29"/>
    <col collapsed="false" customWidth="false" hidden="false" outlineLevel="0" max="1583" min="1371" style="1" width="0.71"/>
    <col collapsed="false" customWidth="true" hidden="false" outlineLevel="0" max="1584" min="1584" style="1" width="3.42"/>
    <col collapsed="false" customWidth="true" hidden="false" outlineLevel="0" max="1585" min="1585" style="1" width="2.42"/>
    <col collapsed="false" customWidth="true" hidden="false" outlineLevel="0" max="1586" min="1586" style="1" width="7"/>
    <col collapsed="false" customWidth="false" hidden="false" outlineLevel="0" max="1587" min="1587" style="1" width="0.71"/>
    <col collapsed="false" customWidth="true" hidden="false" outlineLevel="0" max="1588" min="1588" style="1" width="1.57"/>
    <col collapsed="false" customWidth="false" hidden="false" outlineLevel="0" max="1589" min="1589" style="1" width="0.71"/>
    <col collapsed="false" customWidth="true" hidden="false" outlineLevel="0" max="1590" min="1590" style="1" width="11.29"/>
    <col collapsed="false" customWidth="false" hidden="false" outlineLevel="0" max="1591" min="1591" style="1" width="0.71"/>
    <col collapsed="false" customWidth="true" hidden="false" outlineLevel="0" max="1592" min="1592" style="1" width="1.57"/>
    <col collapsed="false" customWidth="false" hidden="false" outlineLevel="0" max="1597" min="1593" style="1" width="0.71"/>
    <col collapsed="false" customWidth="true" hidden="false" outlineLevel="0" max="1598" min="1598" style="1" width="2.15"/>
    <col collapsed="false" customWidth="false" hidden="false" outlineLevel="0" max="1599" min="1599" style="1" width="0.71"/>
    <col collapsed="false" customWidth="true" hidden="false" outlineLevel="0" max="1600" min="1600" style="1" width="1.57"/>
    <col collapsed="false" customWidth="false" hidden="false" outlineLevel="0" max="1601" min="1601" style="1" width="0.71"/>
    <col collapsed="false" customWidth="true" hidden="false" outlineLevel="0" max="1602" min="1602" style="1" width="7"/>
    <col collapsed="false" customWidth="false" hidden="false" outlineLevel="0" max="1603" min="1603" style="1" width="0.71"/>
    <col collapsed="false" customWidth="true" hidden="false" outlineLevel="0" max="1604" min="1604" style="1" width="4"/>
    <col collapsed="false" customWidth="false" hidden="false" outlineLevel="0" max="1605" min="1605" style="1" width="0.71"/>
    <col collapsed="false" customWidth="true" hidden="false" outlineLevel="0" max="1606" min="1606" style="1" width="1.57"/>
    <col collapsed="false" customWidth="false" hidden="false" outlineLevel="0" max="1607" min="1607" style="1" width="0.71"/>
    <col collapsed="false" customWidth="true" hidden="false" outlineLevel="0" max="1608" min="1608" style="1" width="7"/>
    <col collapsed="false" customWidth="false" hidden="false" outlineLevel="0" max="1611" min="1609" style="1" width="0.71"/>
    <col collapsed="false" customWidth="true" hidden="false" outlineLevel="0" max="1612" min="1612" style="1" width="2.42"/>
    <col collapsed="false" customWidth="false" hidden="false" outlineLevel="0" max="1618" min="1613" style="1" width="0.71"/>
    <col collapsed="false" customWidth="true" hidden="false" outlineLevel="0" max="1619" min="1619" style="1" width="16.57"/>
    <col collapsed="false" customWidth="false" hidden="false" outlineLevel="0" max="1622" min="1620" style="1" width="0.71"/>
    <col collapsed="false" customWidth="true" hidden="false" outlineLevel="0" max="1623" min="1623" style="1" width="9.86"/>
    <col collapsed="false" customWidth="true" hidden="false" outlineLevel="0" max="1626" min="1624" style="1" width="9.29"/>
    <col collapsed="false" customWidth="false" hidden="false" outlineLevel="0" max="1839" min="1627" style="1" width="0.71"/>
    <col collapsed="false" customWidth="true" hidden="false" outlineLevel="0" max="1840" min="1840" style="1" width="3.42"/>
    <col collapsed="false" customWidth="true" hidden="false" outlineLevel="0" max="1841" min="1841" style="1" width="2.42"/>
    <col collapsed="false" customWidth="true" hidden="false" outlineLevel="0" max="1842" min="1842" style="1" width="7"/>
    <col collapsed="false" customWidth="false" hidden="false" outlineLevel="0" max="1843" min="1843" style="1" width="0.71"/>
    <col collapsed="false" customWidth="true" hidden="false" outlineLevel="0" max="1844" min="1844" style="1" width="1.57"/>
    <col collapsed="false" customWidth="false" hidden="false" outlineLevel="0" max="1845" min="1845" style="1" width="0.71"/>
    <col collapsed="false" customWidth="true" hidden="false" outlineLevel="0" max="1846" min="1846" style="1" width="11.29"/>
    <col collapsed="false" customWidth="false" hidden="false" outlineLevel="0" max="1847" min="1847" style="1" width="0.71"/>
    <col collapsed="false" customWidth="true" hidden="false" outlineLevel="0" max="1848" min="1848" style="1" width="1.57"/>
    <col collapsed="false" customWidth="false" hidden="false" outlineLevel="0" max="1853" min="1849" style="1" width="0.71"/>
    <col collapsed="false" customWidth="true" hidden="false" outlineLevel="0" max="1854" min="1854" style="1" width="2.15"/>
    <col collapsed="false" customWidth="false" hidden="false" outlineLevel="0" max="1855" min="1855" style="1" width="0.71"/>
    <col collapsed="false" customWidth="true" hidden="false" outlineLevel="0" max="1856" min="1856" style="1" width="1.57"/>
    <col collapsed="false" customWidth="false" hidden="false" outlineLevel="0" max="1857" min="1857" style="1" width="0.71"/>
    <col collapsed="false" customWidth="true" hidden="false" outlineLevel="0" max="1858" min="1858" style="1" width="7"/>
    <col collapsed="false" customWidth="false" hidden="false" outlineLevel="0" max="1859" min="1859" style="1" width="0.71"/>
    <col collapsed="false" customWidth="true" hidden="false" outlineLevel="0" max="1860" min="1860" style="1" width="4"/>
    <col collapsed="false" customWidth="false" hidden="false" outlineLevel="0" max="1861" min="1861" style="1" width="0.71"/>
    <col collapsed="false" customWidth="true" hidden="false" outlineLevel="0" max="1862" min="1862" style="1" width="1.57"/>
    <col collapsed="false" customWidth="false" hidden="false" outlineLevel="0" max="1863" min="1863" style="1" width="0.71"/>
    <col collapsed="false" customWidth="true" hidden="false" outlineLevel="0" max="1864" min="1864" style="1" width="7"/>
    <col collapsed="false" customWidth="false" hidden="false" outlineLevel="0" max="1867" min="1865" style="1" width="0.71"/>
    <col collapsed="false" customWidth="true" hidden="false" outlineLevel="0" max="1868" min="1868" style="1" width="2.42"/>
    <col collapsed="false" customWidth="false" hidden="false" outlineLevel="0" max="1874" min="1869" style="1" width="0.71"/>
    <col collapsed="false" customWidth="true" hidden="false" outlineLevel="0" max="1875" min="1875" style="1" width="16.57"/>
    <col collapsed="false" customWidth="false" hidden="false" outlineLevel="0" max="1878" min="1876" style="1" width="0.71"/>
    <col collapsed="false" customWidth="true" hidden="false" outlineLevel="0" max="1879" min="1879" style="1" width="9.86"/>
    <col collapsed="false" customWidth="true" hidden="false" outlineLevel="0" max="1882" min="1880" style="1" width="9.29"/>
    <col collapsed="false" customWidth="false" hidden="false" outlineLevel="0" max="2095" min="1883" style="1" width="0.71"/>
    <col collapsed="false" customWidth="true" hidden="false" outlineLevel="0" max="2096" min="2096" style="1" width="3.42"/>
    <col collapsed="false" customWidth="true" hidden="false" outlineLevel="0" max="2097" min="2097" style="1" width="2.42"/>
    <col collapsed="false" customWidth="true" hidden="false" outlineLevel="0" max="2098" min="2098" style="1" width="7"/>
    <col collapsed="false" customWidth="false" hidden="false" outlineLevel="0" max="2099" min="2099" style="1" width="0.71"/>
    <col collapsed="false" customWidth="true" hidden="false" outlineLevel="0" max="2100" min="2100" style="1" width="1.57"/>
    <col collapsed="false" customWidth="false" hidden="false" outlineLevel="0" max="2101" min="2101" style="1" width="0.71"/>
    <col collapsed="false" customWidth="true" hidden="false" outlineLevel="0" max="2102" min="2102" style="1" width="11.29"/>
    <col collapsed="false" customWidth="false" hidden="false" outlineLevel="0" max="2103" min="2103" style="1" width="0.71"/>
    <col collapsed="false" customWidth="true" hidden="false" outlineLevel="0" max="2104" min="2104" style="1" width="1.57"/>
    <col collapsed="false" customWidth="false" hidden="false" outlineLevel="0" max="2109" min="2105" style="1" width="0.71"/>
    <col collapsed="false" customWidth="true" hidden="false" outlineLevel="0" max="2110" min="2110" style="1" width="2.15"/>
    <col collapsed="false" customWidth="false" hidden="false" outlineLevel="0" max="2111" min="2111" style="1" width="0.71"/>
    <col collapsed="false" customWidth="true" hidden="false" outlineLevel="0" max="2112" min="2112" style="1" width="1.57"/>
    <col collapsed="false" customWidth="false" hidden="false" outlineLevel="0" max="2113" min="2113" style="1" width="0.71"/>
    <col collapsed="false" customWidth="true" hidden="false" outlineLevel="0" max="2114" min="2114" style="1" width="7"/>
    <col collapsed="false" customWidth="false" hidden="false" outlineLevel="0" max="2115" min="2115" style="1" width="0.71"/>
    <col collapsed="false" customWidth="true" hidden="false" outlineLevel="0" max="2116" min="2116" style="1" width="4"/>
    <col collapsed="false" customWidth="false" hidden="false" outlineLevel="0" max="2117" min="2117" style="1" width="0.71"/>
    <col collapsed="false" customWidth="true" hidden="false" outlineLevel="0" max="2118" min="2118" style="1" width="1.57"/>
    <col collapsed="false" customWidth="false" hidden="false" outlineLevel="0" max="2119" min="2119" style="1" width="0.71"/>
    <col collapsed="false" customWidth="true" hidden="false" outlineLevel="0" max="2120" min="2120" style="1" width="7"/>
    <col collapsed="false" customWidth="false" hidden="false" outlineLevel="0" max="2123" min="2121" style="1" width="0.71"/>
    <col collapsed="false" customWidth="true" hidden="false" outlineLevel="0" max="2124" min="2124" style="1" width="2.42"/>
    <col collapsed="false" customWidth="false" hidden="false" outlineLevel="0" max="2130" min="2125" style="1" width="0.71"/>
    <col collapsed="false" customWidth="true" hidden="false" outlineLevel="0" max="2131" min="2131" style="1" width="16.57"/>
    <col collapsed="false" customWidth="false" hidden="false" outlineLevel="0" max="2134" min="2132" style="1" width="0.71"/>
    <col collapsed="false" customWidth="true" hidden="false" outlineLevel="0" max="2135" min="2135" style="1" width="9.86"/>
    <col collapsed="false" customWidth="true" hidden="false" outlineLevel="0" max="2138" min="2136" style="1" width="9.29"/>
    <col collapsed="false" customWidth="false" hidden="false" outlineLevel="0" max="2351" min="2139" style="1" width="0.71"/>
    <col collapsed="false" customWidth="true" hidden="false" outlineLevel="0" max="2352" min="2352" style="1" width="3.42"/>
    <col collapsed="false" customWidth="true" hidden="false" outlineLevel="0" max="2353" min="2353" style="1" width="2.42"/>
    <col collapsed="false" customWidth="true" hidden="false" outlineLevel="0" max="2354" min="2354" style="1" width="7"/>
    <col collapsed="false" customWidth="false" hidden="false" outlineLevel="0" max="2355" min="2355" style="1" width="0.71"/>
    <col collapsed="false" customWidth="true" hidden="false" outlineLevel="0" max="2356" min="2356" style="1" width="1.57"/>
    <col collapsed="false" customWidth="false" hidden="false" outlineLevel="0" max="2357" min="2357" style="1" width="0.71"/>
    <col collapsed="false" customWidth="true" hidden="false" outlineLevel="0" max="2358" min="2358" style="1" width="11.29"/>
    <col collapsed="false" customWidth="false" hidden="false" outlineLevel="0" max="2359" min="2359" style="1" width="0.71"/>
    <col collapsed="false" customWidth="true" hidden="false" outlineLevel="0" max="2360" min="2360" style="1" width="1.57"/>
    <col collapsed="false" customWidth="false" hidden="false" outlineLevel="0" max="2365" min="2361" style="1" width="0.71"/>
    <col collapsed="false" customWidth="true" hidden="false" outlineLevel="0" max="2366" min="2366" style="1" width="2.15"/>
    <col collapsed="false" customWidth="false" hidden="false" outlineLevel="0" max="2367" min="2367" style="1" width="0.71"/>
    <col collapsed="false" customWidth="true" hidden="false" outlineLevel="0" max="2368" min="2368" style="1" width="1.57"/>
    <col collapsed="false" customWidth="false" hidden="false" outlineLevel="0" max="2369" min="2369" style="1" width="0.71"/>
    <col collapsed="false" customWidth="true" hidden="false" outlineLevel="0" max="2370" min="2370" style="1" width="7"/>
    <col collapsed="false" customWidth="false" hidden="false" outlineLevel="0" max="2371" min="2371" style="1" width="0.71"/>
    <col collapsed="false" customWidth="true" hidden="false" outlineLevel="0" max="2372" min="2372" style="1" width="4"/>
    <col collapsed="false" customWidth="false" hidden="false" outlineLevel="0" max="2373" min="2373" style="1" width="0.71"/>
    <col collapsed="false" customWidth="true" hidden="false" outlineLevel="0" max="2374" min="2374" style="1" width="1.57"/>
    <col collapsed="false" customWidth="false" hidden="false" outlineLevel="0" max="2375" min="2375" style="1" width="0.71"/>
    <col collapsed="false" customWidth="true" hidden="false" outlineLevel="0" max="2376" min="2376" style="1" width="7"/>
    <col collapsed="false" customWidth="false" hidden="false" outlineLevel="0" max="2379" min="2377" style="1" width="0.71"/>
    <col collapsed="false" customWidth="true" hidden="false" outlineLevel="0" max="2380" min="2380" style="1" width="2.42"/>
    <col collapsed="false" customWidth="false" hidden="false" outlineLevel="0" max="2386" min="2381" style="1" width="0.71"/>
    <col collapsed="false" customWidth="true" hidden="false" outlineLevel="0" max="2387" min="2387" style="1" width="16.57"/>
    <col collapsed="false" customWidth="false" hidden="false" outlineLevel="0" max="2390" min="2388" style="1" width="0.71"/>
    <col collapsed="false" customWidth="true" hidden="false" outlineLevel="0" max="2391" min="2391" style="1" width="9.86"/>
    <col collapsed="false" customWidth="true" hidden="false" outlineLevel="0" max="2394" min="2392" style="1" width="9.29"/>
    <col collapsed="false" customWidth="false" hidden="false" outlineLevel="0" max="2607" min="2395" style="1" width="0.71"/>
    <col collapsed="false" customWidth="true" hidden="false" outlineLevel="0" max="2608" min="2608" style="1" width="3.42"/>
    <col collapsed="false" customWidth="true" hidden="false" outlineLevel="0" max="2609" min="2609" style="1" width="2.42"/>
    <col collapsed="false" customWidth="true" hidden="false" outlineLevel="0" max="2610" min="2610" style="1" width="7"/>
    <col collapsed="false" customWidth="false" hidden="false" outlineLevel="0" max="2611" min="2611" style="1" width="0.71"/>
    <col collapsed="false" customWidth="true" hidden="false" outlineLevel="0" max="2612" min="2612" style="1" width="1.57"/>
    <col collapsed="false" customWidth="false" hidden="false" outlineLevel="0" max="2613" min="2613" style="1" width="0.71"/>
    <col collapsed="false" customWidth="true" hidden="false" outlineLevel="0" max="2614" min="2614" style="1" width="11.29"/>
    <col collapsed="false" customWidth="false" hidden="false" outlineLevel="0" max="2615" min="2615" style="1" width="0.71"/>
    <col collapsed="false" customWidth="true" hidden="false" outlineLevel="0" max="2616" min="2616" style="1" width="1.57"/>
    <col collapsed="false" customWidth="false" hidden="false" outlineLevel="0" max="2621" min="2617" style="1" width="0.71"/>
    <col collapsed="false" customWidth="true" hidden="false" outlineLevel="0" max="2622" min="2622" style="1" width="2.15"/>
    <col collapsed="false" customWidth="false" hidden="false" outlineLevel="0" max="2623" min="2623" style="1" width="0.71"/>
    <col collapsed="false" customWidth="true" hidden="false" outlineLevel="0" max="2624" min="2624" style="1" width="1.57"/>
    <col collapsed="false" customWidth="false" hidden="false" outlineLevel="0" max="2625" min="2625" style="1" width="0.71"/>
    <col collapsed="false" customWidth="true" hidden="false" outlineLevel="0" max="2626" min="2626" style="1" width="7"/>
    <col collapsed="false" customWidth="false" hidden="false" outlineLevel="0" max="2627" min="2627" style="1" width="0.71"/>
    <col collapsed="false" customWidth="true" hidden="false" outlineLevel="0" max="2628" min="2628" style="1" width="4"/>
    <col collapsed="false" customWidth="false" hidden="false" outlineLevel="0" max="2629" min="2629" style="1" width="0.71"/>
    <col collapsed="false" customWidth="true" hidden="false" outlineLevel="0" max="2630" min="2630" style="1" width="1.57"/>
    <col collapsed="false" customWidth="false" hidden="false" outlineLevel="0" max="2631" min="2631" style="1" width="0.71"/>
    <col collapsed="false" customWidth="true" hidden="false" outlineLevel="0" max="2632" min="2632" style="1" width="7"/>
    <col collapsed="false" customWidth="false" hidden="false" outlineLevel="0" max="2635" min="2633" style="1" width="0.71"/>
    <col collapsed="false" customWidth="true" hidden="false" outlineLevel="0" max="2636" min="2636" style="1" width="2.42"/>
    <col collapsed="false" customWidth="false" hidden="false" outlineLevel="0" max="2642" min="2637" style="1" width="0.71"/>
    <col collapsed="false" customWidth="true" hidden="false" outlineLevel="0" max="2643" min="2643" style="1" width="16.57"/>
    <col collapsed="false" customWidth="false" hidden="false" outlineLevel="0" max="2646" min="2644" style="1" width="0.71"/>
    <col collapsed="false" customWidth="true" hidden="false" outlineLevel="0" max="2647" min="2647" style="1" width="9.86"/>
    <col collapsed="false" customWidth="true" hidden="false" outlineLevel="0" max="2650" min="2648" style="1" width="9.29"/>
    <col collapsed="false" customWidth="false" hidden="false" outlineLevel="0" max="2863" min="2651" style="1" width="0.71"/>
    <col collapsed="false" customWidth="true" hidden="false" outlineLevel="0" max="2864" min="2864" style="1" width="3.42"/>
    <col collapsed="false" customWidth="true" hidden="false" outlineLevel="0" max="2865" min="2865" style="1" width="2.42"/>
    <col collapsed="false" customWidth="true" hidden="false" outlineLevel="0" max="2866" min="2866" style="1" width="7"/>
    <col collapsed="false" customWidth="false" hidden="false" outlineLevel="0" max="2867" min="2867" style="1" width="0.71"/>
    <col collapsed="false" customWidth="true" hidden="false" outlineLevel="0" max="2868" min="2868" style="1" width="1.57"/>
    <col collapsed="false" customWidth="false" hidden="false" outlineLevel="0" max="2869" min="2869" style="1" width="0.71"/>
    <col collapsed="false" customWidth="true" hidden="false" outlineLevel="0" max="2870" min="2870" style="1" width="11.29"/>
    <col collapsed="false" customWidth="false" hidden="false" outlineLevel="0" max="2871" min="2871" style="1" width="0.71"/>
    <col collapsed="false" customWidth="true" hidden="false" outlineLevel="0" max="2872" min="2872" style="1" width="1.57"/>
    <col collapsed="false" customWidth="false" hidden="false" outlineLevel="0" max="2877" min="2873" style="1" width="0.71"/>
    <col collapsed="false" customWidth="true" hidden="false" outlineLevel="0" max="2878" min="2878" style="1" width="2.15"/>
    <col collapsed="false" customWidth="false" hidden="false" outlineLevel="0" max="2879" min="2879" style="1" width="0.71"/>
    <col collapsed="false" customWidth="true" hidden="false" outlineLevel="0" max="2880" min="2880" style="1" width="1.57"/>
    <col collapsed="false" customWidth="false" hidden="false" outlineLevel="0" max="2881" min="2881" style="1" width="0.71"/>
    <col collapsed="false" customWidth="true" hidden="false" outlineLevel="0" max="2882" min="2882" style="1" width="7"/>
    <col collapsed="false" customWidth="false" hidden="false" outlineLevel="0" max="2883" min="2883" style="1" width="0.71"/>
    <col collapsed="false" customWidth="true" hidden="false" outlineLevel="0" max="2884" min="2884" style="1" width="4"/>
    <col collapsed="false" customWidth="false" hidden="false" outlineLevel="0" max="2885" min="2885" style="1" width="0.71"/>
    <col collapsed="false" customWidth="true" hidden="false" outlineLevel="0" max="2886" min="2886" style="1" width="1.57"/>
    <col collapsed="false" customWidth="false" hidden="false" outlineLevel="0" max="2887" min="2887" style="1" width="0.71"/>
    <col collapsed="false" customWidth="true" hidden="false" outlineLevel="0" max="2888" min="2888" style="1" width="7"/>
    <col collapsed="false" customWidth="false" hidden="false" outlineLevel="0" max="2891" min="2889" style="1" width="0.71"/>
    <col collapsed="false" customWidth="true" hidden="false" outlineLevel="0" max="2892" min="2892" style="1" width="2.42"/>
    <col collapsed="false" customWidth="false" hidden="false" outlineLevel="0" max="2898" min="2893" style="1" width="0.71"/>
    <col collapsed="false" customWidth="true" hidden="false" outlineLevel="0" max="2899" min="2899" style="1" width="16.57"/>
    <col collapsed="false" customWidth="false" hidden="false" outlineLevel="0" max="2902" min="2900" style="1" width="0.71"/>
    <col collapsed="false" customWidth="true" hidden="false" outlineLevel="0" max="2903" min="2903" style="1" width="9.86"/>
    <col collapsed="false" customWidth="true" hidden="false" outlineLevel="0" max="2906" min="2904" style="1" width="9.29"/>
    <col collapsed="false" customWidth="false" hidden="false" outlineLevel="0" max="3119" min="2907" style="1" width="0.71"/>
    <col collapsed="false" customWidth="true" hidden="false" outlineLevel="0" max="3120" min="3120" style="1" width="3.42"/>
    <col collapsed="false" customWidth="true" hidden="false" outlineLevel="0" max="3121" min="3121" style="1" width="2.42"/>
    <col collapsed="false" customWidth="true" hidden="false" outlineLevel="0" max="3122" min="3122" style="1" width="7"/>
    <col collapsed="false" customWidth="false" hidden="false" outlineLevel="0" max="3123" min="3123" style="1" width="0.71"/>
    <col collapsed="false" customWidth="true" hidden="false" outlineLevel="0" max="3124" min="3124" style="1" width="1.57"/>
    <col collapsed="false" customWidth="false" hidden="false" outlineLevel="0" max="3125" min="3125" style="1" width="0.71"/>
    <col collapsed="false" customWidth="true" hidden="false" outlineLevel="0" max="3126" min="3126" style="1" width="11.29"/>
    <col collapsed="false" customWidth="false" hidden="false" outlineLevel="0" max="3127" min="3127" style="1" width="0.71"/>
    <col collapsed="false" customWidth="true" hidden="false" outlineLevel="0" max="3128" min="3128" style="1" width="1.57"/>
    <col collapsed="false" customWidth="false" hidden="false" outlineLevel="0" max="3133" min="3129" style="1" width="0.71"/>
    <col collapsed="false" customWidth="true" hidden="false" outlineLevel="0" max="3134" min="3134" style="1" width="2.15"/>
    <col collapsed="false" customWidth="false" hidden="false" outlineLevel="0" max="3135" min="3135" style="1" width="0.71"/>
    <col collapsed="false" customWidth="true" hidden="false" outlineLevel="0" max="3136" min="3136" style="1" width="1.57"/>
    <col collapsed="false" customWidth="false" hidden="false" outlineLevel="0" max="3137" min="3137" style="1" width="0.71"/>
    <col collapsed="false" customWidth="true" hidden="false" outlineLevel="0" max="3138" min="3138" style="1" width="7"/>
    <col collapsed="false" customWidth="false" hidden="false" outlineLevel="0" max="3139" min="3139" style="1" width="0.71"/>
    <col collapsed="false" customWidth="true" hidden="false" outlineLevel="0" max="3140" min="3140" style="1" width="4"/>
    <col collapsed="false" customWidth="false" hidden="false" outlineLevel="0" max="3141" min="3141" style="1" width="0.71"/>
    <col collapsed="false" customWidth="true" hidden="false" outlineLevel="0" max="3142" min="3142" style="1" width="1.57"/>
    <col collapsed="false" customWidth="false" hidden="false" outlineLevel="0" max="3143" min="3143" style="1" width="0.71"/>
    <col collapsed="false" customWidth="true" hidden="false" outlineLevel="0" max="3144" min="3144" style="1" width="7"/>
    <col collapsed="false" customWidth="false" hidden="false" outlineLevel="0" max="3147" min="3145" style="1" width="0.71"/>
    <col collapsed="false" customWidth="true" hidden="false" outlineLevel="0" max="3148" min="3148" style="1" width="2.42"/>
    <col collapsed="false" customWidth="false" hidden="false" outlineLevel="0" max="3154" min="3149" style="1" width="0.71"/>
    <col collapsed="false" customWidth="true" hidden="false" outlineLevel="0" max="3155" min="3155" style="1" width="16.57"/>
    <col collapsed="false" customWidth="false" hidden="false" outlineLevel="0" max="3158" min="3156" style="1" width="0.71"/>
    <col collapsed="false" customWidth="true" hidden="false" outlineLevel="0" max="3159" min="3159" style="1" width="9.86"/>
    <col collapsed="false" customWidth="true" hidden="false" outlineLevel="0" max="3162" min="3160" style="1" width="9.29"/>
    <col collapsed="false" customWidth="false" hidden="false" outlineLevel="0" max="3375" min="3163" style="1" width="0.71"/>
    <col collapsed="false" customWidth="true" hidden="false" outlineLevel="0" max="3376" min="3376" style="1" width="3.42"/>
    <col collapsed="false" customWidth="true" hidden="false" outlineLevel="0" max="3377" min="3377" style="1" width="2.42"/>
    <col collapsed="false" customWidth="true" hidden="false" outlineLevel="0" max="3378" min="3378" style="1" width="7"/>
    <col collapsed="false" customWidth="false" hidden="false" outlineLevel="0" max="3379" min="3379" style="1" width="0.71"/>
    <col collapsed="false" customWidth="true" hidden="false" outlineLevel="0" max="3380" min="3380" style="1" width="1.57"/>
    <col collapsed="false" customWidth="false" hidden="false" outlineLevel="0" max="3381" min="3381" style="1" width="0.71"/>
    <col collapsed="false" customWidth="true" hidden="false" outlineLevel="0" max="3382" min="3382" style="1" width="11.29"/>
    <col collapsed="false" customWidth="false" hidden="false" outlineLevel="0" max="3383" min="3383" style="1" width="0.71"/>
    <col collapsed="false" customWidth="true" hidden="false" outlineLevel="0" max="3384" min="3384" style="1" width="1.57"/>
    <col collapsed="false" customWidth="false" hidden="false" outlineLevel="0" max="3389" min="3385" style="1" width="0.71"/>
    <col collapsed="false" customWidth="true" hidden="false" outlineLevel="0" max="3390" min="3390" style="1" width="2.15"/>
    <col collapsed="false" customWidth="false" hidden="false" outlineLevel="0" max="3391" min="3391" style="1" width="0.71"/>
    <col collapsed="false" customWidth="true" hidden="false" outlineLevel="0" max="3392" min="3392" style="1" width="1.57"/>
    <col collapsed="false" customWidth="false" hidden="false" outlineLevel="0" max="3393" min="3393" style="1" width="0.71"/>
    <col collapsed="false" customWidth="true" hidden="false" outlineLevel="0" max="3394" min="3394" style="1" width="7"/>
    <col collapsed="false" customWidth="false" hidden="false" outlineLevel="0" max="3395" min="3395" style="1" width="0.71"/>
    <col collapsed="false" customWidth="true" hidden="false" outlineLevel="0" max="3396" min="3396" style="1" width="4"/>
    <col collapsed="false" customWidth="false" hidden="false" outlineLevel="0" max="3397" min="3397" style="1" width="0.71"/>
    <col collapsed="false" customWidth="true" hidden="false" outlineLevel="0" max="3398" min="3398" style="1" width="1.57"/>
    <col collapsed="false" customWidth="false" hidden="false" outlineLevel="0" max="3399" min="3399" style="1" width="0.71"/>
    <col collapsed="false" customWidth="true" hidden="false" outlineLevel="0" max="3400" min="3400" style="1" width="7"/>
    <col collapsed="false" customWidth="false" hidden="false" outlineLevel="0" max="3403" min="3401" style="1" width="0.71"/>
    <col collapsed="false" customWidth="true" hidden="false" outlineLevel="0" max="3404" min="3404" style="1" width="2.42"/>
    <col collapsed="false" customWidth="false" hidden="false" outlineLevel="0" max="3410" min="3405" style="1" width="0.71"/>
    <col collapsed="false" customWidth="true" hidden="false" outlineLevel="0" max="3411" min="3411" style="1" width="16.57"/>
    <col collapsed="false" customWidth="false" hidden="false" outlineLevel="0" max="3414" min="3412" style="1" width="0.71"/>
    <col collapsed="false" customWidth="true" hidden="false" outlineLevel="0" max="3415" min="3415" style="1" width="9.86"/>
    <col collapsed="false" customWidth="true" hidden="false" outlineLevel="0" max="3418" min="3416" style="1" width="9.29"/>
    <col collapsed="false" customWidth="false" hidden="false" outlineLevel="0" max="3631" min="3419" style="1" width="0.71"/>
    <col collapsed="false" customWidth="true" hidden="false" outlineLevel="0" max="3632" min="3632" style="1" width="3.42"/>
    <col collapsed="false" customWidth="true" hidden="false" outlineLevel="0" max="3633" min="3633" style="1" width="2.42"/>
    <col collapsed="false" customWidth="true" hidden="false" outlineLevel="0" max="3634" min="3634" style="1" width="7"/>
    <col collapsed="false" customWidth="false" hidden="false" outlineLevel="0" max="3635" min="3635" style="1" width="0.71"/>
    <col collapsed="false" customWidth="true" hidden="false" outlineLevel="0" max="3636" min="3636" style="1" width="1.57"/>
    <col collapsed="false" customWidth="false" hidden="false" outlineLevel="0" max="3637" min="3637" style="1" width="0.71"/>
    <col collapsed="false" customWidth="true" hidden="false" outlineLevel="0" max="3638" min="3638" style="1" width="11.29"/>
    <col collapsed="false" customWidth="false" hidden="false" outlineLevel="0" max="3639" min="3639" style="1" width="0.71"/>
    <col collapsed="false" customWidth="true" hidden="false" outlineLevel="0" max="3640" min="3640" style="1" width="1.57"/>
    <col collapsed="false" customWidth="false" hidden="false" outlineLevel="0" max="3645" min="3641" style="1" width="0.71"/>
    <col collapsed="false" customWidth="true" hidden="false" outlineLevel="0" max="3646" min="3646" style="1" width="2.15"/>
    <col collapsed="false" customWidth="false" hidden="false" outlineLevel="0" max="3647" min="3647" style="1" width="0.71"/>
    <col collapsed="false" customWidth="true" hidden="false" outlineLevel="0" max="3648" min="3648" style="1" width="1.57"/>
    <col collapsed="false" customWidth="false" hidden="false" outlineLevel="0" max="3649" min="3649" style="1" width="0.71"/>
    <col collapsed="false" customWidth="true" hidden="false" outlineLevel="0" max="3650" min="3650" style="1" width="7"/>
    <col collapsed="false" customWidth="false" hidden="false" outlineLevel="0" max="3651" min="3651" style="1" width="0.71"/>
    <col collapsed="false" customWidth="true" hidden="false" outlineLevel="0" max="3652" min="3652" style="1" width="4"/>
    <col collapsed="false" customWidth="false" hidden="false" outlineLevel="0" max="3653" min="3653" style="1" width="0.71"/>
    <col collapsed="false" customWidth="true" hidden="false" outlineLevel="0" max="3654" min="3654" style="1" width="1.57"/>
    <col collapsed="false" customWidth="false" hidden="false" outlineLevel="0" max="3655" min="3655" style="1" width="0.71"/>
    <col collapsed="false" customWidth="true" hidden="false" outlineLevel="0" max="3656" min="3656" style="1" width="7"/>
    <col collapsed="false" customWidth="false" hidden="false" outlineLevel="0" max="3659" min="3657" style="1" width="0.71"/>
    <col collapsed="false" customWidth="true" hidden="false" outlineLevel="0" max="3660" min="3660" style="1" width="2.42"/>
    <col collapsed="false" customWidth="false" hidden="false" outlineLevel="0" max="3666" min="3661" style="1" width="0.71"/>
    <col collapsed="false" customWidth="true" hidden="false" outlineLevel="0" max="3667" min="3667" style="1" width="16.57"/>
    <col collapsed="false" customWidth="false" hidden="false" outlineLevel="0" max="3670" min="3668" style="1" width="0.71"/>
    <col collapsed="false" customWidth="true" hidden="false" outlineLevel="0" max="3671" min="3671" style="1" width="9.86"/>
    <col collapsed="false" customWidth="true" hidden="false" outlineLevel="0" max="3674" min="3672" style="1" width="9.29"/>
    <col collapsed="false" customWidth="false" hidden="false" outlineLevel="0" max="3887" min="3675" style="1" width="0.71"/>
    <col collapsed="false" customWidth="true" hidden="false" outlineLevel="0" max="3888" min="3888" style="1" width="3.42"/>
    <col collapsed="false" customWidth="true" hidden="false" outlineLevel="0" max="3889" min="3889" style="1" width="2.42"/>
    <col collapsed="false" customWidth="true" hidden="false" outlineLevel="0" max="3890" min="3890" style="1" width="7"/>
    <col collapsed="false" customWidth="false" hidden="false" outlineLevel="0" max="3891" min="3891" style="1" width="0.71"/>
    <col collapsed="false" customWidth="true" hidden="false" outlineLevel="0" max="3892" min="3892" style="1" width="1.57"/>
    <col collapsed="false" customWidth="false" hidden="false" outlineLevel="0" max="3893" min="3893" style="1" width="0.71"/>
    <col collapsed="false" customWidth="true" hidden="false" outlineLevel="0" max="3894" min="3894" style="1" width="11.29"/>
    <col collapsed="false" customWidth="false" hidden="false" outlineLevel="0" max="3895" min="3895" style="1" width="0.71"/>
    <col collapsed="false" customWidth="true" hidden="false" outlineLevel="0" max="3896" min="3896" style="1" width="1.57"/>
    <col collapsed="false" customWidth="false" hidden="false" outlineLevel="0" max="3901" min="3897" style="1" width="0.71"/>
    <col collapsed="false" customWidth="true" hidden="false" outlineLevel="0" max="3902" min="3902" style="1" width="2.15"/>
    <col collapsed="false" customWidth="false" hidden="false" outlineLevel="0" max="3903" min="3903" style="1" width="0.71"/>
    <col collapsed="false" customWidth="true" hidden="false" outlineLevel="0" max="3904" min="3904" style="1" width="1.57"/>
    <col collapsed="false" customWidth="false" hidden="false" outlineLevel="0" max="3905" min="3905" style="1" width="0.71"/>
    <col collapsed="false" customWidth="true" hidden="false" outlineLevel="0" max="3906" min="3906" style="1" width="7"/>
    <col collapsed="false" customWidth="false" hidden="false" outlineLevel="0" max="3907" min="3907" style="1" width="0.71"/>
    <col collapsed="false" customWidth="true" hidden="false" outlineLevel="0" max="3908" min="3908" style="1" width="4"/>
    <col collapsed="false" customWidth="false" hidden="false" outlineLevel="0" max="3909" min="3909" style="1" width="0.71"/>
    <col collapsed="false" customWidth="true" hidden="false" outlineLevel="0" max="3910" min="3910" style="1" width="1.57"/>
    <col collapsed="false" customWidth="false" hidden="false" outlineLevel="0" max="3911" min="3911" style="1" width="0.71"/>
    <col collapsed="false" customWidth="true" hidden="false" outlineLevel="0" max="3912" min="3912" style="1" width="7"/>
    <col collapsed="false" customWidth="false" hidden="false" outlineLevel="0" max="3915" min="3913" style="1" width="0.71"/>
    <col collapsed="false" customWidth="true" hidden="false" outlineLevel="0" max="3916" min="3916" style="1" width="2.42"/>
    <col collapsed="false" customWidth="false" hidden="false" outlineLevel="0" max="3922" min="3917" style="1" width="0.71"/>
    <col collapsed="false" customWidth="true" hidden="false" outlineLevel="0" max="3923" min="3923" style="1" width="16.57"/>
    <col collapsed="false" customWidth="false" hidden="false" outlineLevel="0" max="3926" min="3924" style="1" width="0.71"/>
    <col collapsed="false" customWidth="true" hidden="false" outlineLevel="0" max="3927" min="3927" style="1" width="9.86"/>
    <col collapsed="false" customWidth="true" hidden="false" outlineLevel="0" max="3930" min="3928" style="1" width="9.29"/>
    <col collapsed="false" customWidth="false" hidden="false" outlineLevel="0" max="4143" min="3931" style="1" width="0.71"/>
    <col collapsed="false" customWidth="true" hidden="false" outlineLevel="0" max="4144" min="4144" style="1" width="3.42"/>
    <col collapsed="false" customWidth="true" hidden="false" outlineLevel="0" max="4145" min="4145" style="1" width="2.42"/>
    <col collapsed="false" customWidth="true" hidden="false" outlineLevel="0" max="4146" min="4146" style="1" width="7"/>
    <col collapsed="false" customWidth="false" hidden="false" outlineLevel="0" max="4147" min="4147" style="1" width="0.71"/>
    <col collapsed="false" customWidth="true" hidden="false" outlineLevel="0" max="4148" min="4148" style="1" width="1.57"/>
    <col collapsed="false" customWidth="false" hidden="false" outlineLevel="0" max="4149" min="4149" style="1" width="0.71"/>
    <col collapsed="false" customWidth="true" hidden="false" outlineLevel="0" max="4150" min="4150" style="1" width="11.29"/>
    <col collapsed="false" customWidth="false" hidden="false" outlineLevel="0" max="4151" min="4151" style="1" width="0.71"/>
    <col collapsed="false" customWidth="true" hidden="false" outlineLevel="0" max="4152" min="4152" style="1" width="1.57"/>
    <col collapsed="false" customWidth="false" hidden="false" outlineLevel="0" max="4157" min="4153" style="1" width="0.71"/>
    <col collapsed="false" customWidth="true" hidden="false" outlineLevel="0" max="4158" min="4158" style="1" width="2.15"/>
    <col collapsed="false" customWidth="false" hidden="false" outlineLevel="0" max="4159" min="4159" style="1" width="0.71"/>
    <col collapsed="false" customWidth="true" hidden="false" outlineLevel="0" max="4160" min="4160" style="1" width="1.57"/>
    <col collapsed="false" customWidth="false" hidden="false" outlineLevel="0" max="4161" min="4161" style="1" width="0.71"/>
    <col collapsed="false" customWidth="true" hidden="false" outlineLevel="0" max="4162" min="4162" style="1" width="7"/>
    <col collapsed="false" customWidth="false" hidden="false" outlineLevel="0" max="4163" min="4163" style="1" width="0.71"/>
    <col collapsed="false" customWidth="true" hidden="false" outlineLevel="0" max="4164" min="4164" style="1" width="4"/>
    <col collapsed="false" customWidth="false" hidden="false" outlineLevel="0" max="4165" min="4165" style="1" width="0.71"/>
    <col collapsed="false" customWidth="true" hidden="false" outlineLevel="0" max="4166" min="4166" style="1" width="1.57"/>
    <col collapsed="false" customWidth="false" hidden="false" outlineLevel="0" max="4167" min="4167" style="1" width="0.71"/>
    <col collapsed="false" customWidth="true" hidden="false" outlineLevel="0" max="4168" min="4168" style="1" width="7"/>
    <col collapsed="false" customWidth="false" hidden="false" outlineLevel="0" max="4171" min="4169" style="1" width="0.71"/>
    <col collapsed="false" customWidth="true" hidden="false" outlineLevel="0" max="4172" min="4172" style="1" width="2.42"/>
    <col collapsed="false" customWidth="false" hidden="false" outlineLevel="0" max="4178" min="4173" style="1" width="0.71"/>
    <col collapsed="false" customWidth="true" hidden="false" outlineLevel="0" max="4179" min="4179" style="1" width="16.57"/>
    <col collapsed="false" customWidth="false" hidden="false" outlineLevel="0" max="4182" min="4180" style="1" width="0.71"/>
    <col collapsed="false" customWidth="true" hidden="false" outlineLevel="0" max="4183" min="4183" style="1" width="9.86"/>
    <col collapsed="false" customWidth="true" hidden="false" outlineLevel="0" max="4186" min="4184" style="1" width="9.29"/>
    <col collapsed="false" customWidth="false" hidden="false" outlineLevel="0" max="4399" min="4187" style="1" width="0.71"/>
    <col collapsed="false" customWidth="true" hidden="false" outlineLevel="0" max="4400" min="4400" style="1" width="3.42"/>
    <col collapsed="false" customWidth="true" hidden="false" outlineLevel="0" max="4401" min="4401" style="1" width="2.42"/>
    <col collapsed="false" customWidth="true" hidden="false" outlineLevel="0" max="4402" min="4402" style="1" width="7"/>
    <col collapsed="false" customWidth="false" hidden="false" outlineLevel="0" max="4403" min="4403" style="1" width="0.71"/>
    <col collapsed="false" customWidth="true" hidden="false" outlineLevel="0" max="4404" min="4404" style="1" width="1.57"/>
    <col collapsed="false" customWidth="false" hidden="false" outlineLevel="0" max="4405" min="4405" style="1" width="0.71"/>
    <col collapsed="false" customWidth="true" hidden="false" outlineLevel="0" max="4406" min="4406" style="1" width="11.29"/>
    <col collapsed="false" customWidth="false" hidden="false" outlineLevel="0" max="4407" min="4407" style="1" width="0.71"/>
    <col collapsed="false" customWidth="true" hidden="false" outlineLevel="0" max="4408" min="4408" style="1" width="1.57"/>
    <col collapsed="false" customWidth="false" hidden="false" outlineLevel="0" max="4413" min="4409" style="1" width="0.71"/>
    <col collapsed="false" customWidth="true" hidden="false" outlineLevel="0" max="4414" min="4414" style="1" width="2.15"/>
    <col collapsed="false" customWidth="false" hidden="false" outlineLevel="0" max="4415" min="4415" style="1" width="0.71"/>
    <col collapsed="false" customWidth="true" hidden="false" outlineLevel="0" max="4416" min="4416" style="1" width="1.57"/>
    <col collapsed="false" customWidth="false" hidden="false" outlineLevel="0" max="4417" min="4417" style="1" width="0.71"/>
    <col collapsed="false" customWidth="true" hidden="false" outlineLevel="0" max="4418" min="4418" style="1" width="7"/>
    <col collapsed="false" customWidth="false" hidden="false" outlineLevel="0" max="4419" min="4419" style="1" width="0.71"/>
    <col collapsed="false" customWidth="true" hidden="false" outlineLevel="0" max="4420" min="4420" style="1" width="4"/>
    <col collapsed="false" customWidth="false" hidden="false" outlineLevel="0" max="4421" min="4421" style="1" width="0.71"/>
    <col collapsed="false" customWidth="true" hidden="false" outlineLevel="0" max="4422" min="4422" style="1" width="1.57"/>
    <col collapsed="false" customWidth="false" hidden="false" outlineLevel="0" max="4423" min="4423" style="1" width="0.71"/>
    <col collapsed="false" customWidth="true" hidden="false" outlineLevel="0" max="4424" min="4424" style="1" width="7"/>
    <col collapsed="false" customWidth="false" hidden="false" outlineLevel="0" max="4427" min="4425" style="1" width="0.71"/>
    <col collapsed="false" customWidth="true" hidden="false" outlineLevel="0" max="4428" min="4428" style="1" width="2.42"/>
    <col collapsed="false" customWidth="false" hidden="false" outlineLevel="0" max="4434" min="4429" style="1" width="0.71"/>
    <col collapsed="false" customWidth="true" hidden="false" outlineLevel="0" max="4435" min="4435" style="1" width="16.57"/>
    <col collapsed="false" customWidth="false" hidden="false" outlineLevel="0" max="4438" min="4436" style="1" width="0.71"/>
    <col collapsed="false" customWidth="true" hidden="false" outlineLevel="0" max="4439" min="4439" style="1" width="9.86"/>
    <col collapsed="false" customWidth="true" hidden="false" outlineLevel="0" max="4442" min="4440" style="1" width="9.29"/>
    <col collapsed="false" customWidth="false" hidden="false" outlineLevel="0" max="4655" min="4443" style="1" width="0.71"/>
    <col collapsed="false" customWidth="true" hidden="false" outlineLevel="0" max="4656" min="4656" style="1" width="3.42"/>
    <col collapsed="false" customWidth="true" hidden="false" outlineLevel="0" max="4657" min="4657" style="1" width="2.42"/>
    <col collapsed="false" customWidth="true" hidden="false" outlineLevel="0" max="4658" min="4658" style="1" width="7"/>
    <col collapsed="false" customWidth="false" hidden="false" outlineLevel="0" max="4659" min="4659" style="1" width="0.71"/>
    <col collapsed="false" customWidth="true" hidden="false" outlineLevel="0" max="4660" min="4660" style="1" width="1.57"/>
    <col collapsed="false" customWidth="false" hidden="false" outlineLevel="0" max="4661" min="4661" style="1" width="0.71"/>
    <col collapsed="false" customWidth="true" hidden="false" outlineLevel="0" max="4662" min="4662" style="1" width="11.29"/>
    <col collapsed="false" customWidth="false" hidden="false" outlineLevel="0" max="4663" min="4663" style="1" width="0.71"/>
    <col collapsed="false" customWidth="true" hidden="false" outlineLevel="0" max="4664" min="4664" style="1" width="1.57"/>
    <col collapsed="false" customWidth="false" hidden="false" outlineLevel="0" max="4669" min="4665" style="1" width="0.71"/>
    <col collapsed="false" customWidth="true" hidden="false" outlineLevel="0" max="4670" min="4670" style="1" width="2.15"/>
    <col collapsed="false" customWidth="false" hidden="false" outlineLevel="0" max="4671" min="4671" style="1" width="0.71"/>
    <col collapsed="false" customWidth="true" hidden="false" outlineLevel="0" max="4672" min="4672" style="1" width="1.57"/>
    <col collapsed="false" customWidth="false" hidden="false" outlineLevel="0" max="4673" min="4673" style="1" width="0.71"/>
    <col collapsed="false" customWidth="true" hidden="false" outlineLevel="0" max="4674" min="4674" style="1" width="7"/>
    <col collapsed="false" customWidth="false" hidden="false" outlineLevel="0" max="4675" min="4675" style="1" width="0.71"/>
    <col collapsed="false" customWidth="true" hidden="false" outlineLevel="0" max="4676" min="4676" style="1" width="4"/>
    <col collapsed="false" customWidth="false" hidden="false" outlineLevel="0" max="4677" min="4677" style="1" width="0.71"/>
    <col collapsed="false" customWidth="true" hidden="false" outlineLevel="0" max="4678" min="4678" style="1" width="1.57"/>
    <col collapsed="false" customWidth="false" hidden="false" outlineLevel="0" max="4679" min="4679" style="1" width="0.71"/>
    <col collapsed="false" customWidth="true" hidden="false" outlineLevel="0" max="4680" min="4680" style="1" width="7"/>
    <col collapsed="false" customWidth="false" hidden="false" outlineLevel="0" max="4683" min="4681" style="1" width="0.71"/>
    <col collapsed="false" customWidth="true" hidden="false" outlineLevel="0" max="4684" min="4684" style="1" width="2.42"/>
    <col collapsed="false" customWidth="false" hidden="false" outlineLevel="0" max="4690" min="4685" style="1" width="0.71"/>
    <col collapsed="false" customWidth="true" hidden="false" outlineLevel="0" max="4691" min="4691" style="1" width="16.57"/>
    <col collapsed="false" customWidth="false" hidden="false" outlineLevel="0" max="4694" min="4692" style="1" width="0.71"/>
    <col collapsed="false" customWidth="true" hidden="false" outlineLevel="0" max="4695" min="4695" style="1" width="9.86"/>
    <col collapsed="false" customWidth="true" hidden="false" outlineLevel="0" max="4698" min="4696" style="1" width="9.29"/>
    <col collapsed="false" customWidth="false" hidden="false" outlineLevel="0" max="4911" min="4699" style="1" width="0.71"/>
    <col collapsed="false" customWidth="true" hidden="false" outlineLevel="0" max="4912" min="4912" style="1" width="3.42"/>
    <col collapsed="false" customWidth="true" hidden="false" outlineLevel="0" max="4913" min="4913" style="1" width="2.42"/>
    <col collapsed="false" customWidth="true" hidden="false" outlineLevel="0" max="4914" min="4914" style="1" width="7"/>
    <col collapsed="false" customWidth="false" hidden="false" outlineLevel="0" max="4915" min="4915" style="1" width="0.71"/>
    <col collapsed="false" customWidth="true" hidden="false" outlineLevel="0" max="4916" min="4916" style="1" width="1.57"/>
    <col collapsed="false" customWidth="false" hidden="false" outlineLevel="0" max="4917" min="4917" style="1" width="0.71"/>
    <col collapsed="false" customWidth="true" hidden="false" outlineLevel="0" max="4918" min="4918" style="1" width="11.29"/>
    <col collapsed="false" customWidth="false" hidden="false" outlineLevel="0" max="4919" min="4919" style="1" width="0.71"/>
    <col collapsed="false" customWidth="true" hidden="false" outlineLevel="0" max="4920" min="4920" style="1" width="1.57"/>
    <col collapsed="false" customWidth="false" hidden="false" outlineLevel="0" max="4925" min="4921" style="1" width="0.71"/>
    <col collapsed="false" customWidth="true" hidden="false" outlineLevel="0" max="4926" min="4926" style="1" width="2.15"/>
    <col collapsed="false" customWidth="false" hidden="false" outlineLevel="0" max="4927" min="4927" style="1" width="0.71"/>
    <col collapsed="false" customWidth="true" hidden="false" outlineLevel="0" max="4928" min="4928" style="1" width="1.57"/>
    <col collapsed="false" customWidth="false" hidden="false" outlineLevel="0" max="4929" min="4929" style="1" width="0.71"/>
    <col collapsed="false" customWidth="true" hidden="false" outlineLevel="0" max="4930" min="4930" style="1" width="7"/>
    <col collapsed="false" customWidth="false" hidden="false" outlineLevel="0" max="4931" min="4931" style="1" width="0.71"/>
    <col collapsed="false" customWidth="true" hidden="false" outlineLevel="0" max="4932" min="4932" style="1" width="4"/>
    <col collapsed="false" customWidth="false" hidden="false" outlineLevel="0" max="4933" min="4933" style="1" width="0.71"/>
    <col collapsed="false" customWidth="true" hidden="false" outlineLevel="0" max="4934" min="4934" style="1" width="1.57"/>
    <col collapsed="false" customWidth="false" hidden="false" outlineLevel="0" max="4935" min="4935" style="1" width="0.71"/>
    <col collapsed="false" customWidth="true" hidden="false" outlineLevel="0" max="4936" min="4936" style="1" width="7"/>
    <col collapsed="false" customWidth="false" hidden="false" outlineLevel="0" max="4939" min="4937" style="1" width="0.71"/>
    <col collapsed="false" customWidth="true" hidden="false" outlineLevel="0" max="4940" min="4940" style="1" width="2.42"/>
    <col collapsed="false" customWidth="false" hidden="false" outlineLevel="0" max="4946" min="4941" style="1" width="0.71"/>
    <col collapsed="false" customWidth="true" hidden="false" outlineLevel="0" max="4947" min="4947" style="1" width="16.57"/>
    <col collapsed="false" customWidth="false" hidden="false" outlineLevel="0" max="4950" min="4948" style="1" width="0.71"/>
    <col collapsed="false" customWidth="true" hidden="false" outlineLevel="0" max="4951" min="4951" style="1" width="9.86"/>
    <col collapsed="false" customWidth="true" hidden="false" outlineLevel="0" max="4954" min="4952" style="1" width="9.29"/>
    <col collapsed="false" customWidth="false" hidden="false" outlineLevel="0" max="5167" min="4955" style="1" width="0.71"/>
    <col collapsed="false" customWidth="true" hidden="false" outlineLevel="0" max="5168" min="5168" style="1" width="3.42"/>
    <col collapsed="false" customWidth="true" hidden="false" outlineLevel="0" max="5169" min="5169" style="1" width="2.42"/>
    <col collapsed="false" customWidth="true" hidden="false" outlineLevel="0" max="5170" min="5170" style="1" width="7"/>
    <col collapsed="false" customWidth="false" hidden="false" outlineLevel="0" max="5171" min="5171" style="1" width="0.71"/>
    <col collapsed="false" customWidth="true" hidden="false" outlineLevel="0" max="5172" min="5172" style="1" width="1.57"/>
    <col collapsed="false" customWidth="false" hidden="false" outlineLevel="0" max="5173" min="5173" style="1" width="0.71"/>
    <col collapsed="false" customWidth="true" hidden="false" outlineLevel="0" max="5174" min="5174" style="1" width="11.29"/>
    <col collapsed="false" customWidth="false" hidden="false" outlineLevel="0" max="5175" min="5175" style="1" width="0.71"/>
    <col collapsed="false" customWidth="true" hidden="false" outlineLevel="0" max="5176" min="5176" style="1" width="1.57"/>
    <col collapsed="false" customWidth="false" hidden="false" outlineLevel="0" max="5181" min="5177" style="1" width="0.71"/>
    <col collapsed="false" customWidth="true" hidden="false" outlineLevel="0" max="5182" min="5182" style="1" width="2.15"/>
    <col collapsed="false" customWidth="false" hidden="false" outlineLevel="0" max="5183" min="5183" style="1" width="0.71"/>
    <col collapsed="false" customWidth="true" hidden="false" outlineLevel="0" max="5184" min="5184" style="1" width="1.57"/>
    <col collapsed="false" customWidth="false" hidden="false" outlineLevel="0" max="5185" min="5185" style="1" width="0.71"/>
    <col collapsed="false" customWidth="true" hidden="false" outlineLevel="0" max="5186" min="5186" style="1" width="7"/>
    <col collapsed="false" customWidth="false" hidden="false" outlineLevel="0" max="5187" min="5187" style="1" width="0.71"/>
    <col collapsed="false" customWidth="true" hidden="false" outlineLevel="0" max="5188" min="5188" style="1" width="4"/>
    <col collapsed="false" customWidth="false" hidden="false" outlineLevel="0" max="5189" min="5189" style="1" width="0.71"/>
    <col collapsed="false" customWidth="true" hidden="false" outlineLevel="0" max="5190" min="5190" style="1" width="1.57"/>
    <col collapsed="false" customWidth="false" hidden="false" outlineLevel="0" max="5191" min="5191" style="1" width="0.71"/>
    <col collapsed="false" customWidth="true" hidden="false" outlineLevel="0" max="5192" min="5192" style="1" width="7"/>
    <col collapsed="false" customWidth="false" hidden="false" outlineLevel="0" max="5195" min="5193" style="1" width="0.71"/>
    <col collapsed="false" customWidth="true" hidden="false" outlineLevel="0" max="5196" min="5196" style="1" width="2.42"/>
    <col collapsed="false" customWidth="false" hidden="false" outlineLevel="0" max="5202" min="5197" style="1" width="0.71"/>
    <col collapsed="false" customWidth="true" hidden="false" outlineLevel="0" max="5203" min="5203" style="1" width="16.57"/>
    <col collapsed="false" customWidth="false" hidden="false" outlineLevel="0" max="5206" min="5204" style="1" width="0.71"/>
    <col collapsed="false" customWidth="true" hidden="false" outlineLevel="0" max="5207" min="5207" style="1" width="9.86"/>
    <col collapsed="false" customWidth="true" hidden="false" outlineLevel="0" max="5210" min="5208" style="1" width="9.29"/>
    <col collapsed="false" customWidth="false" hidden="false" outlineLevel="0" max="5423" min="5211" style="1" width="0.71"/>
    <col collapsed="false" customWidth="true" hidden="false" outlineLevel="0" max="5424" min="5424" style="1" width="3.42"/>
    <col collapsed="false" customWidth="true" hidden="false" outlineLevel="0" max="5425" min="5425" style="1" width="2.42"/>
    <col collapsed="false" customWidth="true" hidden="false" outlineLevel="0" max="5426" min="5426" style="1" width="7"/>
    <col collapsed="false" customWidth="false" hidden="false" outlineLevel="0" max="5427" min="5427" style="1" width="0.71"/>
    <col collapsed="false" customWidth="true" hidden="false" outlineLevel="0" max="5428" min="5428" style="1" width="1.57"/>
    <col collapsed="false" customWidth="false" hidden="false" outlineLevel="0" max="5429" min="5429" style="1" width="0.71"/>
    <col collapsed="false" customWidth="true" hidden="false" outlineLevel="0" max="5430" min="5430" style="1" width="11.29"/>
    <col collapsed="false" customWidth="false" hidden="false" outlineLevel="0" max="5431" min="5431" style="1" width="0.71"/>
    <col collapsed="false" customWidth="true" hidden="false" outlineLevel="0" max="5432" min="5432" style="1" width="1.57"/>
    <col collapsed="false" customWidth="false" hidden="false" outlineLevel="0" max="5437" min="5433" style="1" width="0.71"/>
    <col collapsed="false" customWidth="true" hidden="false" outlineLevel="0" max="5438" min="5438" style="1" width="2.15"/>
    <col collapsed="false" customWidth="false" hidden="false" outlineLevel="0" max="5439" min="5439" style="1" width="0.71"/>
    <col collapsed="false" customWidth="true" hidden="false" outlineLevel="0" max="5440" min="5440" style="1" width="1.57"/>
    <col collapsed="false" customWidth="false" hidden="false" outlineLevel="0" max="5441" min="5441" style="1" width="0.71"/>
    <col collapsed="false" customWidth="true" hidden="false" outlineLevel="0" max="5442" min="5442" style="1" width="7"/>
    <col collapsed="false" customWidth="false" hidden="false" outlineLevel="0" max="5443" min="5443" style="1" width="0.71"/>
    <col collapsed="false" customWidth="true" hidden="false" outlineLevel="0" max="5444" min="5444" style="1" width="4"/>
    <col collapsed="false" customWidth="false" hidden="false" outlineLevel="0" max="5445" min="5445" style="1" width="0.71"/>
    <col collapsed="false" customWidth="true" hidden="false" outlineLevel="0" max="5446" min="5446" style="1" width="1.57"/>
    <col collapsed="false" customWidth="false" hidden="false" outlineLevel="0" max="5447" min="5447" style="1" width="0.71"/>
    <col collapsed="false" customWidth="true" hidden="false" outlineLevel="0" max="5448" min="5448" style="1" width="7"/>
    <col collapsed="false" customWidth="false" hidden="false" outlineLevel="0" max="5451" min="5449" style="1" width="0.71"/>
    <col collapsed="false" customWidth="true" hidden="false" outlineLevel="0" max="5452" min="5452" style="1" width="2.42"/>
    <col collapsed="false" customWidth="false" hidden="false" outlineLevel="0" max="5458" min="5453" style="1" width="0.71"/>
    <col collapsed="false" customWidth="true" hidden="false" outlineLevel="0" max="5459" min="5459" style="1" width="16.57"/>
    <col collapsed="false" customWidth="false" hidden="false" outlineLevel="0" max="5462" min="5460" style="1" width="0.71"/>
    <col collapsed="false" customWidth="true" hidden="false" outlineLevel="0" max="5463" min="5463" style="1" width="9.86"/>
    <col collapsed="false" customWidth="true" hidden="false" outlineLevel="0" max="5466" min="5464" style="1" width="9.29"/>
    <col collapsed="false" customWidth="false" hidden="false" outlineLevel="0" max="5679" min="5467" style="1" width="0.71"/>
    <col collapsed="false" customWidth="true" hidden="false" outlineLevel="0" max="5680" min="5680" style="1" width="3.42"/>
    <col collapsed="false" customWidth="true" hidden="false" outlineLevel="0" max="5681" min="5681" style="1" width="2.42"/>
    <col collapsed="false" customWidth="true" hidden="false" outlineLevel="0" max="5682" min="5682" style="1" width="7"/>
    <col collapsed="false" customWidth="false" hidden="false" outlineLevel="0" max="5683" min="5683" style="1" width="0.71"/>
    <col collapsed="false" customWidth="true" hidden="false" outlineLevel="0" max="5684" min="5684" style="1" width="1.57"/>
    <col collapsed="false" customWidth="false" hidden="false" outlineLevel="0" max="5685" min="5685" style="1" width="0.71"/>
    <col collapsed="false" customWidth="true" hidden="false" outlineLevel="0" max="5686" min="5686" style="1" width="11.29"/>
    <col collapsed="false" customWidth="false" hidden="false" outlineLevel="0" max="5687" min="5687" style="1" width="0.71"/>
    <col collapsed="false" customWidth="true" hidden="false" outlineLevel="0" max="5688" min="5688" style="1" width="1.57"/>
    <col collapsed="false" customWidth="false" hidden="false" outlineLevel="0" max="5693" min="5689" style="1" width="0.71"/>
    <col collapsed="false" customWidth="true" hidden="false" outlineLevel="0" max="5694" min="5694" style="1" width="2.15"/>
    <col collapsed="false" customWidth="false" hidden="false" outlineLevel="0" max="5695" min="5695" style="1" width="0.71"/>
    <col collapsed="false" customWidth="true" hidden="false" outlineLevel="0" max="5696" min="5696" style="1" width="1.57"/>
    <col collapsed="false" customWidth="false" hidden="false" outlineLevel="0" max="5697" min="5697" style="1" width="0.71"/>
    <col collapsed="false" customWidth="true" hidden="false" outlineLevel="0" max="5698" min="5698" style="1" width="7"/>
    <col collapsed="false" customWidth="false" hidden="false" outlineLevel="0" max="5699" min="5699" style="1" width="0.71"/>
    <col collapsed="false" customWidth="true" hidden="false" outlineLevel="0" max="5700" min="5700" style="1" width="4"/>
    <col collapsed="false" customWidth="false" hidden="false" outlineLevel="0" max="5701" min="5701" style="1" width="0.71"/>
    <col collapsed="false" customWidth="true" hidden="false" outlineLevel="0" max="5702" min="5702" style="1" width="1.57"/>
    <col collapsed="false" customWidth="false" hidden="false" outlineLevel="0" max="5703" min="5703" style="1" width="0.71"/>
    <col collapsed="false" customWidth="true" hidden="false" outlineLevel="0" max="5704" min="5704" style="1" width="7"/>
    <col collapsed="false" customWidth="false" hidden="false" outlineLevel="0" max="5707" min="5705" style="1" width="0.71"/>
    <col collapsed="false" customWidth="true" hidden="false" outlineLevel="0" max="5708" min="5708" style="1" width="2.42"/>
    <col collapsed="false" customWidth="false" hidden="false" outlineLevel="0" max="5714" min="5709" style="1" width="0.71"/>
    <col collapsed="false" customWidth="true" hidden="false" outlineLevel="0" max="5715" min="5715" style="1" width="16.57"/>
    <col collapsed="false" customWidth="false" hidden="false" outlineLevel="0" max="5718" min="5716" style="1" width="0.71"/>
    <col collapsed="false" customWidth="true" hidden="false" outlineLevel="0" max="5719" min="5719" style="1" width="9.86"/>
    <col collapsed="false" customWidth="true" hidden="false" outlineLevel="0" max="5722" min="5720" style="1" width="9.29"/>
    <col collapsed="false" customWidth="false" hidden="false" outlineLevel="0" max="5935" min="5723" style="1" width="0.71"/>
    <col collapsed="false" customWidth="true" hidden="false" outlineLevel="0" max="5936" min="5936" style="1" width="3.42"/>
    <col collapsed="false" customWidth="true" hidden="false" outlineLevel="0" max="5937" min="5937" style="1" width="2.42"/>
    <col collapsed="false" customWidth="true" hidden="false" outlineLevel="0" max="5938" min="5938" style="1" width="7"/>
    <col collapsed="false" customWidth="false" hidden="false" outlineLevel="0" max="5939" min="5939" style="1" width="0.71"/>
    <col collapsed="false" customWidth="true" hidden="false" outlineLevel="0" max="5940" min="5940" style="1" width="1.57"/>
    <col collapsed="false" customWidth="false" hidden="false" outlineLevel="0" max="5941" min="5941" style="1" width="0.71"/>
    <col collapsed="false" customWidth="true" hidden="false" outlineLevel="0" max="5942" min="5942" style="1" width="11.29"/>
    <col collapsed="false" customWidth="false" hidden="false" outlineLevel="0" max="5943" min="5943" style="1" width="0.71"/>
    <col collapsed="false" customWidth="true" hidden="false" outlineLevel="0" max="5944" min="5944" style="1" width="1.57"/>
    <col collapsed="false" customWidth="false" hidden="false" outlineLevel="0" max="5949" min="5945" style="1" width="0.71"/>
    <col collapsed="false" customWidth="true" hidden="false" outlineLevel="0" max="5950" min="5950" style="1" width="2.15"/>
    <col collapsed="false" customWidth="false" hidden="false" outlineLevel="0" max="5951" min="5951" style="1" width="0.71"/>
    <col collapsed="false" customWidth="true" hidden="false" outlineLevel="0" max="5952" min="5952" style="1" width="1.57"/>
    <col collapsed="false" customWidth="false" hidden="false" outlineLevel="0" max="5953" min="5953" style="1" width="0.71"/>
    <col collapsed="false" customWidth="true" hidden="false" outlineLevel="0" max="5954" min="5954" style="1" width="7"/>
    <col collapsed="false" customWidth="false" hidden="false" outlineLevel="0" max="5955" min="5955" style="1" width="0.71"/>
    <col collapsed="false" customWidth="true" hidden="false" outlineLevel="0" max="5956" min="5956" style="1" width="4"/>
    <col collapsed="false" customWidth="false" hidden="false" outlineLevel="0" max="5957" min="5957" style="1" width="0.71"/>
    <col collapsed="false" customWidth="true" hidden="false" outlineLevel="0" max="5958" min="5958" style="1" width="1.57"/>
    <col collapsed="false" customWidth="false" hidden="false" outlineLevel="0" max="5959" min="5959" style="1" width="0.71"/>
    <col collapsed="false" customWidth="true" hidden="false" outlineLevel="0" max="5960" min="5960" style="1" width="7"/>
    <col collapsed="false" customWidth="false" hidden="false" outlineLevel="0" max="5963" min="5961" style="1" width="0.71"/>
    <col collapsed="false" customWidth="true" hidden="false" outlineLevel="0" max="5964" min="5964" style="1" width="2.42"/>
    <col collapsed="false" customWidth="false" hidden="false" outlineLevel="0" max="5970" min="5965" style="1" width="0.71"/>
    <col collapsed="false" customWidth="true" hidden="false" outlineLevel="0" max="5971" min="5971" style="1" width="16.57"/>
    <col collapsed="false" customWidth="false" hidden="false" outlineLevel="0" max="5974" min="5972" style="1" width="0.71"/>
    <col collapsed="false" customWidth="true" hidden="false" outlineLevel="0" max="5975" min="5975" style="1" width="9.86"/>
    <col collapsed="false" customWidth="true" hidden="false" outlineLevel="0" max="5978" min="5976" style="1" width="9.29"/>
    <col collapsed="false" customWidth="false" hidden="false" outlineLevel="0" max="6191" min="5979" style="1" width="0.71"/>
    <col collapsed="false" customWidth="true" hidden="false" outlineLevel="0" max="6192" min="6192" style="1" width="3.42"/>
    <col collapsed="false" customWidth="true" hidden="false" outlineLevel="0" max="6193" min="6193" style="1" width="2.42"/>
    <col collapsed="false" customWidth="true" hidden="false" outlineLevel="0" max="6194" min="6194" style="1" width="7"/>
    <col collapsed="false" customWidth="false" hidden="false" outlineLevel="0" max="6195" min="6195" style="1" width="0.71"/>
    <col collapsed="false" customWidth="true" hidden="false" outlineLevel="0" max="6196" min="6196" style="1" width="1.57"/>
    <col collapsed="false" customWidth="false" hidden="false" outlineLevel="0" max="6197" min="6197" style="1" width="0.71"/>
    <col collapsed="false" customWidth="true" hidden="false" outlineLevel="0" max="6198" min="6198" style="1" width="11.29"/>
    <col collapsed="false" customWidth="false" hidden="false" outlineLevel="0" max="6199" min="6199" style="1" width="0.71"/>
    <col collapsed="false" customWidth="true" hidden="false" outlineLevel="0" max="6200" min="6200" style="1" width="1.57"/>
    <col collapsed="false" customWidth="false" hidden="false" outlineLevel="0" max="6205" min="6201" style="1" width="0.71"/>
    <col collapsed="false" customWidth="true" hidden="false" outlineLevel="0" max="6206" min="6206" style="1" width="2.15"/>
    <col collapsed="false" customWidth="false" hidden="false" outlineLevel="0" max="6207" min="6207" style="1" width="0.71"/>
    <col collapsed="false" customWidth="true" hidden="false" outlineLevel="0" max="6208" min="6208" style="1" width="1.57"/>
    <col collapsed="false" customWidth="false" hidden="false" outlineLevel="0" max="6209" min="6209" style="1" width="0.71"/>
    <col collapsed="false" customWidth="true" hidden="false" outlineLevel="0" max="6210" min="6210" style="1" width="7"/>
    <col collapsed="false" customWidth="false" hidden="false" outlineLevel="0" max="6211" min="6211" style="1" width="0.71"/>
    <col collapsed="false" customWidth="true" hidden="false" outlineLevel="0" max="6212" min="6212" style="1" width="4"/>
    <col collapsed="false" customWidth="false" hidden="false" outlineLevel="0" max="6213" min="6213" style="1" width="0.71"/>
    <col collapsed="false" customWidth="true" hidden="false" outlineLevel="0" max="6214" min="6214" style="1" width="1.57"/>
    <col collapsed="false" customWidth="false" hidden="false" outlineLevel="0" max="6215" min="6215" style="1" width="0.71"/>
    <col collapsed="false" customWidth="true" hidden="false" outlineLevel="0" max="6216" min="6216" style="1" width="7"/>
    <col collapsed="false" customWidth="false" hidden="false" outlineLevel="0" max="6219" min="6217" style="1" width="0.71"/>
    <col collapsed="false" customWidth="true" hidden="false" outlineLevel="0" max="6220" min="6220" style="1" width="2.42"/>
    <col collapsed="false" customWidth="false" hidden="false" outlineLevel="0" max="6226" min="6221" style="1" width="0.71"/>
    <col collapsed="false" customWidth="true" hidden="false" outlineLevel="0" max="6227" min="6227" style="1" width="16.57"/>
    <col collapsed="false" customWidth="false" hidden="false" outlineLevel="0" max="6230" min="6228" style="1" width="0.71"/>
    <col collapsed="false" customWidth="true" hidden="false" outlineLevel="0" max="6231" min="6231" style="1" width="9.86"/>
    <col collapsed="false" customWidth="true" hidden="false" outlineLevel="0" max="6234" min="6232" style="1" width="9.29"/>
    <col collapsed="false" customWidth="false" hidden="false" outlineLevel="0" max="6447" min="6235" style="1" width="0.71"/>
    <col collapsed="false" customWidth="true" hidden="false" outlineLevel="0" max="6448" min="6448" style="1" width="3.42"/>
    <col collapsed="false" customWidth="true" hidden="false" outlineLevel="0" max="6449" min="6449" style="1" width="2.42"/>
    <col collapsed="false" customWidth="true" hidden="false" outlineLevel="0" max="6450" min="6450" style="1" width="7"/>
    <col collapsed="false" customWidth="false" hidden="false" outlineLevel="0" max="6451" min="6451" style="1" width="0.71"/>
    <col collapsed="false" customWidth="true" hidden="false" outlineLevel="0" max="6452" min="6452" style="1" width="1.57"/>
    <col collapsed="false" customWidth="false" hidden="false" outlineLevel="0" max="6453" min="6453" style="1" width="0.71"/>
    <col collapsed="false" customWidth="true" hidden="false" outlineLevel="0" max="6454" min="6454" style="1" width="11.29"/>
    <col collapsed="false" customWidth="false" hidden="false" outlineLevel="0" max="6455" min="6455" style="1" width="0.71"/>
    <col collapsed="false" customWidth="true" hidden="false" outlineLevel="0" max="6456" min="6456" style="1" width="1.57"/>
    <col collapsed="false" customWidth="false" hidden="false" outlineLevel="0" max="6461" min="6457" style="1" width="0.71"/>
    <col collapsed="false" customWidth="true" hidden="false" outlineLevel="0" max="6462" min="6462" style="1" width="2.15"/>
    <col collapsed="false" customWidth="false" hidden="false" outlineLevel="0" max="6463" min="6463" style="1" width="0.71"/>
    <col collapsed="false" customWidth="true" hidden="false" outlineLevel="0" max="6464" min="6464" style="1" width="1.57"/>
    <col collapsed="false" customWidth="false" hidden="false" outlineLevel="0" max="6465" min="6465" style="1" width="0.71"/>
    <col collapsed="false" customWidth="true" hidden="false" outlineLevel="0" max="6466" min="6466" style="1" width="7"/>
    <col collapsed="false" customWidth="false" hidden="false" outlineLevel="0" max="6467" min="6467" style="1" width="0.71"/>
    <col collapsed="false" customWidth="true" hidden="false" outlineLevel="0" max="6468" min="6468" style="1" width="4"/>
    <col collapsed="false" customWidth="false" hidden="false" outlineLevel="0" max="6469" min="6469" style="1" width="0.71"/>
    <col collapsed="false" customWidth="true" hidden="false" outlineLevel="0" max="6470" min="6470" style="1" width="1.57"/>
    <col collapsed="false" customWidth="false" hidden="false" outlineLevel="0" max="6471" min="6471" style="1" width="0.71"/>
    <col collapsed="false" customWidth="true" hidden="false" outlineLevel="0" max="6472" min="6472" style="1" width="7"/>
    <col collapsed="false" customWidth="false" hidden="false" outlineLevel="0" max="6475" min="6473" style="1" width="0.71"/>
    <col collapsed="false" customWidth="true" hidden="false" outlineLevel="0" max="6476" min="6476" style="1" width="2.42"/>
    <col collapsed="false" customWidth="false" hidden="false" outlineLevel="0" max="6482" min="6477" style="1" width="0.71"/>
    <col collapsed="false" customWidth="true" hidden="false" outlineLevel="0" max="6483" min="6483" style="1" width="16.57"/>
    <col collapsed="false" customWidth="false" hidden="false" outlineLevel="0" max="6486" min="6484" style="1" width="0.71"/>
    <col collapsed="false" customWidth="true" hidden="false" outlineLevel="0" max="6487" min="6487" style="1" width="9.86"/>
    <col collapsed="false" customWidth="true" hidden="false" outlineLevel="0" max="6490" min="6488" style="1" width="9.29"/>
    <col collapsed="false" customWidth="false" hidden="false" outlineLevel="0" max="6703" min="6491" style="1" width="0.71"/>
    <col collapsed="false" customWidth="true" hidden="false" outlineLevel="0" max="6704" min="6704" style="1" width="3.42"/>
    <col collapsed="false" customWidth="true" hidden="false" outlineLevel="0" max="6705" min="6705" style="1" width="2.42"/>
    <col collapsed="false" customWidth="true" hidden="false" outlineLevel="0" max="6706" min="6706" style="1" width="7"/>
    <col collapsed="false" customWidth="false" hidden="false" outlineLevel="0" max="6707" min="6707" style="1" width="0.71"/>
    <col collapsed="false" customWidth="true" hidden="false" outlineLevel="0" max="6708" min="6708" style="1" width="1.57"/>
    <col collapsed="false" customWidth="false" hidden="false" outlineLevel="0" max="6709" min="6709" style="1" width="0.71"/>
    <col collapsed="false" customWidth="true" hidden="false" outlineLevel="0" max="6710" min="6710" style="1" width="11.29"/>
    <col collapsed="false" customWidth="false" hidden="false" outlineLevel="0" max="6711" min="6711" style="1" width="0.71"/>
    <col collapsed="false" customWidth="true" hidden="false" outlineLevel="0" max="6712" min="6712" style="1" width="1.57"/>
    <col collapsed="false" customWidth="false" hidden="false" outlineLevel="0" max="6717" min="6713" style="1" width="0.71"/>
    <col collapsed="false" customWidth="true" hidden="false" outlineLevel="0" max="6718" min="6718" style="1" width="2.15"/>
    <col collapsed="false" customWidth="false" hidden="false" outlineLevel="0" max="6719" min="6719" style="1" width="0.71"/>
    <col collapsed="false" customWidth="true" hidden="false" outlineLevel="0" max="6720" min="6720" style="1" width="1.57"/>
    <col collapsed="false" customWidth="false" hidden="false" outlineLevel="0" max="6721" min="6721" style="1" width="0.71"/>
    <col collapsed="false" customWidth="true" hidden="false" outlineLevel="0" max="6722" min="6722" style="1" width="7"/>
    <col collapsed="false" customWidth="false" hidden="false" outlineLevel="0" max="6723" min="6723" style="1" width="0.71"/>
    <col collapsed="false" customWidth="true" hidden="false" outlineLevel="0" max="6724" min="6724" style="1" width="4"/>
    <col collapsed="false" customWidth="false" hidden="false" outlineLevel="0" max="6725" min="6725" style="1" width="0.71"/>
    <col collapsed="false" customWidth="true" hidden="false" outlineLevel="0" max="6726" min="6726" style="1" width="1.57"/>
    <col collapsed="false" customWidth="false" hidden="false" outlineLevel="0" max="6727" min="6727" style="1" width="0.71"/>
    <col collapsed="false" customWidth="true" hidden="false" outlineLevel="0" max="6728" min="6728" style="1" width="7"/>
    <col collapsed="false" customWidth="false" hidden="false" outlineLevel="0" max="6731" min="6729" style="1" width="0.71"/>
    <col collapsed="false" customWidth="true" hidden="false" outlineLevel="0" max="6732" min="6732" style="1" width="2.42"/>
    <col collapsed="false" customWidth="false" hidden="false" outlineLevel="0" max="6738" min="6733" style="1" width="0.71"/>
    <col collapsed="false" customWidth="true" hidden="false" outlineLevel="0" max="6739" min="6739" style="1" width="16.57"/>
    <col collapsed="false" customWidth="false" hidden="false" outlineLevel="0" max="6742" min="6740" style="1" width="0.71"/>
    <col collapsed="false" customWidth="true" hidden="false" outlineLevel="0" max="6743" min="6743" style="1" width="9.86"/>
    <col collapsed="false" customWidth="true" hidden="false" outlineLevel="0" max="6746" min="6744" style="1" width="9.29"/>
    <col collapsed="false" customWidth="false" hidden="false" outlineLevel="0" max="6959" min="6747" style="1" width="0.71"/>
    <col collapsed="false" customWidth="true" hidden="false" outlineLevel="0" max="6960" min="6960" style="1" width="3.42"/>
    <col collapsed="false" customWidth="true" hidden="false" outlineLevel="0" max="6961" min="6961" style="1" width="2.42"/>
    <col collapsed="false" customWidth="true" hidden="false" outlineLevel="0" max="6962" min="6962" style="1" width="7"/>
    <col collapsed="false" customWidth="false" hidden="false" outlineLevel="0" max="6963" min="6963" style="1" width="0.71"/>
    <col collapsed="false" customWidth="true" hidden="false" outlineLevel="0" max="6964" min="6964" style="1" width="1.57"/>
    <col collapsed="false" customWidth="false" hidden="false" outlineLevel="0" max="6965" min="6965" style="1" width="0.71"/>
    <col collapsed="false" customWidth="true" hidden="false" outlineLevel="0" max="6966" min="6966" style="1" width="11.29"/>
    <col collapsed="false" customWidth="false" hidden="false" outlineLevel="0" max="6967" min="6967" style="1" width="0.71"/>
    <col collapsed="false" customWidth="true" hidden="false" outlineLevel="0" max="6968" min="6968" style="1" width="1.57"/>
    <col collapsed="false" customWidth="false" hidden="false" outlineLevel="0" max="6973" min="6969" style="1" width="0.71"/>
    <col collapsed="false" customWidth="true" hidden="false" outlineLevel="0" max="6974" min="6974" style="1" width="2.15"/>
    <col collapsed="false" customWidth="false" hidden="false" outlineLevel="0" max="6975" min="6975" style="1" width="0.71"/>
    <col collapsed="false" customWidth="true" hidden="false" outlineLevel="0" max="6976" min="6976" style="1" width="1.57"/>
    <col collapsed="false" customWidth="false" hidden="false" outlineLevel="0" max="6977" min="6977" style="1" width="0.71"/>
    <col collapsed="false" customWidth="true" hidden="false" outlineLevel="0" max="6978" min="6978" style="1" width="7"/>
    <col collapsed="false" customWidth="false" hidden="false" outlineLevel="0" max="6979" min="6979" style="1" width="0.71"/>
    <col collapsed="false" customWidth="true" hidden="false" outlineLevel="0" max="6980" min="6980" style="1" width="4"/>
    <col collapsed="false" customWidth="false" hidden="false" outlineLevel="0" max="6981" min="6981" style="1" width="0.71"/>
    <col collapsed="false" customWidth="true" hidden="false" outlineLevel="0" max="6982" min="6982" style="1" width="1.57"/>
    <col collapsed="false" customWidth="false" hidden="false" outlineLevel="0" max="6983" min="6983" style="1" width="0.71"/>
    <col collapsed="false" customWidth="true" hidden="false" outlineLevel="0" max="6984" min="6984" style="1" width="7"/>
    <col collapsed="false" customWidth="false" hidden="false" outlineLevel="0" max="6987" min="6985" style="1" width="0.71"/>
    <col collapsed="false" customWidth="true" hidden="false" outlineLevel="0" max="6988" min="6988" style="1" width="2.42"/>
    <col collapsed="false" customWidth="false" hidden="false" outlineLevel="0" max="6994" min="6989" style="1" width="0.71"/>
    <col collapsed="false" customWidth="true" hidden="false" outlineLevel="0" max="6995" min="6995" style="1" width="16.57"/>
    <col collapsed="false" customWidth="false" hidden="false" outlineLevel="0" max="6998" min="6996" style="1" width="0.71"/>
    <col collapsed="false" customWidth="true" hidden="false" outlineLevel="0" max="6999" min="6999" style="1" width="9.86"/>
    <col collapsed="false" customWidth="true" hidden="false" outlineLevel="0" max="7002" min="7000" style="1" width="9.29"/>
    <col collapsed="false" customWidth="false" hidden="false" outlineLevel="0" max="7215" min="7003" style="1" width="0.71"/>
    <col collapsed="false" customWidth="true" hidden="false" outlineLevel="0" max="7216" min="7216" style="1" width="3.42"/>
    <col collapsed="false" customWidth="true" hidden="false" outlineLevel="0" max="7217" min="7217" style="1" width="2.42"/>
    <col collapsed="false" customWidth="true" hidden="false" outlineLevel="0" max="7218" min="7218" style="1" width="7"/>
    <col collapsed="false" customWidth="false" hidden="false" outlineLevel="0" max="7219" min="7219" style="1" width="0.71"/>
    <col collapsed="false" customWidth="true" hidden="false" outlineLevel="0" max="7220" min="7220" style="1" width="1.57"/>
    <col collapsed="false" customWidth="false" hidden="false" outlineLevel="0" max="7221" min="7221" style="1" width="0.71"/>
    <col collapsed="false" customWidth="true" hidden="false" outlineLevel="0" max="7222" min="7222" style="1" width="11.29"/>
    <col collapsed="false" customWidth="false" hidden="false" outlineLevel="0" max="7223" min="7223" style="1" width="0.71"/>
    <col collapsed="false" customWidth="true" hidden="false" outlineLevel="0" max="7224" min="7224" style="1" width="1.57"/>
    <col collapsed="false" customWidth="false" hidden="false" outlineLevel="0" max="7229" min="7225" style="1" width="0.71"/>
    <col collapsed="false" customWidth="true" hidden="false" outlineLevel="0" max="7230" min="7230" style="1" width="2.15"/>
    <col collapsed="false" customWidth="false" hidden="false" outlineLevel="0" max="7231" min="7231" style="1" width="0.71"/>
    <col collapsed="false" customWidth="true" hidden="false" outlineLevel="0" max="7232" min="7232" style="1" width="1.57"/>
    <col collapsed="false" customWidth="false" hidden="false" outlineLevel="0" max="7233" min="7233" style="1" width="0.71"/>
    <col collapsed="false" customWidth="true" hidden="false" outlineLevel="0" max="7234" min="7234" style="1" width="7"/>
    <col collapsed="false" customWidth="false" hidden="false" outlineLevel="0" max="7235" min="7235" style="1" width="0.71"/>
    <col collapsed="false" customWidth="true" hidden="false" outlineLevel="0" max="7236" min="7236" style="1" width="4"/>
    <col collapsed="false" customWidth="false" hidden="false" outlineLevel="0" max="7237" min="7237" style="1" width="0.71"/>
    <col collapsed="false" customWidth="true" hidden="false" outlineLevel="0" max="7238" min="7238" style="1" width="1.57"/>
    <col collapsed="false" customWidth="false" hidden="false" outlineLevel="0" max="7239" min="7239" style="1" width="0.71"/>
    <col collapsed="false" customWidth="true" hidden="false" outlineLevel="0" max="7240" min="7240" style="1" width="7"/>
    <col collapsed="false" customWidth="false" hidden="false" outlineLevel="0" max="7243" min="7241" style="1" width="0.71"/>
    <col collapsed="false" customWidth="true" hidden="false" outlineLevel="0" max="7244" min="7244" style="1" width="2.42"/>
    <col collapsed="false" customWidth="false" hidden="false" outlineLevel="0" max="7250" min="7245" style="1" width="0.71"/>
    <col collapsed="false" customWidth="true" hidden="false" outlineLevel="0" max="7251" min="7251" style="1" width="16.57"/>
    <col collapsed="false" customWidth="false" hidden="false" outlineLevel="0" max="7254" min="7252" style="1" width="0.71"/>
    <col collapsed="false" customWidth="true" hidden="false" outlineLevel="0" max="7255" min="7255" style="1" width="9.86"/>
    <col collapsed="false" customWidth="true" hidden="false" outlineLevel="0" max="7258" min="7256" style="1" width="9.29"/>
    <col collapsed="false" customWidth="false" hidden="false" outlineLevel="0" max="7471" min="7259" style="1" width="0.71"/>
    <col collapsed="false" customWidth="true" hidden="false" outlineLevel="0" max="7472" min="7472" style="1" width="3.42"/>
    <col collapsed="false" customWidth="true" hidden="false" outlineLevel="0" max="7473" min="7473" style="1" width="2.42"/>
    <col collapsed="false" customWidth="true" hidden="false" outlineLevel="0" max="7474" min="7474" style="1" width="7"/>
    <col collapsed="false" customWidth="false" hidden="false" outlineLevel="0" max="7475" min="7475" style="1" width="0.71"/>
    <col collapsed="false" customWidth="true" hidden="false" outlineLevel="0" max="7476" min="7476" style="1" width="1.57"/>
    <col collapsed="false" customWidth="false" hidden="false" outlineLevel="0" max="7477" min="7477" style="1" width="0.71"/>
    <col collapsed="false" customWidth="true" hidden="false" outlineLevel="0" max="7478" min="7478" style="1" width="11.29"/>
    <col collapsed="false" customWidth="false" hidden="false" outlineLevel="0" max="7479" min="7479" style="1" width="0.71"/>
    <col collapsed="false" customWidth="true" hidden="false" outlineLevel="0" max="7480" min="7480" style="1" width="1.57"/>
    <col collapsed="false" customWidth="false" hidden="false" outlineLevel="0" max="7485" min="7481" style="1" width="0.71"/>
    <col collapsed="false" customWidth="true" hidden="false" outlineLevel="0" max="7486" min="7486" style="1" width="2.15"/>
    <col collapsed="false" customWidth="false" hidden="false" outlineLevel="0" max="7487" min="7487" style="1" width="0.71"/>
    <col collapsed="false" customWidth="true" hidden="false" outlineLevel="0" max="7488" min="7488" style="1" width="1.57"/>
    <col collapsed="false" customWidth="false" hidden="false" outlineLevel="0" max="7489" min="7489" style="1" width="0.71"/>
    <col collapsed="false" customWidth="true" hidden="false" outlineLevel="0" max="7490" min="7490" style="1" width="7"/>
    <col collapsed="false" customWidth="false" hidden="false" outlineLevel="0" max="7491" min="7491" style="1" width="0.71"/>
    <col collapsed="false" customWidth="true" hidden="false" outlineLevel="0" max="7492" min="7492" style="1" width="4"/>
    <col collapsed="false" customWidth="false" hidden="false" outlineLevel="0" max="7493" min="7493" style="1" width="0.71"/>
    <col collapsed="false" customWidth="true" hidden="false" outlineLevel="0" max="7494" min="7494" style="1" width="1.57"/>
    <col collapsed="false" customWidth="false" hidden="false" outlineLevel="0" max="7495" min="7495" style="1" width="0.71"/>
    <col collapsed="false" customWidth="true" hidden="false" outlineLevel="0" max="7496" min="7496" style="1" width="7"/>
    <col collapsed="false" customWidth="false" hidden="false" outlineLevel="0" max="7499" min="7497" style="1" width="0.71"/>
    <col collapsed="false" customWidth="true" hidden="false" outlineLevel="0" max="7500" min="7500" style="1" width="2.42"/>
    <col collapsed="false" customWidth="false" hidden="false" outlineLevel="0" max="7506" min="7501" style="1" width="0.71"/>
    <col collapsed="false" customWidth="true" hidden="false" outlineLevel="0" max="7507" min="7507" style="1" width="16.57"/>
    <col collapsed="false" customWidth="false" hidden="false" outlineLevel="0" max="7510" min="7508" style="1" width="0.71"/>
    <col collapsed="false" customWidth="true" hidden="false" outlineLevel="0" max="7511" min="7511" style="1" width="9.86"/>
    <col collapsed="false" customWidth="true" hidden="false" outlineLevel="0" max="7514" min="7512" style="1" width="9.29"/>
    <col collapsed="false" customWidth="false" hidden="false" outlineLevel="0" max="7727" min="7515" style="1" width="0.71"/>
    <col collapsed="false" customWidth="true" hidden="false" outlineLevel="0" max="7728" min="7728" style="1" width="3.42"/>
    <col collapsed="false" customWidth="true" hidden="false" outlineLevel="0" max="7729" min="7729" style="1" width="2.42"/>
    <col collapsed="false" customWidth="true" hidden="false" outlineLevel="0" max="7730" min="7730" style="1" width="7"/>
    <col collapsed="false" customWidth="false" hidden="false" outlineLevel="0" max="7731" min="7731" style="1" width="0.71"/>
    <col collapsed="false" customWidth="true" hidden="false" outlineLevel="0" max="7732" min="7732" style="1" width="1.57"/>
    <col collapsed="false" customWidth="false" hidden="false" outlineLevel="0" max="7733" min="7733" style="1" width="0.71"/>
    <col collapsed="false" customWidth="true" hidden="false" outlineLevel="0" max="7734" min="7734" style="1" width="11.29"/>
    <col collapsed="false" customWidth="false" hidden="false" outlineLevel="0" max="7735" min="7735" style="1" width="0.71"/>
    <col collapsed="false" customWidth="true" hidden="false" outlineLevel="0" max="7736" min="7736" style="1" width="1.57"/>
    <col collapsed="false" customWidth="false" hidden="false" outlineLevel="0" max="7741" min="7737" style="1" width="0.71"/>
    <col collapsed="false" customWidth="true" hidden="false" outlineLevel="0" max="7742" min="7742" style="1" width="2.15"/>
    <col collapsed="false" customWidth="false" hidden="false" outlineLevel="0" max="7743" min="7743" style="1" width="0.71"/>
    <col collapsed="false" customWidth="true" hidden="false" outlineLevel="0" max="7744" min="7744" style="1" width="1.57"/>
    <col collapsed="false" customWidth="false" hidden="false" outlineLevel="0" max="7745" min="7745" style="1" width="0.71"/>
    <col collapsed="false" customWidth="true" hidden="false" outlineLevel="0" max="7746" min="7746" style="1" width="7"/>
    <col collapsed="false" customWidth="false" hidden="false" outlineLevel="0" max="7747" min="7747" style="1" width="0.71"/>
    <col collapsed="false" customWidth="true" hidden="false" outlineLevel="0" max="7748" min="7748" style="1" width="4"/>
    <col collapsed="false" customWidth="false" hidden="false" outlineLevel="0" max="7749" min="7749" style="1" width="0.71"/>
    <col collapsed="false" customWidth="true" hidden="false" outlineLevel="0" max="7750" min="7750" style="1" width="1.57"/>
    <col collapsed="false" customWidth="false" hidden="false" outlineLevel="0" max="7751" min="7751" style="1" width="0.71"/>
    <col collapsed="false" customWidth="true" hidden="false" outlineLevel="0" max="7752" min="7752" style="1" width="7"/>
    <col collapsed="false" customWidth="false" hidden="false" outlineLevel="0" max="7755" min="7753" style="1" width="0.71"/>
    <col collapsed="false" customWidth="true" hidden="false" outlineLevel="0" max="7756" min="7756" style="1" width="2.42"/>
    <col collapsed="false" customWidth="false" hidden="false" outlineLevel="0" max="7762" min="7757" style="1" width="0.71"/>
    <col collapsed="false" customWidth="true" hidden="false" outlineLevel="0" max="7763" min="7763" style="1" width="16.57"/>
    <col collapsed="false" customWidth="false" hidden="false" outlineLevel="0" max="7766" min="7764" style="1" width="0.71"/>
    <col collapsed="false" customWidth="true" hidden="false" outlineLevel="0" max="7767" min="7767" style="1" width="9.86"/>
    <col collapsed="false" customWidth="true" hidden="false" outlineLevel="0" max="7770" min="7768" style="1" width="9.29"/>
    <col collapsed="false" customWidth="false" hidden="false" outlineLevel="0" max="7983" min="7771" style="1" width="0.71"/>
    <col collapsed="false" customWidth="true" hidden="false" outlineLevel="0" max="7984" min="7984" style="1" width="3.42"/>
    <col collapsed="false" customWidth="true" hidden="false" outlineLevel="0" max="7985" min="7985" style="1" width="2.42"/>
    <col collapsed="false" customWidth="true" hidden="false" outlineLevel="0" max="7986" min="7986" style="1" width="7"/>
    <col collapsed="false" customWidth="false" hidden="false" outlineLevel="0" max="7987" min="7987" style="1" width="0.71"/>
    <col collapsed="false" customWidth="true" hidden="false" outlineLevel="0" max="7988" min="7988" style="1" width="1.57"/>
    <col collapsed="false" customWidth="false" hidden="false" outlineLevel="0" max="7989" min="7989" style="1" width="0.71"/>
    <col collapsed="false" customWidth="true" hidden="false" outlineLevel="0" max="7990" min="7990" style="1" width="11.29"/>
    <col collapsed="false" customWidth="false" hidden="false" outlineLevel="0" max="7991" min="7991" style="1" width="0.71"/>
    <col collapsed="false" customWidth="true" hidden="false" outlineLevel="0" max="7992" min="7992" style="1" width="1.57"/>
    <col collapsed="false" customWidth="false" hidden="false" outlineLevel="0" max="7997" min="7993" style="1" width="0.71"/>
    <col collapsed="false" customWidth="true" hidden="false" outlineLevel="0" max="7998" min="7998" style="1" width="2.15"/>
    <col collapsed="false" customWidth="false" hidden="false" outlineLevel="0" max="7999" min="7999" style="1" width="0.71"/>
    <col collapsed="false" customWidth="true" hidden="false" outlineLevel="0" max="8000" min="8000" style="1" width="1.57"/>
    <col collapsed="false" customWidth="false" hidden="false" outlineLevel="0" max="8001" min="8001" style="1" width="0.71"/>
    <col collapsed="false" customWidth="true" hidden="false" outlineLevel="0" max="8002" min="8002" style="1" width="7"/>
    <col collapsed="false" customWidth="false" hidden="false" outlineLevel="0" max="8003" min="8003" style="1" width="0.71"/>
    <col collapsed="false" customWidth="true" hidden="false" outlineLevel="0" max="8004" min="8004" style="1" width="4"/>
    <col collapsed="false" customWidth="false" hidden="false" outlineLevel="0" max="8005" min="8005" style="1" width="0.71"/>
    <col collapsed="false" customWidth="true" hidden="false" outlineLevel="0" max="8006" min="8006" style="1" width="1.57"/>
    <col collapsed="false" customWidth="false" hidden="false" outlineLevel="0" max="8007" min="8007" style="1" width="0.71"/>
    <col collapsed="false" customWidth="true" hidden="false" outlineLevel="0" max="8008" min="8008" style="1" width="7"/>
    <col collapsed="false" customWidth="false" hidden="false" outlineLevel="0" max="8011" min="8009" style="1" width="0.71"/>
    <col collapsed="false" customWidth="true" hidden="false" outlineLevel="0" max="8012" min="8012" style="1" width="2.42"/>
    <col collapsed="false" customWidth="false" hidden="false" outlineLevel="0" max="8018" min="8013" style="1" width="0.71"/>
    <col collapsed="false" customWidth="true" hidden="false" outlineLevel="0" max="8019" min="8019" style="1" width="16.57"/>
    <col collapsed="false" customWidth="false" hidden="false" outlineLevel="0" max="8022" min="8020" style="1" width="0.71"/>
    <col collapsed="false" customWidth="true" hidden="false" outlineLevel="0" max="8023" min="8023" style="1" width="9.86"/>
    <col collapsed="false" customWidth="true" hidden="false" outlineLevel="0" max="8026" min="8024" style="1" width="9.29"/>
    <col collapsed="false" customWidth="false" hidden="false" outlineLevel="0" max="8239" min="8027" style="1" width="0.71"/>
    <col collapsed="false" customWidth="true" hidden="false" outlineLevel="0" max="8240" min="8240" style="1" width="3.42"/>
    <col collapsed="false" customWidth="true" hidden="false" outlineLevel="0" max="8241" min="8241" style="1" width="2.42"/>
    <col collapsed="false" customWidth="true" hidden="false" outlineLevel="0" max="8242" min="8242" style="1" width="7"/>
    <col collapsed="false" customWidth="false" hidden="false" outlineLevel="0" max="8243" min="8243" style="1" width="0.71"/>
    <col collapsed="false" customWidth="true" hidden="false" outlineLevel="0" max="8244" min="8244" style="1" width="1.57"/>
    <col collapsed="false" customWidth="false" hidden="false" outlineLevel="0" max="8245" min="8245" style="1" width="0.71"/>
    <col collapsed="false" customWidth="true" hidden="false" outlineLevel="0" max="8246" min="8246" style="1" width="11.29"/>
    <col collapsed="false" customWidth="false" hidden="false" outlineLevel="0" max="8247" min="8247" style="1" width="0.71"/>
    <col collapsed="false" customWidth="true" hidden="false" outlineLevel="0" max="8248" min="8248" style="1" width="1.57"/>
    <col collapsed="false" customWidth="false" hidden="false" outlineLevel="0" max="8253" min="8249" style="1" width="0.71"/>
    <col collapsed="false" customWidth="true" hidden="false" outlineLevel="0" max="8254" min="8254" style="1" width="2.15"/>
    <col collapsed="false" customWidth="false" hidden="false" outlineLevel="0" max="8255" min="8255" style="1" width="0.71"/>
    <col collapsed="false" customWidth="true" hidden="false" outlineLevel="0" max="8256" min="8256" style="1" width="1.57"/>
    <col collapsed="false" customWidth="false" hidden="false" outlineLevel="0" max="8257" min="8257" style="1" width="0.71"/>
    <col collapsed="false" customWidth="true" hidden="false" outlineLevel="0" max="8258" min="8258" style="1" width="7"/>
    <col collapsed="false" customWidth="false" hidden="false" outlineLevel="0" max="8259" min="8259" style="1" width="0.71"/>
    <col collapsed="false" customWidth="true" hidden="false" outlineLevel="0" max="8260" min="8260" style="1" width="4"/>
    <col collapsed="false" customWidth="false" hidden="false" outlineLevel="0" max="8261" min="8261" style="1" width="0.71"/>
    <col collapsed="false" customWidth="true" hidden="false" outlineLevel="0" max="8262" min="8262" style="1" width="1.57"/>
    <col collapsed="false" customWidth="false" hidden="false" outlineLevel="0" max="8263" min="8263" style="1" width="0.71"/>
    <col collapsed="false" customWidth="true" hidden="false" outlineLevel="0" max="8264" min="8264" style="1" width="7"/>
    <col collapsed="false" customWidth="false" hidden="false" outlineLevel="0" max="8267" min="8265" style="1" width="0.71"/>
    <col collapsed="false" customWidth="true" hidden="false" outlineLevel="0" max="8268" min="8268" style="1" width="2.42"/>
    <col collapsed="false" customWidth="false" hidden="false" outlineLevel="0" max="8274" min="8269" style="1" width="0.71"/>
    <col collapsed="false" customWidth="true" hidden="false" outlineLevel="0" max="8275" min="8275" style="1" width="16.57"/>
    <col collapsed="false" customWidth="false" hidden="false" outlineLevel="0" max="8278" min="8276" style="1" width="0.71"/>
    <col collapsed="false" customWidth="true" hidden="false" outlineLevel="0" max="8279" min="8279" style="1" width="9.86"/>
    <col collapsed="false" customWidth="true" hidden="false" outlineLevel="0" max="8282" min="8280" style="1" width="9.29"/>
    <col collapsed="false" customWidth="false" hidden="false" outlineLevel="0" max="8495" min="8283" style="1" width="0.71"/>
    <col collapsed="false" customWidth="true" hidden="false" outlineLevel="0" max="8496" min="8496" style="1" width="3.42"/>
    <col collapsed="false" customWidth="true" hidden="false" outlineLevel="0" max="8497" min="8497" style="1" width="2.42"/>
    <col collapsed="false" customWidth="true" hidden="false" outlineLevel="0" max="8498" min="8498" style="1" width="7"/>
    <col collapsed="false" customWidth="false" hidden="false" outlineLevel="0" max="8499" min="8499" style="1" width="0.71"/>
    <col collapsed="false" customWidth="true" hidden="false" outlineLevel="0" max="8500" min="8500" style="1" width="1.57"/>
    <col collapsed="false" customWidth="false" hidden="false" outlineLevel="0" max="8501" min="8501" style="1" width="0.71"/>
    <col collapsed="false" customWidth="true" hidden="false" outlineLevel="0" max="8502" min="8502" style="1" width="11.29"/>
    <col collapsed="false" customWidth="false" hidden="false" outlineLevel="0" max="8503" min="8503" style="1" width="0.71"/>
    <col collapsed="false" customWidth="true" hidden="false" outlineLevel="0" max="8504" min="8504" style="1" width="1.57"/>
    <col collapsed="false" customWidth="false" hidden="false" outlineLevel="0" max="8509" min="8505" style="1" width="0.71"/>
    <col collapsed="false" customWidth="true" hidden="false" outlineLevel="0" max="8510" min="8510" style="1" width="2.15"/>
    <col collapsed="false" customWidth="false" hidden="false" outlineLevel="0" max="8511" min="8511" style="1" width="0.71"/>
    <col collapsed="false" customWidth="true" hidden="false" outlineLevel="0" max="8512" min="8512" style="1" width="1.57"/>
    <col collapsed="false" customWidth="false" hidden="false" outlineLevel="0" max="8513" min="8513" style="1" width="0.71"/>
    <col collapsed="false" customWidth="true" hidden="false" outlineLevel="0" max="8514" min="8514" style="1" width="7"/>
    <col collapsed="false" customWidth="false" hidden="false" outlineLevel="0" max="8515" min="8515" style="1" width="0.71"/>
    <col collapsed="false" customWidth="true" hidden="false" outlineLevel="0" max="8516" min="8516" style="1" width="4"/>
    <col collapsed="false" customWidth="false" hidden="false" outlineLevel="0" max="8517" min="8517" style="1" width="0.71"/>
    <col collapsed="false" customWidth="true" hidden="false" outlineLevel="0" max="8518" min="8518" style="1" width="1.57"/>
    <col collapsed="false" customWidth="false" hidden="false" outlineLevel="0" max="8519" min="8519" style="1" width="0.71"/>
    <col collapsed="false" customWidth="true" hidden="false" outlineLevel="0" max="8520" min="8520" style="1" width="7"/>
    <col collapsed="false" customWidth="false" hidden="false" outlineLevel="0" max="8523" min="8521" style="1" width="0.71"/>
    <col collapsed="false" customWidth="true" hidden="false" outlineLevel="0" max="8524" min="8524" style="1" width="2.42"/>
    <col collapsed="false" customWidth="false" hidden="false" outlineLevel="0" max="8530" min="8525" style="1" width="0.71"/>
    <col collapsed="false" customWidth="true" hidden="false" outlineLevel="0" max="8531" min="8531" style="1" width="16.57"/>
    <col collapsed="false" customWidth="false" hidden="false" outlineLevel="0" max="8534" min="8532" style="1" width="0.71"/>
    <col collapsed="false" customWidth="true" hidden="false" outlineLevel="0" max="8535" min="8535" style="1" width="9.86"/>
    <col collapsed="false" customWidth="true" hidden="false" outlineLevel="0" max="8538" min="8536" style="1" width="9.29"/>
    <col collapsed="false" customWidth="false" hidden="false" outlineLevel="0" max="8751" min="8539" style="1" width="0.71"/>
    <col collapsed="false" customWidth="true" hidden="false" outlineLevel="0" max="8752" min="8752" style="1" width="3.42"/>
    <col collapsed="false" customWidth="true" hidden="false" outlineLevel="0" max="8753" min="8753" style="1" width="2.42"/>
    <col collapsed="false" customWidth="true" hidden="false" outlineLevel="0" max="8754" min="8754" style="1" width="7"/>
    <col collapsed="false" customWidth="false" hidden="false" outlineLevel="0" max="8755" min="8755" style="1" width="0.71"/>
    <col collapsed="false" customWidth="true" hidden="false" outlineLevel="0" max="8756" min="8756" style="1" width="1.57"/>
    <col collapsed="false" customWidth="false" hidden="false" outlineLevel="0" max="8757" min="8757" style="1" width="0.71"/>
    <col collapsed="false" customWidth="true" hidden="false" outlineLevel="0" max="8758" min="8758" style="1" width="11.29"/>
    <col collapsed="false" customWidth="false" hidden="false" outlineLevel="0" max="8759" min="8759" style="1" width="0.71"/>
    <col collapsed="false" customWidth="true" hidden="false" outlineLevel="0" max="8760" min="8760" style="1" width="1.57"/>
    <col collapsed="false" customWidth="false" hidden="false" outlineLevel="0" max="8765" min="8761" style="1" width="0.71"/>
    <col collapsed="false" customWidth="true" hidden="false" outlineLevel="0" max="8766" min="8766" style="1" width="2.15"/>
    <col collapsed="false" customWidth="false" hidden="false" outlineLevel="0" max="8767" min="8767" style="1" width="0.71"/>
    <col collapsed="false" customWidth="true" hidden="false" outlineLevel="0" max="8768" min="8768" style="1" width="1.57"/>
    <col collapsed="false" customWidth="false" hidden="false" outlineLevel="0" max="8769" min="8769" style="1" width="0.71"/>
    <col collapsed="false" customWidth="true" hidden="false" outlineLevel="0" max="8770" min="8770" style="1" width="7"/>
    <col collapsed="false" customWidth="false" hidden="false" outlineLevel="0" max="8771" min="8771" style="1" width="0.71"/>
    <col collapsed="false" customWidth="true" hidden="false" outlineLevel="0" max="8772" min="8772" style="1" width="4"/>
    <col collapsed="false" customWidth="false" hidden="false" outlineLevel="0" max="8773" min="8773" style="1" width="0.71"/>
    <col collapsed="false" customWidth="true" hidden="false" outlineLevel="0" max="8774" min="8774" style="1" width="1.57"/>
    <col collapsed="false" customWidth="false" hidden="false" outlineLevel="0" max="8775" min="8775" style="1" width="0.71"/>
    <col collapsed="false" customWidth="true" hidden="false" outlineLevel="0" max="8776" min="8776" style="1" width="7"/>
    <col collapsed="false" customWidth="false" hidden="false" outlineLevel="0" max="8779" min="8777" style="1" width="0.71"/>
    <col collapsed="false" customWidth="true" hidden="false" outlineLevel="0" max="8780" min="8780" style="1" width="2.42"/>
    <col collapsed="false" customWidth="false" hidden="false" outlineLevel="0" max="8786" min="8781" style="1" width="0.71"/>
    <col collapsed="false" customWidth="true" hidden="false" outlineLevel="0" max="8787" min="8787" style="1" width="16.57"/>
    <col collapsed="false" customWidth="false" hidden="false" outlineLevel="0" max="8790" min="8788" style="1" width="0.71"/>
    <col collapsed="false" customWidth="true" hidden="false" outlineLevel="0" max="8791" min="8791" style="1" width="9.86"/>
    <col collapsed="false" customWidth="true" hidden="false" outlineLevel="0" max="8794" min="8792" style="1" width="9.29"/>
    <col collapsed="false" customWidth="false" hidden="false" outlineLevel="0" max="9007" min="8795" style="1" width="0.71"/>
    <col collapsed="false" customWidth="true" hidden="false" outlineLevel="0" max="9008" min="9008" style="1" width="3.42"/>
    <col collapsed="false" customWidth="true" hidden="false" outlineLevel="0" max="9009" min="9009" style="1" width="2.42"/>
    <col collapsed="false" customWidth="true" hidden="false" outlineLevel="0" max="9010" min="9010" style="1" width="7"/>
    <col collapsed="false" customWidth="false" hidden="false" outlineLevel="0" max="9011" min="9011" style="1" width="0.71"/>
    <col collapsed="false" customWidth="true" hidden="false" outlineLevel="0" max="9012" min="9012" style="1" width="1.57"/>
    <col collapsed="false" customWidth="false" hidden="false" outlineLevel="0" max="9013" min="9013" style="1" width="0.71"/>
    <col collapsed="false" customWidth="true" hidden="false" outlineLevel="0" max="9014" min="9014" style="1" width="11.29"/>
    <col collapsed="false" customWidth="false" hidden="false" outlineLevel="0" max="9015" min="9015" style="1" width="0.71"/>
    <col collapsed="false" customWidth="true" hidden="false" outlineLevel="0" max="9016" min="9016" style="1" width="1.57"/>
    <col collapsed="false" customWidth="false" hidden="false" outlineLevel="0" max="9021" min="9017" style="1" width="0.71"/>
    <col collapsed="false" customWidth="true" hidden="false" outlineLevel="0" max="9022" min="9022" style="1" width="2.15"/>
    <col collapsed="false" customWidth="false" hidden="false" outlineLevel="0" max="9023" min="9023" style="1" width="0.71"/>
    <col collapsed="false" customWidth="true" hidden="false" outlineLevel="0" max="9024" min="9024" style="1" width="1.57"/>
    <col collapsed="false" customWidth="false" hidden="false" outlineLevel="0" max="9025" min="9025" style="1" width="0.71"/>
    <col collapsed="false" customWidth="true" hidden="false" outlineLevel="0" max="9026" min="9026" style="1" width="7"/>
    <col collapsed="false" customWidth="false" hidden="false" outlineLevel="0" max="9027" min="9027" style="1" width="0.71"/>
    <col collapsed="false" customWidth="true" hidden="false" outlineLevel="0" max="9028" min="9028" style="1" width="4"/>
    <col collapsed="false" customWidth="false" hidden="false" outlineLevel="0" max="9029" min="9029" style="1" width="0.71"/>
    <col collapsed="false" customWidth="true" hidden="false" outlineLevel="0" max="9030" min="9030" style="1" width="1.57"/>
    <col collapsed="false" customWidth="false" hidden="false" outlineLevel="0" max="9031" min="9031" style="1" width="0.71"/>
    <col collapsed="false" customWidth="true" hidden="false" outlineLevel="0" max="9032" min="9032" style="1" width="7"/>
    <col collapsed="false" customWidth="false" hidden="false" outlineLevel="0" max="9035" min="9033" style="1" width="0.71"/>
    <col collapsed="false" customWidth="true" hidden="false" outlineLevel="0" max="9036" min="9036" style="1" width="2.42"/>
    <col collapsed="false" customWidth="false" hidden="false" outlineLevel="0" max="9042" min="9037" style="1" width="0.71"/>
    <col collapsed="false" customWidth="true" hidden="false" outlineLevel="0" max="9043" min="9043" style="1" width="16.57"/>
    <col collapsed="false" customWidth="false" hidden="false" outlineLevel="0" max="9046" min="9044" style="1" width="0.71"/>
    <col collapsed="false" customWidth="true" hidden="false" outlineLevel="0" max="9047" min="9047" style="1" width="9.86"/>
    <col collapsed="false" customWidth="true" hidden="false" outlineLevel="0" max="9050" min="9048" style="1" width="9.29"/>
    <col collapsed="false" customWidth="false" hidden="false" outlineLevel="0" max="9263" min="9051" style="1" width="0.71"/>
    <col collapsed="false" customWidth="true" hidden="false" outlineLevel="0" max="9264" min="9264" style="1" width="3.42"/>
    <col collapsed="false" customWidth="true" hidden="false" outlineLevel="0" max="9265" min="9265" style="1" width="2.42"/>
    <col collapsed="false" customWidth="true" hidden="false" outlineLevel="0" max="9266" min="9266" style="1" width="7"/>
    <col collapsed="false" customWidth="false" hidden="false" outlineLevel="0" max="9267" min="9267" style="1" width="0.71"/>
    <col collapsed="false" customWidth="true" hidden="false" outlineLevel="0" max="9268" min="9268" style="1" width="1.57"/>
    <col collapsed="false" customWidth="false" hidden="false" outlineLevel="0" max="9269" min="9269" style="1" width="0.71"/>
    <col collapsed="false" customWidth="true" hidden="false" outlineLevel="0" max="9270" min="9270" style="1" width="11.29"/>
    <col collapsed="false" customWidth="false" hidden="false" outlineLevel="0" max="9271" min="9271" style="1" width="0.71"/>
    <col collapsed="false" customWidth="true" hidden="false" outlineLevel="0" max="9272" min="9272" style="1" width="1.57"/>
    <col collapsed="false" customWidth="false" hidden="false" outlineLevel="0" max="9277" min="9273" style="1" width="0.71"/>
    <col collapsed="false" customWidth="true" hidden="false" outlineLevel="0" max="9278" min="9278" style="1" width="2.15"/>
    <col collapsed="false" customWidth="false" hidden="false" outlineLevel="0" max="9279" min="9279" style="1" width="0.71"/>
    <col collapsed="false" customWidth="true" hidden="false" outlineLevel="0" max="9280" min="9280" style="1" width="1.57"/>
    <col collapsed="false" customWidth="false" hidden="false" outlineLevel="0" max="9281" min="9281" style="1" width="0.71"/>
    <col collapsed="false" customWidth="true" hidden="false" outlineLevel="0" max="9282" min="9282" style="1" width="7"/>
    <col collapsed="false" customWidth="false" hidden="false" outlineLevel="0" max="9283" min="9283" style="1" width="0.71"/>
    <col collapsed="false" customWidth="true" hidden="false" outlineLevel="0" max="9284" min="9284" style="1" width="4"/>
    <col collapsed="false" customWidth="false" hidden="false" outlineLevel="0" max="9285" min="9285" style="1" width="0.71"/>
    <col collapsed="false" customWidth="true" hidden="false" outlineLevel="0" max="9286" min="9286" style="1" width="1.57"/>
    <col collapsed="false" customWidth="false" hidden="false" outlineLevel="0" max="9287" min="9287" style="1" width="0.71"/>
    <col collapsed="false" customWidth="true" hidden="false" outlineLevel="0" max="9288" min="9288" style="1" width="7"/>
    <col collapsed="false" customWidth="false" hidden="false" outlineLevel="0" max="9291" min="9289" style="1" width="0.71"/>
    <col collapsed="false" customWidth="true" hidden="false" outlineLevel="0" max="9292" min="9292" style="1" width="2.42"/>
    <col collapsed="false" customWidth="false" hidden="false" outlineLevel="0" max="9298" min="9293" style="1" width="0.71"/>
    <col collapsed="false" customWidth="true" hidden="false" outlineLevel="0" max="9299" min="9299" style="1" width="16.57"/>
    <col collapsed="false" customWidth="false" hidden="false" outlineLevel="0" max="9302" min="9300" style="1" width="0.71"/>
    <col collapsed="false" customWidth="true" hidden="false" outlineLevel="0" max="9303" min="9303" style="1" width="9.86"/>
    <col collapsed="false" customWidth="true" hidden="false" outlineLevel="0" max="9306" min="9304" style="1" width="9.29"/>
    <col collapsed="false" customWidth="false" hidden="false" outlineLevel="0" max="9519" min="9307" style="1" width="0.71"/>
    <col collapsed="false" customWidth="true" hidden="false" outlineLevel="0" max="9520" min="9520" style="1" width="3.42"/>
    <col collapsed="false" customWidth="true" hidden="false" outlineLevel="0" max="9521" min="9521" style="1" width="2.42"/>
    <col collapsed="false" customWidth="true" hidden="false" outlineLevel="0" max="9522" min="9522" style="1" width="7"/>
    <col collapsed="false" customWidth="false" hidden="false" outlineLevel="0" max="9523" min="9523" style="1" width="0.71"/>
    <col collapsed="false" customWidth="true" hidden="false" outlineLevel="0" max="9524" min="9524" style="1" width="1.57"/>
    <col collapsed="false" customWidth="false" hidden="false" outlineLevel="0" max="9525" min="9525" style="1" width="0.71"/>
    <col collapsed="false" customWidth="true" hidden="false" outlineLevel="0" max="9526" min="9526" style="1" width="11.29"/>
    <col collapsed="false" customWidth="false" hidden="false" outlineLevel="0" max="9527" min="9527" style="1" width="0.71"/>
    <col collapsed="false" customWidth="true" hidden="false" outlineLevel="0" max="9528" min="9528" style="1" width="1.57"/>
    <col collapsed="false" customWidth="false" hidden="false" outlineLevel="0" max="9533" min="9529" style="1" width="0.71"/>
    <col collapsed="false" customWidth="true" hidden="false" outlineLevel="0" max="9534" min="9534" style="1" width="2.15"/>
    <col collapsed="false" customWidth="false" hidden="false" outlineLevel="0" max="9535" min="9535" style="1" width="0.71"/>
    <col collapsed="false" customWidth="true" hidden="false" outlineLevel="0" max="9536" min="9536" style="1" width="1.57"/>
    <col collapsed="false" customWidth="false" hidden="false" outlineLevel="0" max="9537" min="9537" style="1" width="0.71"/>
    <col collapsed="false" customWidth="true" hidden="false" outlineLevel="0" max="9538" min="9538" style="1" width="7"/>
    <col collapsed="false" customWidth="false" hidden="false" outlineLevel="0" max="9539" min="9539" style="1" width="0.71"/>
    <col collapsed="false" customWidth="true" hidden="false" outlineLevel="0" max="9540" min="9540" style="1" width="4"/>
    <col collapsed="false" customWidth="false" hidden="false" outlineLevel="0" max="9541" min="9541" style="1" width="0.71"/>
    <col collapsed="false" customWidth="true" hidden="false" outlineLevel="0" max="9542" min="9542" style="1" width="1.57"/>
    <col collapsed="false" customWidth="false" hidden="false" outlineLevel="0" max="9543" min="9543" style="1" width="0.71"/>
    <col collapsed="false" customWidth="true" hidden="false" outlineLevel="0" max="9544" min="9544" style="1" width="7"/>
    <col collapsed="false" customWidth="false" hidden="false" outlineLevel="0" max="9547" min="9545" style="1" width="0.71"/>
    <col collapsed="false" customWidth="true" hidden="false" outlineLevel="0" max="9548" min="9548" style="1" width="2.42"/>
    <col collapsed="false" customWidth="false" hidden="false" outlineLevel="0" max="9554" min="9549" style="1" width="0.71"/>
    <col collapsed="false" customWidth="true" hidden="false" outlineLevel="0" max="9555" min="9555" style="1" width="16.57"/>
    <col collapsed="false" customWidth="false" hidden="false" outlineLevel="0" max="9558" min="9556" style="1" width="0.71"/>
    <col collapsed="false" customWidth="true" hidden="false" outlineLevel="0" max="9559" min="9559" style="1" width="9.86"/>
    <col collapsed="false" customWidth="true" hidden="false" outlineLevel="0" max="9562" min="9560" style="1" width="9.29"/>
    <col collapsed="false" customWidth="false" hidden="false" outlineLevel="0" max="9775" min="9563" style="1" width="0.71"/>
    <col collapsed="false" customWidth="true" hidden="false" outlineLevel="0" max="9776" min="9776" style="1" width="3.42"/>
    <col collapsed="false" customWidth="true" hidden="false" outlineLevel="0" max="9777" min="9777" style="1" width="2.42"/>
    <col collapsed="false" customWidth="true" hidden="false" outlineLevel="0" max="9778" min="9778" style="1" width="7"/>
    <col collapsed="false" customWidth="false" hidden="false" outlineLevel="0" max="9779" min="9779" style="1" width="0.71"/>
    <col collapsed="false" customWidth="true" hidden="false" outlineLevel="0" max="9780" min="9780" style="1" width="1.57"/>
    <col collapsed="false" customWidth="false" hidden="false" outlineLevel="0" max="9781" min="9781" style="1" width="0.71"/>
    <col collapsed="false" customWidth="true" hidden="false" outlineLevel="0" max="9782" min="9782" style="1" width="11.29"/>
    <col collapsed="false" customWidth="false" hidden="false" outlineLevel="0" max="9783" min="9783" style="1" width="0.71"/>
    <col collapsed="false" customWidth="true" hidden="false" outlineLevel="0" max="9784" min="9784" style="1" width="1.57"/>
    <col collapsed="false" customWidth="false" hidden="false" outlineLevel="0" max="9789" min="9785" style="1" width="0.71"/>
    <col collapsed="false" customWidth="true" hidden="false" outlineLevel="0" max="9790" min="9790" style="1" width="2.15"/>
    <col collapsed="false" customWidth="false" hidden="false" outlineLevel="0" max="9791" min="9791" style="1" width="0.71"/>
    <col collapsed="false" customWidth="true" hidden="false" outlineLevel="0" max="9792" min="9792" style="1" width="1.57"/>
    <col collapsed="false" customWidth="false" hidden="false" outlineLevel="0" max="9793" min="9793" style="1" width="0.71"/>
    <col collapsed="false" customWidth="true" hidden="false" outlineLevel="0" max="9794" min="9794" style="1" width="7"/>
    <col collapsed="false" customWidth="false" hidden="false" outlineLevel="0" max="9795" min="9795" style="1" width="0.71"/>
    <col collapsed="false" customWidth="true" hidden="false" outlineLevel="0" max="9796" min="9796" style="1" width="4"/>
    <col collapsed="false" customWidth="false" hidden="false" outlineLevel="0" max="9797" min="9797" style="1" width="0.71"/>
    <col collapsed="false" customWidth="true" hidden="false" outlineLevel="0" max="9798" min="9798" style="1" width="1.57"/>
    <col collapsed="false" customWidth="false" hidden="false" outlineLevel="0" max="9799" min="9799" style="1" width="0.71"/>
    <col collapsed="false" customWidth="true" hidden="false" outlineLevel="0" max="9800" min="9800" style="1" width="7"/>
    <col collapsed="false" customWidth="false" hidden="false" outlineLevel="0" max="9803" min="9801" style="1" width="0.71"/>
    <col collapsed="false" customWidth="true" hidden="false" outlineLevel="0" max="9804" min="9804" style="1" width="2.42"/>
    <col collapsed="false" customWidth="false" hidden="false" outlineLevel="0" max="9810" min="9805" style="1" width="0.71"/>
    <col collapsed="false" customWidth="true" hidden="false" outlineLevel="0" max="9811" min="9811" style="1" width="16.57"/>
    <col collapsed="false" customWidth="false" hidden="false" outlineLevel="0" max="9814" min="9812" style="1" width="0.71"/>
    <col collapsed="false" customWidth="true" hidden="false" outlineLevel="0" max="9815" min="9815" style="1" width="9.86"/>
    <col collapsed="false" customWidth="true" hidden="false" outlineLevel="0" max="9818" min="9816" style="1" width="9.29"/>
    <col collapsed="false" customWidth="false" hidden="false" outlineLevel="0" max="10031" min="9819" style="1" width="0.71"/>
    <col collapsed="false" customWidth="true" hidden="false" outlineLevel="0" max="10032" min="10032" style="1" width="3.42"/>
    <col collapsed="false" customWidth="true" hidden="false" outlineLevel="0" max="10033" min="10033" style="1" width="2.42"/>
    <col collapsed="false" customWidth="true" hidden="false" outlineLevel="0" max="10034" min="10034" style="1" width="7"/>
    <col collapsed="false" customWidth="false" hidden="false" outlineLevel="0" max="10035" min="10035" style="1" width="0.71"/>
    <col collapsed="false" customWidth="true" hidden="false" outlineLevel="0" max="10036" min="10036" style="1" width="1.57"/>
    <col collapsed="false" customWidth="false" hidden="false" outlineLevel="0" max="10037" min="10037" style="1" width="0.71"/>
    <col collapsed="false" customWidth="true" hidden="false" outlineLevel="0" max="10038" min="10038" style="1" width="11.29"/>
    <col collapsed="false" customWidth="false" hidden="false" outlineLevel="0" max="10039" min="10039" style="1" width="0.71"/>
    <col collapsed="false" customWidth="true" hidden="false" outlineLevel="0" max="10040" min="10040" style="1" width="1.57"/>
    <col collapsed="false" customWidth="false" hidden="false" outlineLevel="0" max="10045" min="10041" style="1" width="0.71"/>
    <col collapsed="false" customWidth="true" hidden="false" outlineLevel="0" max="10046" min="10046" style="1" width="2.15"/>
    <col collapsed="false" customWidth="false" hidden="false" outlineLevel="0" max="10047" min="10047" style="1" width="0.71"/>
    <col collapsed="false" customWidth="true" hidden="false" outlineLevel="0" max="10048" min="10048" style="1" width="1.57"/>
    <col collapsed="false" customWidth="false" hidden="false" outlineLevel="0" max="10049" min="10049" style="1" width="0.71"/>
    <col collapsed="false" customWidth="true" hidden="false" outlineLevel="0" max="10050" min="10050" style="1" width="7"/>
    <col collapsed="false" customWidth="false" hidden="false" outlineLevel="0" max="10051" min="10051" style="1" width="0.71"/>
    <col collapsed="false" customWidth="true" hidden="false" outlineLevel="0" max="10052" min="10052" style="1" width="4"/>
    <col collapsed="false" customWidth="false" hidden="false" outlineLevel="0" max="10053" min="10053" style="1" width="0.71"/>
    <col collapsed="false" customWidth="true" hidden="false" outlineLevel="0" max="10054" min="10054" style="1" width="1.57"/>
    <col collapsed="false" customWidth="false" hidden="false" outlineLevel="0" max="10055" min="10055" style="1" width="0.71"/>
    <col collapsed="false" customWidth="true" hidden="false" outlineLevel="0" max="10056" min="10056" style="1" width="7"/>
    <col collapsed="false" customWidth="false" hidden="false" outlineLevel="0" max="10059" min="10057" style="1" width="0.71"/>
    <col collapsed="false" customWidth="true" hidden="false" outlineLevel="0" max="10060" min="10060" style="1" width="2.42"/>
    <col collapsed="false" customWidth="false" hidden="false" outlineLevel="0" max="10066" min="10061" style="1" width="0.71"/>
    <col collapsed="false" customWidth="true" hidden="false" outlineLevel="0" max="10067" min="10067" style="1" width="16.57"/>
    <col collapsed="false" customWidth="false" hidden="false" outlineLevel="0" max="10070" min="10068" style="1" width="0.71"/>
    <col collapsed="false" customWidth="true" hidden="false" outlineLevel="0" max="10071" min="10071" style="1" width="9.86"/>
    <col collapsed="false" customWidth="true" hidden="false" outlineLevel="0" max="10074" min="10072" style="1" width="9.29"/>
    <col collapsed="false" customWidth="false" hidden="false" outlineLevel="0" max="10287" min="10075" style="1" width="0.71"/>
    <col collapsed="false" customWidth="true" hidden="false" outlineLevel="0" max="10288" min="10288" style="1" width="3.42"/>
    <col collapsed="false" customWidth="true" hidden="false" outlineLevel="0" max="10289" min="10289" style="1" width="2.42"/>
    <col collapsed="false" customWidth="true" hidden="false" outlineLevel="0" max="10290" min="10290" style="1" width="7"/>
    <col collapsed="false" customWidth="false" hidden="false" outlineLevel="0" max="10291" min="10291" style="1" width="0.71"/>
    <col collapsed="false" customWidth="true" hidden="false" outlineLevel="0" max="10292" min="10292" style="1" width="1.57"/>
    <col collapsed="false" customWidth="false" hidden="false" outlineLevel="0" max="10293" min="10293" style="1" width="0.71"/>
    <col collapsed="false" customWidth="true" hidden="false" outlineLevel="0" max="10294" min="10294" style="1" width="11.29"/>
    <col collapsed="false" customWidth="false" hidden="false" outlineLevel="0" max="10295" min="10295" style="1" width="0.71"/>
    <col collapsed="false" customWidth="true" hidden="false" outlineLevel="0" max="10296" min="10296" style="1" width="1.57"/>
    <col collapsed="false" customWidth="false" hidden="false" outlineLevel="0" max="10301" min="10297" style="1" width="0.71"/>
    <col collapsed="false" customWidth="true" hidden="false" outlineLevel="0" max="10302" min="10302" style="1" width="2.15"/>
    <col collapsed="false" customWidth="false" hidden="false" outlineLevel="0" max="10303" min="10303" style="1" width="0.71"/>
    <col collapsed="false" customWidth="true" hidden="false" outlineLevel="0" max="10304" min="10304" style="1" width="1.57"/>
    <col collapsed="false" customWidth="false" hidden="false" outlineLevel="0" max="10305" min="10305" style="1" width="0.71"/>
    <col collapsed="false" customWidth="true" hidden="false" outlineLevel="0" max="10306" min="10306" style="1" width="7"/>
    <col collapsed="false" customWidth="false" hidden="false" outlineLevel="0" max="10307" min="10307" style="1" width="0.71"/>
    <col collapsed="false" customWidth="true" hidden="false" outlineLevel="0" max="10308" min="10308" style="1" width="4"/>
    <col collapsed="false" customWidth="false" hidden="false" outlineLevel="0" max="10309" min="10309" style="1" width="0.71"/>
    <col collapsed="false" customWidth="true" hidden="false" outlineLevel="0" max="10310" min="10310" style="1" width="1.57"/>
    <col collapsed="false" customWidth="false" hidden="false" outlineLevel="0" max="10311" min="10311" style="1" width="0.71"/>
    <col collapsed="false" customWidth="true" hidden="false" outlineLevel="0" max="10312" min="10312" style="1" width="7"/>
    <col collapsed="false" customWidth="false" hidden="false" outlineLevel="0" max="10315" min="10313" style="1" width="0.71"/>
    <col collapsed="false" customWidth="true" hidden="false" outlineLevel="0" max="10316" min="10316" style="1" width="2.42"/>
    <col collapsed="false" customWidth="false" hidden="false" outlineLevel="0" max="10322" min="10317" style="1" width="0.71"/>
    <col collapsed="false" customWidth="true" hidden="false" outlineLevel="0" max="10323" min="10323" style="1" width="16.57"/>
    <col collapsed="false" customWidth="false" hidden="false" outlineLevel="0" max="10326" min="10324" style="1" width="0.71"/>
    <col collapsed="false" customWidth="true" hidden="false" outlineLevel="0" max="10327" min="10327" style="1" width="9.86"/>
    <col collapsed="false" customWidth="true" hidden="false" outlineLevel="0" max="10330" min="10328" style="1" width="9.29"/>
    <col collapsed="false" customWidth="false" hidden="false" outlineLevel="0" max="10543" min="10331" style="1" width="0.71"/>
    <col collapsed="false" customWidth="true" hidden="false" outlineLevel="0" max="10544" min="10544" style="1" width="3.42"/>
    <col collapsed="false" customWidth="true" hidden="false" outlineLevel="0" max="10545" min="10545" style="1" width="2.42"/>
    <col collapsed="false" customWidth="true" hidden="false" outlineLevel="0" max="10546" min="10546" style="1" width="7"/>
    <col collapsed="false" customWidth="false" hidden="false" outlineLevel="0" max="10547" min="10547" style="1" width="0.71"/>
    <col collapsed="false" customWidth="true" hidden="false" outlineLevel="0" max="10548" min="10548" style="1" width="1.57"/>
    <col collapsed="false" customWidth="false" hidden="false" outlineLevel="0" max="10549" min="10549" style="1" width="0.71"/>
    <col collapsed="false" customWidth="true" hidden="false" outlineLevel="0" max="10550" min="10550" style="1" width="11.29"/>
    <col collapsed="false" customWidth="false" hidden="false" outlineLevel="0" max="10551" min="10551" style="1" width="0.71"/>
    <col collapsed="false" customWidth="true" hidden="false" outlineLevel="0" max="10552" min="10552" style="1" width="1.57"/>
    <col collapsed="false" customWidth="false" hidden="false" outlineLevel="0" max="10557" min="10553" style="1" width="0.71"/>
    <col collapsed="false" customWidth="true" hidden="false" outlineLevel="0" max="10558" min="10558" style="1" width="2.15"/>
    <col collapsed="false" customWidth="false" hidden="false" outlineLevel="0" max="10559" min="10559" style="1" width="0.71"/>
    <col collapsed="false" customWidth="true" hidden="false" outlineLevel="0" max="10560" min="10560" style="1" width="1.57"/>
    <col collapsed="false" customWidth="false" hidden="false" outlineLevel="0" max="10561" min="10561" style="1" width="0.71"/>
    <col collapsed="false" customWidth="true" hidden="false" outlineLevel="0" max="10562" min="10562" style="1" width="7"/>
    <col collapsed="false" customWidth="false" hidden="false" outlineLevel="0" max="10563" min="10563" style="1" width="0.71"/>
    <col collapsed="false" customWidth="true" hidden="false" outlineLevel="0" max="10564" min="10564" style="1" width="4"/>
    <col collapsed="false" customWidth="false" hidden="false" outlineLevel="0" max="10565" min="10565" style="1" width="0.71"/>
    <col collapsed="false" customWidth="true" hidden="false" outlineLevel="0" max="10566" min="10566" style="1" width="1.57"/>
    <col collapsed="false" customWidth="false" hidden="false" outlineLevel="0" max="10567" min="10567" style="1" width="0.71"/>
    <col collapsed="false" customWidth="true" hidden="false" outlineLevel="0" max="10568" min="10568" style="1" width="7"/>
    <col collapsed="false" customWidth="false" hidden="false" outlineLevel="0" max="10571" min="10569" style="1" width="0.71"/>
    <col collapsed="false" customWidth="true" hidden="false" outlineLevel="0" max="10572" min="10572" style="1" width="2.42"/>
    <col collapsed="false" customWidth="false" hidden="false" outlineLevel="0" max="10578" min="10573" style="1" width="0.71"/>
    <col collapsed="false" customWidth="true" hidden="false" outlineLevel="0" max="10579" min="10579" style="1" width="16.57"/>
    <col collapsed="false" customWidth="false" hidden="false" outlineLevel="0" max="10582" min="10580" style="1" width="0.71"/>
    <col collapsed="false" customWidth="true" hidden="false" outlineLevel="0" max="10583" min="10583" style="1" width="9.86"/>
    <col collapsed="false" customWidth="true" hidden="false" outlineLevel="0" max="10586" min="10584" style="1" width="9.29"/>
    <col collapsed="false" customWidth="false" hidden="false" outlineLevel="0" max="10799" min="10587" style="1" width="0.71"/>
    <col collapsed="false" customWidth="true" hidden="false" outlineLevel="0" max="10800" min="10800" style="1" width="3.42"/>
    <col collapsed="false" customWidth="true" hidden="false" outlineLevel="0" max="10801" min="10801" style="1" width="2.42"/>
    <col collapsed="false" customWidth="true" hidden="false" outlineLevel="0" max="10802" min="10802" style="1" width="7"/>
    <col collapsed="false" customWidth="false" hidden="false" outlineLevel="0" max="10803" min="10803" style="1" width="0.71"/>
    <col collapsed="false" customWidth="true" hidden="false" outlineLevel="0" max="10804" min="10804" style="1" width="1.57"/>
    <col collapsed="false" customWidth="false" hidden="false" outlineLevel="0" max="10805" min="10805" style="1" width="0.71"/>
    <col collapsed="false" customWidth="true" hidden="false" outlineLevel="0" max="10806" min="10806" style="1" width="11.29"/>
    <col collapsed="false" customWidth="false" hidden="false" outlineLevel="0" max="10807" min="10807" style="1" width="0.71"/>
    <col collapsed="false" customWidth="true" hidden="false" outlineLevel="0" max="10808" min="10808" style="1" width="1.57"/>
    <col collapsed="false" customWidth="false" hidden="false" outlineLevel="0" max="10813" min="10809" style="1" width="0.71"/>
    <col collapsed="false" customWidth="true" hidden="false" outlineLevel="0" max="10814" min="10814" style="1" width="2.15"/>
    <col collapsed="false" customWidth="false" hidden="false" outlineLevel="0" max="10815" min="10815" style="1" width="0.71"/>
    <col collapsed="false" customWidth="true" hidden="false" outlineLevel="0" max="10816" min="10816" style="1" width="1.57"/>
    <col collapsed="false" customWidth="false" hidden="false" outlineLevel="0" max="10817" min="10817" style="1" width="0.71"/>
    <col collapsed="false" customWidth="true" hidden="false" outlineLevel="0" max="10818" min="10818" style="1" width="7"/>
    <col collapsed="false" customWidth="false" hidden="false" outlineLevel="0" max="10819" min="10819" style="1" width="0.71"/>
    <col collapsed="false" customWidth="true" hidden="false" outlineLevel="0" max="10820" min="10820" style="1" width="4"/>
    <col collapsed="false" customWidth="false" hidden="false" outlineLevel="0" max="10821" min="10821" style="1" width="0.71"/>
    <col collapsed="false" customWidth="true" hidden="false" outlineLevel="0" max="10822" min="10822" style="1" width="1.57"/>
    <col collapsed="false" customWidth="false" hidden="false" outlineLevel="0" max="10823" min="10823" style="1" width="0.71"/>
    <col collapsed="false" customWidth="true" hidden="false" outlineLevel="0" max="10824" min="10824" style="1" width="7"/>
    <col collapsed="false" customWidth="false" hidden="false" outlineLevel="0" max="10827" min="10825" style="1" width="0.71"/>
    <col collapsed="false" customWidth="true" hidden="false" outlineLevel="0" max="10828" min="10828" style="1" width="2.42"/>
    <col collapsed="false" customWidth="false" hidden="false" outlineLevel="0" max="10834" min="10829" style="1" width="0.71"/>
    <col collapsed="false" customWidth="true" hidden="false" outlineLevel="0" max="10835" min="10835" style="1" width="16.57"/>
    <col collapsed="false" customWidth="false" hidden="false" outlineLevel="0" max="10838" min="10836" style="1" width="0.71"/>
    <col collapsed="false" customWidth="true" hidden="false" outlineLevel="0" max="10839" min="10839" style="1" width="9.86"/>
    <col collapsed="false" customWidth="true" hidden="false" outlineLevel="0" max="10842" min="10840" style="1" width="9.29"/>
    <col collapsed="false" customWidth="false" hidden="false" outlineLevel="0" max="11055" min="10843" style="1" width="0.71"/>
    <col collapsed="false" customWidth="true" hidden="false" outlineLevel="0" max="11056" min="11056" style="1" width="3.42"/>
    <col collapsed="false" customWidth="true" hidden="false" outlineLevel="0" max="11057" min="11057" style="1" width="2.42"/>
    <col collapsed="false" customWidth="true" hidden="false" outlineLevel="0" max="11058" min="11058" style="1" width="7"/>
    <col collapsed="false" customWidth="false" hidden="false" outlineLevel="0" max="11059" min="11059" style="1" width="0.71"/>
    <col collapsed="false" customWidth="true" hidden="false" outlineLevel="0" max="11060" min="11060" style="1" width="1.57"/>
    <col collapsed="false" customWidth="false" hidden="false" outlineLevel="0" max="11061" min="11061" style="1" width="0.71"/>
    <col collapsed="false" customWidth="true" hidden="false" outlineLevel="0" max="11062" min="11062" style="1" width="11.29"/>
    <col collapsed="false" customWidth="false" hidden="false" outlineLevel="0" max="11063" min="11063" style="1" width="0.71"/>
    <col collapsed="false" customWidth="true" hidden="false" outlineLevel="0" max="11064" min="11064" style="1" width="1.57"/>
    <col collapsed="false" customWidth="false" hidden="false" outlineLevel="0" max="11069" min="11065" style="1" width="0.71"/>
    <col collapsed="false" customWidth="true" hidden="false" outlineLevel="0" max="11070" min="11070" style="1" width="2.15"/>
    <col collapsed="false" customWidth="false" hidden="false" outlineLevel="0" max="11071" min="11071" style="1" width="0.71"/>
    <col collapsed="false" customWidth="true" hidden="false" outlineLevel="0" max="11072" min="11072" style="1" width="1.57"/>
    <col collapsed="false" customWidth="false" hidden="false" outlineLevel="0" max="11073" min="11073" style="1" width="0.71"/>
    <col collapsed="false" customWidth="true" hidden="false" outlineLevel="0" max="11074" min="11074" style="1" width="7"/>
    <col collapsed="false" customWidth="false" hidden="false" outlineLevel="0" max="11075" min="11075" style="1" width="0.71"/>
    <col collapsed="false" customWidth="true" hidden="false" outlineLevel="0" max="11076" min="11076" style="1" width="4"/>
    <col collapsed="false" customWidth="false" hidden="false" outlineLevel="0" max="11077" min="11077" style="1" width="0.71"/>
    <col collapsed="false" customWidth="true" hidden="false" outlineLevel="0" max="11078" min="11078" style="1" width="1.57"/>
    <col collapsed="false" customWidth="false" hidden="false" outlineLevel="0" max="11079" min="11079" style="1" width="0.71"/>
    <col collapsed="false" customWidth="true" hidden="false" outlineLevel="0" max="11080" min="11080" style="1" width="7"/>
    <col collapsed="false" customWidth="false" hidden="false" outlineLevel="0" max="11083" min="11081" style="1" width="0.71"/>
    <col collapsed="false" customWidth="true" hidden="false" outlineLevel="0" max="11084" min="11084" style="1" width="2.42"/>
    <col collapsed="false" customWidth="false" hidden="false" outlineLevel="0" max="11090" min="11085" style="1" width="0.71"/>
    <col collapsed="false" customWidth="true" hidden="false" outlineLevel="0" max="11091" min="11091" style="1" width="16.57"/>
    <col collapsed="false" customWidth="false" hidden="false" outlineLevel="0" max="11094" min="11092" style="1" width="0.71"/>
    <col collapsed="false" customWidth="true" hidden="false" outlineLevel="0" max="11095" min="11095" style="1" width="9.86"/>
    <col collapsed="false" customWidth="true" hidden="false" outlineLevel="0" max="11098" min="11096" style="1" width="9.29"/>
    <col collapsed="false" customWidth="false" hidden="false" outlineLevel="0" max="11311" min="11099" style="1" width="0.71"/>
    <col collapsed="false" customWidth="true" hidden="false" outlineLevel="0" max="11312" min="11312" style="1" width="3.42"/>
    <col collapsed="false" customWidth="true" hidden="false" outlineLevel="0" max="11313" min="11313" style="1" width="2.42"/>
    <col collapsed="false" customWidth="true" hidden="false" outlineLevel="0" max="11314" min="11314" style="1" width="7"/>
    <col collapsed="false" customWidth="false" hidden="false" outlineLevel="0" max="11315" min="11315" style="1" width="0.71"/>
    <col collapsed="false" customWidth="true" hidden="false" outlineLevel="0" max="11316" min="11316" style="1" width="1.57"/>
    <col collapsed="false" customWidth="false" hidden="false" outlineLevel="0" max="11317" min="11317" style="1" width="0.71"/>
    <col collapsed="false" customWidth="true" hidden="false" outlineLevel="0" max="11318" min="11318" style="1" width="11.29"/>
    <col collapsed="false" customWidth="false" hidden="false" outlineLevel="0" max="11319" min="11319" style="1" width="0.71"/>
    <col collapsed="false" customWidth="true" hidden="false" outlineLevel="0" max="11320" min="11320" style="1" width="1.57"/>
    <col collapsed="false" customWidth="false" hidden="false" outlineLevel="0" max="11325" min="11321" style="1" width="0.71"/>
    <col collapsed="false" customWidth="true" hidden="false" outlineLevel="0" max="11326" min="11326" style="1" width="2.15"/>
    <col collapsed="false" customWidth="false" hidden="false" outlineLevel="0" max="11327" min="11327" style="1" width="0.71"/>
    <col collapsed="false" customWidth="true" hidden="false" outlineLevel="0" max="11328" min="11328" style="1" width="1.57"/>
    <col collapsed="false" customWidth="false" hidden="false" outlineLevel="0" max="11329" min="11329" style="1" width="0.71"/>
    <col collapsed="false" customWidth="true" hidden="false" outlineLevel="0" max="11330" min="11330" style="1" width="7"/>
    <col collapsed="false" customWidth="false" hidden="false" outlineLevel="0" max="11331" min="11331" style="1" width="0.71"/>
    <col collapsed="false" customWidth="true" hidden="false" outlineLevel="0" max="11332" min="11332" style="1" width="4"/>
    <col collapsed="false" customWidth="false" hidden="false" outlineLevel="0" max="11333" min="11333" style="1" width="0.71"/>
    <col collapsed="false" customWidth="true" hidden="false" outlineLevel="0" max="11334" min="11334" style="1" width="1.57"/>
    <col collapsed="false" customWidth="false" hidden="false" outlineLevel="0" max="11335" min="11335" style="1" width="0.71"/>
    <col collapsed="false" customWidth="true" hidden="false" outlineLevel="0" max="11336" min="11336" style="1" width="7"/>
    <col collapsed="false" customWidth="false" hidden="false" outlineLevel="0" max="11339" min="11337" style="1" width="0.71"/>
    <col collapsed="false" customWidth="true" hidden="false" outlineLevel="0" max="11340" min="11340" style="1" width="2.42"/>
    <col collapsed="false" customWidth="false" hidden="false" outlineLevel="0" max="11346" min="11341" style="1" width="0.71"/>
    <col collapsed="false" customWidth="true" hidden="false" outlineLevel="0" max="11347" min="11347" style="1" width="16.57"/>
    <col collapsed="false" customWidth="false" hidden="false" outlineLevel="0" max="11350" min="11348" style="1" width="0.71"/>
    <col collapsed="false" customWidth="true" hidden="false" outlineLevel="0" max="11351" min="11351" style="1" width="9.86"/>
    <col collapsed="false" customWidth="true" hidden="false" outlineLevel="0" max="11354" min="11352" style="1" width="9.29"/>
    <col collapsed="false" customWidth="false" hidden="false" outlineLevel="0" max="11567" min="11355" style="1" width="0.71"/>
    <col collapsed="false" customWidth="true" hidden="false" outlineLevel="0" max="11568" min="11568" style="1" width="3.42"/>
    <col collapsed="false" customWidth="true" hidden="false" outlineLevel="0" max="11569" min="11569" style="1" width="2.42"/>
    <col collapsed="false" customWidth="true" hidden="false" outlineLevel="0" max="11570" min="11570" style="1" width="7"/>
    <col collapsed="false" customWidth="false" hidden="false" outlineLevel="0" max="11571" min="11571" style="1" width="0.71"/>
    <col collapsed="false" customWidth="true" hidden="false" outlineLevel="0" max="11572" min="11572" style="1" width="1.57"/>
    <col collapsed="false" customWidth="false" hidden="false" outlineLevel="0" max="11573" min="11573" style="1" width="0.71"/>
    <col collapsed="false" customWidth="true" hidden="false" outlineLevel="0" max="11574" min="11574" style="1" width="11.29"/>
    <col collapsed="false" customWidth="false" hidden="false" outlineLevel="0" max="11575" min="11575" style="1" width="0.71"/>
    <col collapsed="false" customWidth="true" hidden="false" outlineLevel="0" max="11576" min="11576" style="1" width="1.57"/>
    <col collapsed="false" customWidth="false" hidden="false" outlineLevel="0" max="11581" min="11577" style="1" width="0.71"/>
    <col collapsed="false" customWidth="true" hidden="false" outlineLevel="0" max="11582" min="11582" style="1" width="2.15"/>
    <col collapsed="false" customWidth="false" hidden="false" outlineLevel="0" max="11583" min="11583" style="1" width="0.71"/>
    <col collapsed="false" customWidth="true" hidden="false" outlineLevel="0" max="11584" min="11584" style="1" width="1.57"/>
    <col collapsed="false" customWidth="false" hidden="false" outlineLevel="0" max="11585" min="11585" style="1" width="0.71"/>
    <col collapsed="false" customWidth="true" hidden="false" outlineLevel="0" max="11586" min="11586" style="1" width="7"/>
    <col collapsed="false" customWidth="false" hidden="false" outlineLevel="0" max="11587" min="11587" style="1" width="0.71"/>
    <col collapsed="false" customWidth="true" hidden="false" outlineLevel="0" max="11588" min="11588" style="1" width="4"/>
    <col collapsed="false" customWidth="false" hidden="false" outlineLevel="0" max="11589" min="11589" style="1" width="0.71"/>
    <col collapsed="false" customWidth="true" hidden="false" outlineLevel="0" max="11590" min="11590" style="1" width="1.57"/>
    <col collapsed="false" customWidth="false" hidden="false" outlineLevel="0" max="11591" min="11591" style="1" width="0.71"/>
    <col collapsed="false" customWidth="true" hidden="false" outlineLevel="0" max="11592" min="11592" style="1" width="7"/>
    <col collapsed="false" customWidth="false" hidden="false" outlineLevel="0" max="11595" min="11593" style="1" width="0.71"/>
    <col collapsed="false" customWidth="true" hidden="false" outlineLevel="0" max="11596" min="11596" style="1" width="2.42"/>
    <col collapsed="false" customWidth="false" hidden="false" outlineLevel="0" max="11602" min="11597" style="1" width="0.71"/>
    <col collapsed="false" customWidth="true" hidden="false" outlineLevel="0" max="11603" min="11603" style="1" width="16.57"/>
    <col collapsed="false" customWidth="false" hidden="false" outlineLevel="0" max="11606" min="11604" style="1" width="0.71"/>
    <col collapsed="false" customWidth="true" hidden="false" outlineLevel="0" max="11607" min="11607" style="1" width="9.86"/>
    <col collapsed="false" customWidth="true" hidden="false" outlineLevel="0" max="11610" min="11608" style="1" width="9.29"/>
    <col collapsed="false" customWidth="false" hidden="false" outlineLevel="0" max="11823" min="11611" style="1" width="0.71"/>
    <col collapsed="false" customWidth="true" hidden="false" outlineLevel="0" max="11824" min="11824" style="1" width="3.42"/>
    <col collapsed="false" customWidth="true" hidden="false" outlineLevel="0" max="11825" min="11825" style="1" width="2.42"/>
    <col collapsed="false" customWidth="true" hidden="false" outlineLevel="0" max="11826" min="11826" style="1" width="7"/>
    <col collapsed="false" customWidth="false" hidden="false" outlineLevel="0" max="11827" min="11827" style="1" width="0.71"/>
    <col collapsed="false" customWidth="true" hidden="false" outlineLevel="0" max="11828" min="11828" style="1" width="1.57"/>
    <col collapsed="false" customWidth="false" hidden="false" outlineLevel="0" max="11829" min="11829" style="1" width="0.71"/>
    <col collapsed="false" customWidth="true" hidden="false" outlineLevel="0" max="11830" min="11830" style="1" width="11.29"/>
    <col collapsed="false" customWidth="false" hidden="false" outlineLevel="0" max="11831" min="11831" style="1" width="0.71"/>
    <col collapsed="false" customWidth="true" hidden="false" outlineLevel="0" max="11832" min="11832" style="1" width="1.57"/>
    <col collapsed="false" customWidth="false" hidden="false" outlineLevel="0" max="11837" min="11833" style="1" width="0.71"/>
    <col collapsed="false" customWidth="true" hidden="false" outlineLevel="0" max="11838" min="11838" style="1" width="2.15"/>
    <col collapsed="false" customWidth="false" hidden="false" outlineLevel="0" max="11839" min="11839" style="1" width="0.71"/>
    <col collapsed="false" customWidth="true" hidden="false" outlineLevel="0" max="11840" min="11840" style="1" width="1.57"/>
    <col collapsed="false" customWidth="false" hidden="false" outlineLevel="0" max="11841" min="11841" style="1" width="0.71"/>
    <col collapsed="false" customWidth="true" hidden="false" outlineLevel="0" max="11842" min="11842" style="1" width="7"/>
    <col collapsed="false" customWidth="false" hidden="false" outlineLevel="0" max="11843" min="11843" style="1" width="0.71"/>
    <col collapsed="false" customWidth="true" hidden="false" outlineLevel="0" max="11844" min="11844" style="1" width="4"/>
    <col collapsed="false" customWidth="false" hidden="false" outlineLevel="0" max="11845" min="11845" style="1" width="0.71"/>
    <col collapsed="false" customWidth="true" hidden="false" outlineLevel="0" max="11846" min="11846" style="1" width="1.57"/>
    <col collapsed="false" customWidth="false" hidden="false" outlineLevel="0" max="11847" min="11847" style="1" width="0.71"/>
    <col collapsed="false" customWidth="true" hidden="false" outlineLevel="0" max="11848" min="11848" style="1" width="7"/>
    <col collapsed="false" customWidth="false" hidden="false" outlineLevel="0" max="11851" min="11849" style="1" width="0.71"/>
    <col collapsed="false" customWidth="true" hidden="false" outlineLevel="0" max="11852" min="11852" style="1" width="2.42"/>
    <col collapsed="false" customWidth="false" hidden="false" outlineLevel="0" max="11858" min="11853" style="1" width="0.71"/>
    <col collapsed="false" customWidth="true" hidden="false" outlineLevel="0" max="11859" min="11859" style="1" width="16.57"/>
    <col collapsed="false" customWidth="false" hidden="false" outlineLevel="0" max="11862" min="11860" style="1" width="0.71"/>
    <col collapsed="false" customWidth="true" hidden="false" outlineLevel="0" max="11863" min="11863" style="1" width="9.86"/>
    <col collapsed="false" customWidth="true" hidden="false" outlineLevel="0" max="11866" min="11864" style="1" width="9.29"/>
    <col collapsed="false" customWidth="false" hidden="false" outlineLevel="0" max="12079" min="11867" style="1" width="0.71"/>
    <col collapsed="false" customWidth="true" hidden="false" outlineLevel="0" max="12080" min="12080" style="1" width="3.42"/>
    <col collapsed="false" customWidth="true" hidden="false" outlineLevel="0" max="12081" min="12081" style="1" width="2.42"/>
    <col collapsed="false" customWidth="true" hidden="false" outlineLevel="0" max="12082" min="12082" style="1" width="7"/>
    <col collapsed="false" customWidth="false" hidden="false" outlineLevel="0" max="12083" min="12083" style="1" width="0.71"/>
    <col collapsed="false" customWidth="true" hidden="false" outlineLevel="0" max="12084" min="12084" style="1" width="1.57"/>
    <col collapsed="false" customWidth="false" hidden="false" outlineLevel="0" max="12085" min="12085" style="1" width="0.71"/>
    <col collapsed="false" customWidth="true" hidden="false" outlineLevel="0" max="12086" min="12086" style="1" width="11.29"/>
    <col collapsed="false" customWidth="false" hidden="false" outlineLevel="0" max="12087" min="12087" style="1" width="0.71"/>
    <col collapsed="false" customWidth="true" hidden="false" outlineLevel="0" max="12088" min="12088" style="1" width="1.57"/>
    <col collapsed="false" customWidth="false" hidden="false" outlineLevel="0" max="12093" min="12089" style="1" width="0.71"/>
    <col collapsed="false" customWidth="true" hidden="false" outlineLevel="0" max="12094" min="12094" style="1" width="2.15"/>
    <col collapsed="false" customWidth="false" hidden="false" outlineLevel="0" max="12095" min="12095" style="1" width="0.71"/>
    <col collapsed="false" customWidth="true" hidden="false" outlineLevel="0" max="12096" min="12096" style="1" width="1.57"/>
    <col collapsed="false" customWidth="false" hidden="false" outlineLevel="0" max="12097" min="12097" style="1" width="0.71"/>
    <col collapsed="false" customWidth="true" hidden="false" outlineLevel="0" max="12098" min="12098" style="1" width="7"/>
    <col collapsed="false" customWidth="false" hidden="false" outlineLevel="0" max="12099" min="12099" style="1" width="0.71"/>
    <col collapsed="false" customWidth="true" hidden="false" outlineLevel="0" max="12100" min="12100" style="1" width="4"/>
    <col collapsed="false" customWidth="false" hidden="false" outlineLevel="0" max="12101" min="12101" style="1" width="0.71"/>
    <col collapsed="false" customWidth="true" hidden="false" outlineLevel="0" max="12102" min="12102" style="1" width="1.57"/>
    <col collapsed="false" customWidth="false" hidden="false" outlineLevel="0" max="12103" min="12103" style="1" width="0.71"/>
    <col collapsed="false" customWidth="true" hidden="false" outlineLevel="0" max="12104" min="12104" style="1" width="7"/>
    <col collapsed="false" customWidth="false" hidden="false" outlineLevel="0" max="12107" min="12105" style="1" width="0.71"/>
    <col collapsed="false" customWidth="true" hidden="false" outlineLevel="0" max="12108" min="12108" style="1" width="2.42"/>
    <col collapsed="false" customWidth="false" hidden="false" outlineLevel="0" max="12114" min="12109" style="1" width="0.71"/>
    <col collapsed="false" customWidth="true" hidden="false" outlineLevel="0" max="12115" min="12115" style="1" width="16.57"/>
    <col collapsed="false" customWidth="false" hidden="false" outlineLevel="0" max="12118" min="12116" style="1" width="0.71"/>
    <col collapsed="false" customWidth="true" hidden="false" outlineLevel="0" max="12119" min="12119" style="1" width="9.86"/>
    <col collapsed="false" customWidth="true" hidden="false" outlineLevel="0" max="12122" min="12120" style="1" width="9.29"/>
    <col collapsed="false" customWidth="false" hidden="false" outlineLevel="0" max="12335" min="12123" style="1" width="0.71"/>
    <col collapsed="false" customWidth="true" hidden="false" outlineLevel="0" max="12336" min="12336" style="1" width="3.42"/>
    <col collapsed="false" customWidth="true" hidden="false" outlineLevel="0" max="12337" min="12337" style="1" width="2.42"/>
    <col collapsed="false" customWidth="true" hidden="false" outlineLevel="0" max="12338" min="12338" style="1" width="7"/>
    <col collapsed="false" customWidth="false" hidden="false" outlineLevel="0" max="12339" min="12339" style="1" width="0.71"/>
    <col collapsed="false" customWidth="true" hidden="false" outlineLevel="0" max="12340" min="12340" style="1" width="1.57"/>
    <col collapsed="false" customWidth="false" hidden="false" outlineLevel="0" max="12341" min="12341" style="1" width="0.71"/>
    <col collapsed="false" customWidth="true" hidden="false" outlineLevel="0" max="12342" min="12342" style="1" width="11.29"/>
    <col collapsed="false" customWidth="false" hidden="false" outlineLevel="0" max="12343" min="12343" style="1" width="0.71"/>
    <col collapsed="false" customWidth="true" hidden="false" outlineLevel="0" max="12344" min="12344" style="1" width="1.57"/>
    <col collapsed="false" customWidth="false" hidden="false" outlineLevel="0" max="12349" min="12345" style="1" width="0.71"/>
    <col collapsed="false" customWidth="true" hidden="false" outlineLevel="0" max="12350" min="12350" style="1" width="2.15"/>
    <col collapsed="false" customWidth="false" hidden="false" outlineLevel="0" max="12351" min="12351" style="1" width="0.71"/>
    <col collapsed="false" customWidth="true" hidden="false" outlineLevel="0" max="12352" min="12352" style="1" width="1.57"/>
    <col collapsed="false" customWidth="false" hidden="false" outlineLevel="0" max="12353" min="12353" style="1" width="0.71"/>
    <col collapsed="false" customWidth="true" hidden="false" outlineLevel="0" max="12354" min="12354" style="1" width="7"/>
    <col collapsed="false" customWidth="false" hidden="false" outlineLevel="0" max="12355" min="12355" style="1" width="0.71"/>
    <col collapsed="false" customWidth="true" hidden="false" outlineLevel="0" max="12356" min="12356" style="1" width="4"/>
    <col collapsed="false" customWidth="false" hidden="false" outlineLevel="0" max="12357" min="12357" style="1" width="0.71"/>
    <col collapsed="false" customWidth="true" hidden="false" outlineLevel="0" max="12358" min="12358" style="1" width="1.57"/>
    <col collapsed="false" customWidth="false" hidden="false" outlineLevel="0" max="12359" min="12359" style="1" width="0.71"/>
    <col collapsed="false" customWidth="true" hidden="false" outlineLevel="0" max="12360" min="12360" style="1" width="7"/>
    <col collapsed="false" customWidth="false" hidden="false" outlineLevel="0" max="12363" min="12361" style="1" width="0.71"/>
    <col collapsed="false" customWidth="true" hidden="false" outlineLevel="0" max="12364" min="12364" style="1" width="2.42"/>
    <col collapsed="false" customWidth="false" hidden="false" outlineLevel="0" max="12370" min="12365" style="1" width="0.71"/>
    <col collapsed="false" customWidth="true" hidden="false" outlineLevel="0" max="12371" min="12371" style="1" width="16.57"/>
    <col collapsed="false" customWidth="false" hidden="false" outlineLevel="0" max="12374" min="12372" style="1" width="0.71"/>
    <col collapsed="false" customWidth="true" hidden="false" outlineLevel="0" max="12375" min="12375" style="1" width="9.86"/>
    <col collapsed="false" customWidth="true" hidden="false" outlineLevel="0" max="12378" min="12376" style="1" width="9.29"/>
    <col collapsed="false" customWidth="false" hidden="false" outlineLevel="0" max="12591" min="12379" style="1" width="0.71"/>
    <col collapsed="false" customWidth="true" hidden="false" outlineLevel="0" max="12592" min="12592" style="1" width="3.42"/>
    <col collapsed="false" customWidth="true" hidden="false" outlineLevel="0" max="12593" min="12593" style="1" width="2.42"/>
    <col collapsed="false" customWidth="true" hidden="false" outlineLevel="0" max="12594" min="12594" style="1" width="7"/>
    <col collapsed="false" customWidth="false" hidden="false" outlineLevel="0" max="12595" min="12595" style="1" width="0.71"/>
    <col collapsed="false" customWidth="true" hidden="false" outlineLevel="0" max="12596" min="12596" style="1" width="1.57"/>
    <col collapsed="false" customWidth="false" hidden="false" outlineLevel="0" max="12597" min="12597" style="1" width="0.71"/>
    <col collapsed="false" customWidth="true" hidden="false" outlineLevel="0" max="12598" min="12598" style="1" width="11.29"/>
    <col collapsed="false" customWidth="false" hidden="false" outlineLevel="0" max="12599" min="12599" style="1" width="0.71"/>
    <col collapsed="false" customWidth="true" hidden="false" outlineLevel="0" max="12600" min="12600" style="1" width="1.57"/>
    <col collapsed="false" customWidth="false" hidden="false" outlineLevel="0" max="12605" min="12601" style="1" width="0.71"/>
    <col collapsed="false" customWidth="true" hidden="false" outlineLevel="0" max="12606" min="12606" style="1" width="2.15"/>
    <col collapsed="false" customWidth="false" hidden="false" outlineLevel="0" max="12607" min="12607" style="1" width="0.71"/>
    <col collapsed="false" customWidth="true" hidden="false" outlineLevel="0" max="12608" min="12608" style="1" width="1.57"/>
    <col collapsed="false" customWidth="false" hidden="false" outlineLevel="0" max="12609" min="12609" style="1" width="0.71"/>
    <col collapsed="false" customWidth="true" hidden="false" outlineLevel="0" max="12610" min="12610" style="1" width="7"/>
    <col collapsed="false" customWidth="false" hidden="false" outlineLevel="0" max="12611" min="12611" style="1" width="0.71"/>
    <col collapsed="false" customWidth="true" hidden="false" outlineLevel="0" max="12612" min="12612" style="1" width="4"/>
    <col collapsed="false" customWidth="false" hidden="false" outlineLevel="0" max="12613" min="12613" style="1" width="0.71"/>
    <col collapsed="false" customWidth="true" hidden="false" outlineLevel="0" max="12614" min="12614" style="1" width="1.57"/>
    <col collapsed="false" customWidth="false" hidden="false" outlineLevel="0" max="12615" min="12615" style="1" width="0.71"/>
    <col collapsed="false" customWidth="true" hidden="false" outlineLevel="0" max="12616" min="12616" style="1" width="7"/>
    <col collapsed="false" customWidth="false" hidden="false" outlineLevel="0" max="12619" min="12617" style="1" width="0.71"/>
    <col collapsed="false" customWidth="true" hidden="false" outlineLevel="0" max="12620" min="12620" style="1" width="2.42"/>
    <col collapsed="false" customWidth="false" hidden="false" outlineLevel="0" max="12626" min="12621" style="1" width="0.71"/>
    <col collapsed="false" customWidth="true" hidden="false" outlineLevel="0" max="12627" min="12627" style="1" width="16.57"/>
    <col collapsed="false" customWidth="false" hidden="false" outlineLevel="0" max="12630" min="12628" style="1" width="0.71"/>
    <col collapsed="false" customWidth="true" hidden="false" outlineLevel="0" max="12631" min="12631" style="1" width="9.86"/>
    <col collapsed="false" customWidth="true" hidden="false" outlineLevel="0" max="12634" min="12632" style="1" width="9.29"/>
    <col collapsed="false" customWidth="false" hidden="false" outlineLevel="0" max="12847" min="12635" style="1" width="0.71"/>
    <col collapsed="false" customWidth="true" hidden="false" outlineLevel="0" max="12848" min="12848" style="1" width="3.42"/>
    <col collapsed="false" customWidth="true" hidden="false" outlineLevel="0" max="12849" min="12849" style="1" width="2.42"/>
    <col collapsed="false" customWidth="true" hidden="false" outlineLevel="0" max="12850" min="12850" style="1" width="7"/>
    <col collapsed="false" customWidth="false" hidden="false" outlineLevel="0" max="12851" min="12851" style="1" width="0.71"/>
    <col collapsed="false" customWidth="true" hidden="false" outlineLevel="0" max="12852" min="12852" style="1" width="1.57"/>
    <col collapsed="false" customWidth="false" hidden="false" outlineLevel="0" max="12853" min="12853" style="1" width="0.71"/>
    <col collapsed="false" customWidth="true" hidden="false" outlineLevel="0" max="12854" min="12854" style="1" width="11.29"/>
    <col collapsed="false" customWidth="false" hidden="false" outlineLevel="0" max="12855" min="12855" style="1" width="0.71"/>
    <col collapsed="false" customWidth="true" hidden="false" outlineLevel="0" max="12856" min="12856" style="1" width="1.57"/>
    <col collapsed="false" customWidth="false" hidden="false" outlineLevel="0" max="12861" min="12857" style="1" width="0.71"/>
    <col collapsed="false" customWidth="true" hidden="false" outlineLevel="0" max="12862" min="12862" style="1" width="2.15"/>
    <col collapsed="false" customWidth="false" hidden="false" outlineLevel="0" max="12863" min="12863" style="1" width="0.71"/>
    <col collapsed="false" customWidth="true" hidden="false" outlineLevel="0" max="12864" min="12864" style="1" width="1.57"/>
    <col collapsed="false" customWidth="false" hidden="false" outlineLevel="0" max="12865" min="12865" style="1" width="0.71"/>
    <col collapsed="false" customWidth="true" hidden="false" outlineLevel="0" max="12866" min="12866" style="1" width="7"/>
    <col collapsed="false" customWidth="false" hidden="false" outlineLevel="0" max="12867" min="12867" style="1" width="0.71"/>
    <col collapsed="false" customWidth="true" hidden="false" outlineLevel="0" max="12868" min="12868" style="1" width="4"/>
    <col collapsed="false" customWidth="false" hidden="false" outlineLevel="0" max="12869" min="12869" style="1" width="0.71"/>
    <col collapsed="false" customWidth="true" hidden="false" outlineLevel="0" max="12870" min="12870" style="1" width="1.57"/>
    <col collapsed="false" customWidth="false" hidden="false" outlineLevel="0" max="12871" min="12871" style="1" width="0.71"/>
    <col collapsed="false" customWidth="true" hidden="false" outlineLevel="0" max="12872" min="12872" style="1" width="7"/>
    <col collapsed="false" customWidth="false" hidden="false" outlineLevel="0" max="12875" min="12873" style="1" width="0.71"/>
    <col collapsed="false" customWidth="true" hidden="false" outlineLevel="0" max="12876" min="12876" style="1" width="2.42"/>
    <col collapsed="false" customWidth="false" hidden="false" outlineLevel="0" max="12882" min="12877" style="1" width="0.71"/>
    <col collapsed="false" customWidth="true" hidden="false" outlineLevel="0" max="12883" min="12883" style="1" width="16.57"/>
    <col collapsed="false" customWidth="false" hidden="false" outlineLevel="0" max="12886" min="12884" style="1" width="0.71"/>
    <col collapsed="false" customWidth="true" hidden="false" outlineLevel="0" max="12887" min="12887" style="1" width="9.86"/>
    <col collapsed="false" customWidth="true" hidden="false" outlineLevel="0" max="12890" min="12888" style="1" width="9.29"/>
    <col collapsed="false" customWidth="false" hidden="false" outlineLevel="0" max="13103" min="12891" style="1" width="0.71"/>
    <col collapsed="false" customWidth="true" hidden="false" outlineLevel="0" max="13104" min="13104" style="1" width="3.42"/>
    <col collapsed="false" customWidth="true" hidden="false" outlineLevel="0" max="13105" min="13105" style="1" width="2.42"/>
    <col collapsed="false" customWidth="true" hidden="false" outlineLevel="0" max="13106" min="13106" style="1" width="7"/>
    <col collapsed="false" customWidth="false" hidden="false" outlineLevel="0" max="13107" min="13107" style="1" width="0.71"/>
    <col collapsed="false" customWidth="true" hidden="false" outlineLevel="0" max="13108" min="13108" style="1" width="1.57"/>
    <col collapsed="false" customWidth="false" hidden="false" outlineLevel="0" max="13109" min="13109" style="1" width="0.71"/>
    <col collapsed="false" customWidth="true" hidden="false" outlineLevel="0" max="13110" min="13110" style="1" width="11.29"/>
    <col collapsed="false" customWidth="false" hidden="false" outlineLevel="0" max="13111" min="13111" style="1" width="0.71"/>
    <col collapsed="false" customWidth="true" hidden="false" outlineLevel="0" max="13112" min="13112" style="1" width="1.57"/>
    <col collapsed="false" customWidth="false" hidden="false" outlineLevel="0" max="13117" min="13113" style="1" width="0.71"/>
    <col collapsed="false" customWidth="true" hidden="false" outlineLevel="0" max="13118" min="13118" style="1" width="2.15"/>
    <col collapsed="false" customWidth="false" hidden="false" outlineLevel="0" max="13119" min="13119" style="1" width="0.71"/>
    <col collapsed="false" customWidth="true" hidden="false" outlineLevel="0" max="13120" min="13120" style="1" width="1.57"/>
    <col collapsed="false" customWidth="false" hidden="false" outlineLevel="0" max="13121" min="13121" style="1" width="0.71"/>
    <col collapsed="false" customWidth="true" hidden="false" outlineLevel="0" max="13122" min="13122" style="1" width="7"/>
    <col collapsed="false" customWidth="false" hidden="false" outlineLevel="0" max="13123" min="13123" style="1" width="0.71"/>
    <col collapsed="false" customWidth="true" hidden="false" outlineLevel="0" max="13124" min="13124" style="1" width="4"/>
    <col collapsed="false" customWidth="false" hidden="false" outlineLevel="0" max="13125" min="13125" style="1" width="0.71"/>
    <col collapsed="false" customWidth="true" hidden="false" outlineLevel="0" max="13126" min="13126" style="1" width="1.57"/>
    <col collapsed="false" customWidth="false" hidden="false" outlineLevel="0" max="13127" min="13127" style="1" width="0.71"/>
    <col collapsed="false" customWidth="true" hidden="false" outlineLevel="0" max="13128" min="13128" style="1" width="7"/>
    <col collapsed="false" customWidth="false" hidden="false" outlineLevel="0" max="13131" min="13129" style="1" width="0.71"/>
    <col collapsed="false" customWidth="true" hidden="false" outlineLevel="0" max="13132" min="13132" style="1" width="2.42"/>
    <col collapsed="false" customWidth="false" hidden="false" outlineLevel="0" max="13138" min="13133" style="1" width="0.71"/>
    <col collapsed="false" customWidth="true" hidden="false" outlineLevel="0" max="13139" min="13139" style="1" width="16.57"/>
    <col collapsed="false" customWidth="false" hidden="false" outlineLevel="0" max="13142" min="13140" style="1" width="0.71"/>
    <col collapsed="false" customWidth="true" hidden="false" outlineLevel="0" max="13143" min="13143" style="1" width="9.86"/>
    <col collapsed="false" customWidth="true" hidden="false" outlineLevel="0" max="13146" min="13144" style="1" width="9.29"/>
    <col collapsed="false" customWidth="false" hidden="false" outlineLevel="0" max="13359" min="13147" style="1" width="0.71"/>
    <col collapsed="false" customWidth="true" hidden="false" outlineLevel="0" max="13360" min="13360" style="1" width="3.42"/>
    <col collapsed="false" customWidth="true" hidden="false" outlineLevel="0" max="13361" min="13361" style="1" width="2.42"/>
    <col collapsed="false" customWidth="true" hidden="false" outlineLevel="0" max="13362" min="13362" style="1" width="7"/>
    <col collapsed="false" customWidth="false" hidden="false" outlineLevel="0" max="13363" min="13363" style="1" width="0.71"/>
    <col collapsed="false" customWidth="true" hidden="false" outlineLevel="0" max="13364" min="13364" style="1" width="1.57"/>
    <col collapsed="false" customWidth="false" hidden="false" outlineLevel="0" max="13365" min="13365" style="1" width="0.71"/>
    <col collapsed="false" customWidth="true" hidden="false" outlineLevel="0" max="13366" min="13366" style="1" width="11.29"/>
    <col collapsed="false" customWidth="false" hidden="false" outlineLevel="0" max="13367" min="13367" style="1" width="0.71"/>
    <col collapsed="false" customWidth="true" hidden="false" outlineLevel="0" max="13368" min="13368" style="1" width="1.57"/>
    <col collapsed="false" customWidth="false" hidden="false" outlineLevel="0" max="13373" min="13369" style="1" width="0.71"/>
    <col collapsed="false" customWidth="true" hidden="false" outlineLevel="0" max="13374" min="13374" style="1" width="2.15"/>
    <col collapsed="false" customWidth="false" hidden="false" outlineLevel="0" max="13375" min="13375" style="1" width="0.71"/>
    <col collapsed="false" customWidth="true" hidden="false" outlineLevel="0" max="13376" min="13376" style="1" width="1.57"/>
    <col collapsed="false" customWidth="false" hidden="false" outlineLevel="0" max="13377" min="13377" style="1" width="0.71"/>
    <col collapsed="false" customWidth="true" hidden="false" outlineLevel="0" max="13378" min="13378" style="1" width="7"/>
    <col collapsed="false" customWidth="false" hidden="false" outlineLevel="0" max="13379" min="13379" style="1" width="0.71"/>
    <col collapsed="false" customWidth="true" hidden="false" outlineLevel="0" max="13380" min="13380" style="1" width="4"/>
    <col collapsed="false" customWidth="false" hidden="false" outlineLevel="0" max="13381" min="13381" style="1" width="0.71"/>
    <col collapsed="false" customWidth="true" hidden="false" outlineLevel="0" max="13382" min="13382" style="1" width="1.57"/>
    <col collapsed="false" customWidth="false" hidden="false" outlineLevel="0" max="13383" min="13383" style="1" width="0.71"/>
    <col collapsed="false" customWidth="true" hidden="false" outlineLevel="0" max="13384" min="13384" style="1" width="7"/>
    <col collapsed="false" customWidth="false" hidden="false" outlineLevel="0" max="13387" min="13385" style="1" width="0.71"/>
    <col collapsed="false" customWidth="true" hidden="false" outlineLevel="0" max="13388" min="13388" style="1" width="2.42"/>
    <col collapsed="false" customWidth="false" hidden="false" outlineLevel="0" max="13394" min="13389" style="1" width="0.71"/>
    <col collapsed="false" customWidth="true" hidden="false" outlineLevel="0" max="13395" min="13395" style="1" width="16.57"/>
    <col collapsed="false" customWidth="false" hidden="false" outlineLevel="0" max="13398" min="13396" style="1" width="0.71"/>
    <col collapsed="false" customWidth="true" hidden="false" outlineLevel="0" max="13399" min="13399" style="1" width="9.86"/>
    <col collapsed="false" customWidth="true" hidden="false" outlineLevel="0" max="13402" min="13400" style="1" width="9.29"/>
    <col collapsed="false" customWidth="false" hidden="false" outlineLevel="0" max="13615" min="13403" style="1" width="0.71"/>
    <col collapsed="false" customWidth="true" hidden="false" outlineLevel="0" max="13616" min="13616" style="1" width="3.42"/>
    <col collapsed="false" customWidth="true" hidden="false" outlineLevel="0" max="13617" min="13617" style="1" width="2.42"/>
    <col collapsed="false" customWidth="true" hidden="false" outlineLevel="0" max="13618" min="13618" style="1" width="7"/>
    <col collapsed="false" customWidth="false" hidden="false" outlineLevel="0" max="13619" min="13619" style="1" width="0.71"/>
    <col collapsed="false" customWidth="true" hidden="false" outlineLevel="0" max="13620" min="13620" style="1" width="1.57"/>
    <col collapsed="false" customWidth="false" hidden="false" outlineLevel="0" max="13621" min="13621" style="1" width="0.71"/>
    <col collapsed="false" customWidth="true" hidden="false" outlineLevel="0" max="13622" min="13622" style="1" width="11.29"/>
    <col collapsed="false" customWidth="false" hidden="false" outlineLevel="0" max="13623" min="13623" style="1" width="0.71"/>
    <col collapsed="false" customWidth="true" hidden="false" outlineLevel="0" max="13624" min="13624" style="1" width="1.57"/>
    <col collapsed="false" customWidth="false" hidden="false" outlineLevel="0" max="13629" min="13625" style="1" width="0.71"/>
    <col collapsed="false" customWidth="true" hidden="false" outlineLevel="0" max="13630" min="13630" style="1" width="2.15"/>
    <col collapsed="false" customWidth="false" hidden="false" outlineLevel="0" max="13631" min="13631" style="1" width="0.71"/>
    <col collapsed="false" customWidth="true" hidden="false" outlineLevel="0" max="13632" min="13632" style="1" width="1.57"/>
    <col collapsed="false" customWidth="false" hidden="false" outlineLevel="0" max="13633" min="13633" style="1" width="0.71"/>
    <col collapsed="false" customWidth="true" hidden="false" outlineLevel="0" max="13634" min="13634" style="1" width="7"/>
    <col collapsed="false" customWidth="false" hidden="false" outlineLevel="0" max="13635" min="13635" style="1" width="0.71"/>
    <col collapsed="false" customWidth="true" hidden="false" outlineLevel="0" max="13636" min="13636" style="1" width="4"/>
    <col collapsed="false" customWidth="false" hidden="false" outlineLevel="0" max="13637" min="13637" style="1" width="0.71"/>
    <col collapsed="false" customWidth="true" hidden="false" outlineLevel="0" max="13638" min="13638" style="1" width="1.57"/>
    <col collapsed="false" customWidth="false" hidden="false" outlineLevel="0" max="13639" min="13639" style="1" width="0.71"/>
    <col collapsed="false" customWidth="true" hidden="false" outlineLevel="0" max="13640" min="13640" style="1" width="7"/>
    <col collapsed="false" customWidth="false" hidden="false" outlineLevel="0" max="13643" min="13641" style="1" width="0.71"/>
    <col collapsed="false" customWidth="true" hidden="false" outlineLevel="0" max="13644" min="13644" style="1" width="2.42"/>
    <col collapsed="false" customWidth="false" hidden="false" outlineLevel="0" max="13650" min="13645" style="1" width="0.71"/>
    <col collapsed="false" customWidth="true" hidden="false" outlineLevel="0" max="13651" min="13651" style="1" width="16.57"/>
    <col collapsed="false" customWidth="false" hidden="false" outlineLevel="0" max="13654" min="13652" style="1" width="0.71"/>
    <col collapsed="false" customWidth="true" hidden="false" outlineLevel="0" max="13655" min="13655" style="1" width="9.86"/>
    <col collapsed="false" customWidth="true" hidden="false" outlineLevel="0" max="13658" min="13656" style="1" width="9.29"/>
    <col collapsed="false" customWidth="false" hidden="false" outlineLevel="0" max="13871" min="13659" style="1" width="0.71"/>
    <col collapsed="false" customWidth="true" hidden="false" outlineLevel="0" max="13872" min="13872" style="1" width="3.42"/>
    <col collapsed="false" customWidth="true" hidden="false" outlineLevel="0" max="13873" min="13873" style="1" width="2.42"/>
    <col collapsed="false" customWidth="true" hidden="false" outlineLevel="0" max="13874" min="13874" style="1" width="7"/>
    <col collapsed="false" customWidth="false" hidden="false" outlineLevel="0" max="13875" min="13875" style="1" width="0.71"/>
    <col collapsed="false" customWidth="true" hidden="false" outlineLevel="0" max="13876" min="13876" style="1" width="1.57"/>
    <col collapsed="false" customWidth="false" hidden="false" outlineLevel="0" max="13877" min="13877" style="1" width="0.71"/>
    <col collapsed="false" customWidth="true" hidden="false" outlineLevel="0" max="13878" min="13878" style="1" width="11.29"/>
    <col collapsed="false" customWidth="false" hidden="false" outlineLevel="0" max="13879" min="13879" style="1" width="0.71"/>
    <col collapsed="false" customWidth="true" hidden="false" outlineLevel="0" max="13880" min="13880" style="1" width="1.57"/>
    <col collapsed="false" customWidth="false" hidden="false" outlineLevel="0" max="13885" min="13881" style="1" width="0.71"/>
    <col collapsed="false" customWidth="true" hidden="false" outlineLevel="0" max="13886" min="13886" style="1" width="2.15"/>
    <col collapsed="false" customWidth="false" hidden="false" outlineLevel="0" max="13887" min="13887" style="1" width="0.71"/>
    <col collapsed="false" customWidth="true" hidden="false" outlineLevel="0" max="13888" min="13888" style="1" width="1.57"/>
    <col collapsed="false" customWidth="false" hidden="false" outlineLevel="0" max="13889" min="13889" style="1" width="0.71"/>
    <col collapsed="false" customWidth="true" hidden="false" outlineLevel="0" max="13890" min="13890" style="1" width="7"/>
    <col collapsed="false" customWidth="false" hidden="false" outlineLevel="0" max="13891" min="13891" style="1" width="0.71"/>
    <col collapsed="false" customWidth="true" hidden="false" outlineLevel="0" max="13892" min="13892" style="1" width="4"/>
    <col collapsed="false" customWidth="false" hidden="false" outlineLevel="0" max="13893" min="13893" style="1" width="0.71"/>
    <col collapsed="false" customWidth="true" hidden="false" outlineLevel="0" max="13894" min="13894" style="1" width="1.57"/>
    <col collapsed="false" customWidth="false" hidden="false" outlineLevel="0" max="13895" min="13895" style="1" width="0.71"/>
    <col collapsed="false" customWidth="true" hidden="false" outlineLevel="0" max="13896" min="13896" style="1" width="7"/>
    <col collapsed="false" customWidth="false" hidden="false" outlineLevel="0" max="13899" min="13897" style="1" width="0.71"/>
    <col collapsed="false" customWidth="true" hidden="false" outlineLevel="0" max="13900" min="13900" style="1" width="2.42"/>
    <col collapsed="false" customWidth="false" hidden="false" outlineLevel="0" max="13906" min="13901" style="1" width="0.71"/>
    <col collapsed="false" customWidth="true" hidden="false" outlineLevel="0" max="13907" min="13907" style="1" width="16.57"/>
    <col collapsed="false" customWidth="false" hidden="false" outlineLevel="0" max="13910" min="13908" style="1" width="0.71"/>
    <col collapsed="false" customWidth="true" hidden="false" outlineLevel="0" max="13911" min="13911" style="1" width="9.86"/>
    <col collapsed="false" customWidth="true" hidden="false" outlineLevel="0" max="13914" min="13912" style="1" width="9.29"/>
    <col collapsed="false" customWidth="false" hidden="false" outlineLevel="0" max="14127" min="13915" style="1" width="0.71"/>
    <col collapsed="false" customWidth="true" hidden="false" outlineLevel="0" max="14128" min="14128" style="1" width="3.42"/>
    <col collapsed="false" customWidth="true" hidden="false" outlineLevel="0" max="14129" min="14129" style="1" width="2.42"/>
    <col collapsed="false" customWidth="true" hidden="false" outlineLevel="0" max="14130" min="14130" style="1" width="7"/>
    <col collapsed="false" customWidth="false" hidden="false" outlineLevel="0" max="14131" min="14131" style="1" width="0.71"/>
    <col collapsed="false" customWidth="true" hidden="false" outlineLevel="0" max="14132" min="14132" style="1" width="1.57"/>
    <col collapsed="false" customWidth="false" hidden="false" outlineLevel="0" max="14133" min="14133" style="1" width="0.71"/>
    <col collapsed="false" customWidth="true" hidden="false" outlineLevel="0" max="14134" min="14134" style="1" width="11.29"/>
    <col collapsed="false" customWidth="false" hidden="false" outlineLevel="0" max="14135" min="14135" style="1" width="0.71"/>
    <col collapsed="false" customWidth="true" hidden="false" outlineLevel="0" max="14136" min="14136" style="1" width="1.57"/>
    <col collapsed="false" customWidth="false" hidden="false" outlineLevel="0" max="14141" min="14137" style="1" width="0.71"/>
    <col collapsed="false" customWidth="true" hidden="false" outlineLevel="0" max="14142" min="14142" style="1" width="2.15"/>
    <col collapsed="false" customWidth="false" hidden="false" outlineLevel="0" max="14143" min="14143" style="1" width="0.71"/>
    <col collapsed="false" customWidth="true" hidden="false" outlineLevel="0" max="14144" min="14144" style="1" width="1.57"/>
    <col collapsed="false" customWidth="false" hidden="false" outlineLevel="0" max="14145" min="14145" style="1" width="0.71"/>
    <col collapsed="false" customWidth="true" hidden="false" outlineLevel="0" max="14146" min="14146" style="1" width="7"/>
    <col collapsed="false" customWidth="false" hidden="false" outlineLevel="0" max="14147" min="14147" style="1" width="0.71"/>
    <col collapsed="false" customWidth="true" hidden="false" outlineLevel="0" max="14148" min="14148" style="1" width="4"/>
    <col collapsed="false" customWidth="false" hidden="false" outlineLevel="0" max="14149" min="14149" style="1" width="0.71"/>
    <col collapsed="false" customWidth="true" hidden="false" outlineLevel="0" max="14150" min="14150" style="1" width="1.57"/>
    <col collapsed="false" customWidth="false" hidden="false" outlineLevel="0" max="14151" min="14151" style="1" width="0.71"/>
    <col collapsed="false" customWidth="true" hidden="false" outlineLevel="0" max="14152" min="14152" style="1" width="7"/>
    <col collapsed="false" customWidth="false" hidden="false" outlineLevel="0" max="14155" min="14153" style="1" width="0.71"/>
    <col collapsed="false" customWidth="true" hidden="false" outlineLevel="0" max="14156" min="14156" style="1" width="2.42"/>
    <col collapsed="false" customWidth="false" hidden="false" outlineLevel="0" max="14162" min="14157" style="1" width="0.71"/>
    <col collapsed="false" customWidth="true" hidden="false" outlineLevel="0" max="14163" min="14163" style="1" width="16.57"/>
    <col collapsed="false" customWidth="false" hidden="false" outlineLevel="0" max="14166" min="14164" style="1" width="0.71"/>
    <col collapsed="false" customWidth="true" hidden="false" outlineLevel="0" max="14167" min="14167" style="1" width="9.86"/>
    <col collapsed="false" customWidth="true" hidden="false" outlineLevel="0" max="14170" min="14168" style="1" width="9.29"/>
    <col collapsed="false" customWidth="false" hidden="false" outlineLevel="0" max="14383" min="14171" style="1" width="0.71"/>
    <col collapsed="false" customWidth="true" hidden="false" outlineLevel="0" max="14384" min="14384" style="1" width="3.42"/>
    <col collapsed="false" customWidth="true" hidden="false" outlineLevel="0" max="14385" min="14385" style="1" width="2.42"/>
    <col collapsed="false" customWidth="true" hidden="false" outlineLevel="0" max="14386" min="14386" style="1" width="7"/>
    <col collapsed="false" customWidth="false" hidden="false" outlineLevel="0" max="14387" min="14387" style="1" width="0.71"/>
    <col collapsed="false" customWidth="true" hidden="false" outlineLevel="0" max="14388" min="14388" style="1" width="1.57"/>
    <col collapsed="false" customWidth="false" hidden="false" outlineLevel="0" max="14389" min="14389" style="1" width="0.71"/>
    <col collapsed="false" customWidth="true" hidden="false" outlineLevel="0" max="14390" min="14390" style="1" width="11.29"/>
    <col collapsed="false" customWidth="false" hidden="false" outlineLevel="0" max="14391" min="14391" style="1" width="0.71"/>
    <col collapsed="false" customWidth="true" hidden="false" outlineLevel="0" max="14392" min="14392" style="1" width="1.57"/>
    <col collapsed="false" customWidth="false" hidden="false" outlineLevel="0" max="14397" min="14393" style="1" width="0.71"/>
    <col collapsed="false" customWidth="true" hidden="false" outlineLevel="0" max="14398" min="14398" style="1" width="2.15"/>
    <col collapsed="false" customWidth="false" hidden="false" outlineLevel="0" max="14399" min="14399" style="1" width="0.71"/>
    <col collapsed="false" customWidth="true" hidden="false" outlineLevel="0" max="14400" min="14400" style="1" width="1.57"/>
    <col collapsed="false" customWidth="false" hidden="false" outlineLevel="0" max="14401" min="14401" style="1" width="0.71"/>
    <col collapsed="false" customWidth="true" hidden="false" outlineLevel="0" max="14402" min="14402" style="1" width="7"/>
    <col collapsed="false" customWidth="false" hidden="false" outlineLevel="0" max="14403" min="14403" style="1" width="0.71"/>
    <col collapsed="false" customWidth="true" hidden="false" outlineLevel="0" max="14404" min="14404" style="1" width="4"/>
    <col collapsed="false" customWidth="false" hidden="false" outlineLevel="0" max="14405" min="14405" style="1" width="0.71"/>
    <col collapsed="false" customWidth="true" hidden="false" outlineLevel="0" max="14406" min="14406" style="1" width="1.57"/>
    <col collapsed="false" customWidth="false" hidden="false" outlineLevel="0" max="14407" min="14407" style="1" width="0.71"/>
    <col collapsed="false" customWidth="true" hidden="false" outlineLevel="0" max="14408" min="14408" style="1" width="7"/>
    <col collapsed="false" customWidth="false" hidden="false" outlineLevel="0" max="14411" min="14409" style="1" width="0.71"/>
    <col collapsed="false" customWidth="true" hidden="false" outlineLevel="0" max="14412" min="14412" style="1" width="2.42"/>
    <col collapsed="false" customWidth="false" hidden="false" outlineLevel="0" max="14418" min="14413" style="1" width="0.71"/>
    <col collapsed="false" customWidth="true" hidden="false" outlineLevel="0" max="14419" min="14419" style="1" width="16.57"/>
    <col collapsed="false" customWidth="false" hidden="false" outlineLevel="0" max="14422" min="14420" style="1" width="0.71"/>
    <col collapsed="false" customWidth="true" hidden="false" outlineLevel="0" max="14423" min="14423" style="1" width="9.86"/>
    <col collapsed="false" customWidth="true" hidden="false" outlineLevel="0" max="14426" min="14424" style="1" width="9.29"/>
    <col collapsed="false" customWidth="false" hidden="false" outlineLevel="0" max="14639" min="14427" style="1" width="0.71"/>
    <col collapsed="false" customWidth="true" hidden="false" outlineLevel="0" max="14640" min="14640" style="1" width="3.42"/>
    <col collapsed="false" customWidth="true" hidden="false" outlineLevel="0" max="14641" min="14641" style="1" width="2.42"/>
    <col collapsed="false" customWidth="true" hidden="false" outlineLevel="0" max="14642" min="14642" style="1" width="7"/>
    <col collapsed="false" customWidth="false" hidden="false" outlineLevel="0" max="14643" min="14643" style="1" width="0.71"/>
    <col collapsed="false" customWidth="true" hidden="false" outlineLevel="0" max="14644" min="14644" style="1" width="1.57"/>
    <col collapsed="false" customWidth="false" hidden="false" outlineLevel="0" max="14645" min="14645" style="1" width="0.71"/>
    <col collapsed="false" customWidth="true" hidden="false" outlineLevel="0" max="14646" min="14646" style="1" width="11.29"/>
    <col collapsed="false" customWidth="false" hidden="false" outlineLevel="0" max="14647" min="14647" style="1" width="0.71"/>
    <col collapsed="false" customWidth="true" hidden="false" outlineLevel="0" max="14648" min="14648" style="1" width="1.57"/>
    <col collapsed="false" customWidth="false" hidden="false" outlineLevel="0" max="14653" min="14649" style="1" width="0.71"/>
    <col collapsed="false" customWidth="true" hidden="false" outlineLevel="0" max="14654" min="14654" style="1" width="2.15"/>
    <col collapsed="false" customWidth="false" hidden="false" outlineLevel="0" max="14655" min="14655" style="1" width="0.71"/>
    <col collapsed="false" customWidth="true" hidden="false" outlineLevel="0" max="14656" min="14656" style="1" width="1.57"/>
    <col collapsed="false" customWidth="false" hidden="false" outlineLevel="0" max="14657" min="14657" style="1" width="0.71"/>
    <col collapsed="false" customWidth="true" hidden="false" outlineLevel="0" max="14658" min="14658" style="1" width="7"/>
    <col collapsed="false" customWidth="false" hidden="false" outlineLevel="0" max="14659" min="14659" style="1" width="0.71"/>
    <col collapsed="false" customWidth="true" hidden="false" outlineLevel="0" max="14660" min="14660" style="1" width="4"/>
    <col collapsed="false" customWidth="false" hidden="false" outlineLevel="0" max="14661" min="14661" style="1" width="0.71"/>
    <col collapsed="false" customWidth="true" hidden="false" outlineLevel="0" max="14662" min="14662" style="1" width="1.57"/>
    <col collapsed="false" customWidth="false" hidden="false" outlineLevel="0" max="14663" min="14663" style="1" width="0.71"/>
    <col collapsed="false" customWidth="true" hidden="false" outlineLevel="0" max="14664" min="14664" style="1" width="7"/>
    <col collapsed="false" customWidth="false" hidden="false" outlineLevel="0" max="14667" min="14665" style="1" width="0.71"/>
    <col collapsed="false" customWidth="true" hidden="false" outlineLevel="0" max="14668" min="14668" style="1" width="2.42"/>
    <col collapsed="false" customWidth="false" hidden="false" outlineLevel="0" max="14674" min="14669" style="1" width="0.71"/>
    <col collapsed="false" customWidth="true" hidden="false" outlineLevel="0" max="14675" min="14675" style="1" width="16.57"/>
    <col collapsed="false" customWidth="false" hidden="false" outlineLevel="0" max="14678" min="14676" style="1" width="0.71"/>
    <col collapsed="false" customWidth="true" hidden="false" outlineLevel="0" max="14679" min="14679" style="1" width="9.86"/>
    <col collapsed="false" customWidth="true" hidden="false" outlineLevel="0" max="14682" min="14680" style="1" width="9.29"/>
    <col collapsed="false" customWidth="false" hidden="false" outlineLevel="0" max="14895" min="14683" style="1" width="0.71"/>
    <col collapsed="false" customWidth="true" hidden="false" outlineLevel="0" max="14896" min="14896" style="1" width="3.42"/>
    <col collapsed="false" customWidth="true" hidden="false" outlineLevel="0" max="14897" min="14897" style="1" width="2.42"/>
    <col collapsed="false" customWidth="true" hidden="false" outlineLevel="0" max="14898" min="14898" style="1" width="7"/>
    <col collapsed="false" customWidth="false" hidden="false" outlineLevel="0" max="14899" min="14899" style="1" width="0.71"/>
    <col collapsed="false" customWidth="true" hidden="false" outlineLevel="0" max="14900" min="14900" style="1" width="1.57"/>
    <col collapsed="false" customWidth="false" hidden="false" outlineLevel="0" max="14901" min="14901" style="1" width="0.71"/>
    <col collapsed="false" customWidth="true" hidden="false" outlineLevel="0" max="14902" min="14902" style="1" width="11.29"/>
    <col collapsed="false" customWidth="false" hidden="false" outlineLevel="0" max="14903" min="14903" style="1" width="0.71"/>
    <col collapsed="false" customWidth="true" hidden="false" outlineLevel="0" max="14904" min="14904" style="1" width="1.57"/>
    <col collapsed="false" customWidth="false" hidden="false" outlineLevel="0" max="14909" min="14905" style="1" width="0.71"/>
    <col collapsed="false" customWidth="true" hidden="false" outlineLevel="0" max="14910" min="14910" style="1" width="2.15"/>
    <col collapsed="false" customWidth="false" hidden="false" outlineLevel="0" max="14911" min="14911" style="1" width="0.71"/>
    <col collapsed="false" customWidth="true" hidden="false" outlineLevel="0" max="14912" min="14912" style="1" width="1.57"/>
    <col collapsed="false" customWidth="false" hidden="false" outlineLevel="0" max="14913" min="14913" style="1" width="0.71"/>
    <col collapsed="false" customWidth="true" hidden="false" outlineLevel="0" max="14914" min="14914" style="1" width="7"/>
    <col collapsed="false" customWidth="false" hidden="false" outlineLevel="0" max="14915" min="14915" style="1" width="0.71"/>
    <col collapsed="false" customWidth="true" hidden="false" outlineLevel="0" max="14916" min="14916" style="1" width="4"/>
    <col collapsed="false" customWidth="false" hidden="false" outlineLevel="0" max="14917" min="14917" style="1" width="0.71"/>
    <col collapsed="false" customWidth="true" hidden="false" outlineLevel="0" max="14918" min="14918" style="1" width="1.57"/>
    <col collapsed="false" customWidth="false" hidden="false" outlineLevel="0" max="14919" min="14919" style="1" width="0.71"/>
    <col collapsed="false" customWidth="true" hidden="false" outlineLevel="0" max="14920" min="14920" style="1" width="7"/>
    <col collapsed="false" customWidth="false" hidden="false" outlineLevel="0" max="14923" min="14921" style="1" width="0.71"/>
    <col collapsed="false" customWidth="true" hidden="false" outlineLevel="0" max="14924" min="14924" style="1" width="2.42"/>
    <col collapsed="false" customWidth="false" hidden="false" outlineLevel="0" max="14930" min="14925" style="1" width="0.71"/>
    <col collapsed="false" customWidth="true" hidden="false" outlineLevel="0" max="14931" min="14931" style="1" width="16.57"/>
    <col collapsed="false" customWidth="false" hidden="false" outlineLevel="0" max="14934" min="14932" style="1" width="0.71"/>
    <col collapsed="false" customWidth="true" hidden="false" outlineLevel="0" max="14935" min="14935" style="1" width="9.86"/>
    <col collapsed="false" customWidth="true" hidden="false" outlineLevel="0" max="14938" min="14936" style="1" width="9.29"/>
    <col collapsed="false" customWidth="false" hidden="false" outlineLevel="0" max="15151" min="14939" style="1" width="0.71"/>
    <col collapsed="false" customWidth="true" hidden="false" outlineLevel="0" max="15152" min="15152" style="1" width="3.42"/>
    <col collapsed="false" customWidth="true" hidden="false" outlineLevel="0" max="15153" min="15153" style="1" width="2.42"/>
    <col collapsed="false" customWidth="true" hidden="false" outlineLevel="0" max="15154" min="15154" style="1" width="7"/>
    <col collapsed="false" customWidth="false" hidden="false" outlineLevel="0" max="15155" min="15155" style="1" width="0.71"/>
    <col collapsed="false" customWidth="true" hidden="false" outlineLevel="0" max="15156" min="15156" style="1" width="1.57"/>
    <col collapsed="false" customWidth="false" hidden="false" outlineLevel="0" max="15157" min="15157" style="1" width="0.71"/>
    <col collapsed="false" customWidth="true" hidden="false" outlineLevel="0" max="15158" min="15158" style="1" width="11.29"/>
    <col collapsed="false" customWidth="false" hidden="false" outlineLevel="0" max="15159" min="15159" style="1" width="0.71"/>
    <col collapsed="false" customWidth="true" hidden="false" outlineLevel="0" max="15160" min="15160" style="1" width="1.57"/>
    <col collapsed="false" customWidth="false" hidden="false" outlineLevel="0" max="15165" min="15161" style="1" width="0.71"/>
    <col collapsed="false" customWidth="true" hidden="false" outlineLevel="0" max="15166" min="15166" style="1" width="2.15"/>
    <col collapsed="false" customWidth="false" hidden="false" outlineLevel="0" max="15167" min="15167" style="1" width="0.71"/>
    <col collapsed="false" customWidth="true" hidden="false" outlineLevel="0" max="15168" min="15168" style="1" width="1.57"/>
    <col collapsed="false" customWidth="false" hidden="false" outlineLevel="0" max="15169" min="15169" style="1" width="0.71"/>
    <col collapsed="false" customWidth="true" hidden="false" outlineLevel="0" max="15170" min="15170" style="1" width="7"/>
    <col collapsed="false" customWidth="false" hidden="false" outlineLevel="0" max="15171" min="15171" style="1" width="0.71"/>
    <col collapsed="false" customWidth="true" hidden="false" outlineLevel="0" max="15172" min="15172" style="1" width="4"/>
    <col collapsed="false" customWidth="false" hidden="false" outlineLevel="0" max="15173" min="15173" style="1" width="0.71"/>
    <col collapsed="false" customWidth="true" hidden="false" outlineLevel="0" max="15174" min="15174" style="1" width="1.57"/>
    <col collapsed="false" customWidth="false" hidden="false" outlineLevel="0" max="15175" min="15175" style="1" width="0.71"/>
    <col collapsed="false" customWidth="true" hidden="false" outlineLevel="0" max="15176" min="15176" style="1" width="7"/>
    <col collapsed="false" customWidth="false" hidden="false" outlineLevel="0" max="15179" min="15177" style="1" width="0.71"/>
    <col collapsed="false" customWidth="true" hidden="false" outlineLevel="0" max="15180" min="15180" style="1" width="2.42"/>
    <col collapsed="false" customWidth="false" hidden="false" outlineLevel="0" max="15186" min="15181" style="1" width="0.71"/>
    <col collapsed="false" customWidth="true" hidden="false" outlineLevel="0" max="15187" min="15187" style="1" width="16.57"/>
    <col collapsed="false" customWidth="false" hidden="false" outlineLevel="0" max="15190" min="15188" style="1" width="0.71"/>
    <col collapsed="false" customWidth="true" hidden="false" outlineLevel="0" max="15191" min="15191" style="1" width="9.86"/>
    <col collapsed="false" customWidth="true" hidden="false" outlineLevel="0" max="15194" min="15192" style="1" width="9.29"/>
    <col collapsed="false" customWidth="false" hidden="false" outlineLevel="0" max="15407" min="15195" style="1" width="0.71"/>
    <col collapsed="false" customWidth="true" hidden="false" outlineLevel="0" max="15408" min="15408" style="1" width="3.42"/>
    <col collapsed="false" customWidth="true" hidden="false" outlineLevel="0" max="15409" min="15409" style="1" width="2.42"/>
    <col collapsed="false" customWidth="true" hidden="false" outlineLevel="0" max="15410" min="15410" style="1" width="7"/>
    <col collapsed="false" customWidth="false" hidden="false" outlineLevel="0" max="15411" min="15411" style="1" width="0.71"/>
    <col collapsed="false" customWidth="true" hidden="false" outlineLevel="0" max="15412" min="15412" style="1" width="1.57"/>
    <col collapsed="false" customWidth="false" hidden="false" outlineLevel="0" max="15413" min="15413" style="1" width="0.71"/>
    <col collapsed="false" customWidth="true" hidden="false" outlineLevel="0" max="15414" min="15414" style="1" width="11.29"/>
    <col collapsed="false" customWidth="false" hidden="false" outlineLevel="0" max="15415" min="15415" style="1" width="0.71"/>
    <col collapsed="false" customWidth="true" hidden="false" outlineLevel="0" max="15416" min="15416" style="1" width="1.57"/>
    <col collapsed="false" customWidth="false" hidden="false" outlineLevel="0" max="15421" min="15417" style="1" width="0.71"/>
    <col collapsed="false" customWidth="true" hidden="false" outlineLevel="0" max="15422" min="15422" style="1" width="2.15"/>
    <col collapsed="false" customWidth="false" hidden="false" outlineLevel="0" max="15423" min="15423" style="1" width="0.71"/>
    <col collapsed="false" customWidth="true" hidden="false" outlineLevel="0" max="15424" min="15424" style="1" width="1.57"/>
    <col collapsed="false" customWidth="false" hidden="false" outlineLevel="0" max="15425" min="15425" style="1" width="0.71"/>
    <col collapsed="false" customWidth="true" hidden="false" outlineLevel="0" max="15426" min="15426" style="1" width="7"/>
    <col collapsed="false" customWidth="false" hidden="false" outlineLevel="0" max="15427" min="15427" style="1" width="0.71"/>
    <col collapsed="false" customWidth="true" hidden="false" outlineLevel="0" max="15428" min="15428" style="1" width="4"/>
    <col collapsed="false" customWidth="false" hidden="false" outlineLevel="0" max="15429" min="15429" style="1" width="0.71"/>
    <col collapsed="false" customWidth="true" hidden="false" outlineLevel="0" max="15430" min="15430" style="1" width="1.57"/>
    <col collapsed="false" customWidth="false" hidden="false" outlineLevel="0" max="15431" min="15431" style="1" width="0.71"/>
    <col collapsed="false" customWidth="true" hidden="false" outlineLevel="0" max="15432" min="15432" style="1" width="7"/>
    <col collapsed="false" customWidth="false" hidden="false" outlineLevel="0" max="15435" min="15433" style="1" width="0.71"/>
    <col collapsed="false" customWidth="true" hidden="false" outlineLevel="0" max="15436" min="15436" style="1" width="2.42"/>
    <col collapsed="false" customWidth="false" hidden="false" outlineLevel="0" max="15442" min="15437" style="1" width="0.71"/>
    <col collapsed="false" customWidth="true" hidden="false" outlineLevel="0" max="15443" min="15443" style="1" width="16.57"/>
    <col collapsed="false" customWidth="false" hidden="false" outlineLevel="0" max="15446" min="15444" style="1" width="0.71"/>
    <col collapsed="false" customWidth="true" hidden="false" outlineLevel="0" max="15447" min="15447" style="1" width="9.86"/>
    <col collapsed="false" customWidth="true" hidden="false" outlineLevel="0" max="15450" min="15448" style="1" width="9.29"/>
    <col collapsed="false" customWidth="false" hidden="false" outlineLevel="0" max="15663" min="15451" style="1" width="0.71"/>
    <col collapsed="false" customWidth="true" hidden="false" outlineLevel="0" max="15664" min="15664" style="1" width="3.42"/>
    <col collapsed="false" customWidth="true" hidden="false" outlineLevel="0" max="15665" min="15665" style="1" width="2.42"/>
    <col collapsed="false" customWidth="true" hidden="false" outlineLevel="0" max="15666" min="15666" style="1" width="7"/>
    <col collapsed="false" customWidth="false" hidden="false" outlineLevel="0" max="15667" min="15667" style="1" width="0.71"/>
    <col collapsed="false" customWidth="true" hidden="false" outlineLevel="0" max="15668" min="15668" style="1" width="1.57"/>
    <col collapsed="false" customWidth="false" hidden="false" outlineLevel="0" max="15669" min="15669" style="1" width="0.71"/>
    <col collapsed="false" customWidth="true" hidden="false" outlineLevel="0" max="15670" min="15670" style="1" width="11.29"/>
    <col collapsed="false" customWidth="false" hidden="false" outlineLevel="0" max="15671" min="15671" style="1" width="0.71"/>
    <col collapsed="false" customWidth="true" hidden="false" outlineLevel="0" max="15672" min="15672" style="1" width="1.57"/>
    <col collapsed="false" customWidth="false" hidden="false" outlineLevel="0" max="15677" min="15673" style="1" width="0.71"/>
    <col collapsed="false" customWidth="true" hidden="false" outlineLevel="0" max="15678" min="15678" style="1" width="2.15"/>
    <col collapsed="false" customWidth="false" hidden="false" outlineLevel="0" max="15679" min="15679" style="1" width="0.71"/>
    <col collapsed="false" customWidth="true" hidden="false" outlineLevel="0" max="15680" min="15680" style="1" width="1.57"/>
    <col collapsed="false" customWidth="false" hidden="false" outlineLevel="0" max="15681" min="15681" style="1" width="0.71"/>
    <col collapsed="false" customWidth="true" hidden="false" outlineLevel="0" max="15682" min="15682" style="1" width="7"/>
    <col collapsed="false" customWidth="false" hidden="false" outlineLevel="0" max="15683" min="15683" style="1" width="0.71"/>
    <col collapsed="false" customWidth="true" hidden="false" outlineLevel="0" max="15684" min="15684" style="1" width="4"/>
    <col collapsed="false" customWidth="false" hidden="false" outlineLevel="0" max="15685" min="15685" style="1" width="0.71"/>
    <col collapsed="false" customWidth="true" hidden="false" outlineLevel="0" max="15686" min="15686" style="1" width="1.57"/>
    <col collapsed="false" customWidth="false" hidden="false" outlineLevel="0" max="15687" min="15687" style="1" width="0.71"/>
    <col collapsed="false" customWidth="true" hidden="false" outlineLevel="0" max="15688" min="15688" style="1" width="7"/>
    <col collapsed="false" customWidth="false" hidden="false" outlineLevel="0" max="15691" min="15689" style="1" width="0.71"/>
    <col collapsed="false" customWidth="true" hidden="false" outlineLevel="0" max="15692" min="15692" style="1" width="2.42"/>
    <col collapsed="false" customWidth="false" hidden="false" outlineLevel="0" max="15698" min="15693" style="1" width="0.71"/>
    <col collapsed="false" customWidth="true" hidden="false" outlineLevel="0" max="15699" min="15699" style="1" width="16.57"/>
    <col collapsed="false" customWidth="false" hidden="false" outlineLevel="0" max="15702" min="15700" style="1" width="0.71"/>
    <col collapsed="false" customWidth="true" hidden="false" outlineLevel="0" max="15703" min="15703" style="1" width="9.86"/>
    <col collapsed="false" customWidth="true" hidden="false" outlineLevel="0" max="15706" min="15704" style="1" width="9.29"/>
    <col collapsed="false" customWidth="false" hidden="false" outlineLevel="0" max="15919" min="15707" style="1" width="0.71"/>
    <col collapsed="false" customWidth="true" hidden="false" outlineLevel="0" max="15920" min="15920" style="1" width="3.42"/>
    <col collapsed="false" customWidth="true" hidden="false" outlineLevel="0" max="15921" min="15921" style="1" width="2.42"/>
    <col collapsed="false" customWidth="true" hidden="false" outlineLevel="0" max="15922" min="15922" style="1" width="7"/>
    <col collapsed="false" customWidth="false" hidden="false" outlineLevel="0" max="15923" min="15923" style="1" width="0.71"/>
    <col collapsed="false" customWidth="true" hidden="false" outlineLevel="0" max="15924" min="15924" style="1" width="1.57"/>
    <col collapsed="false" customWidth="false" hidden="false" outlineLevel="0" max="15925" min="15925" style="1" width="0.71"/>
    <col collapsed="false" customWidth="true" hidden="false" outlineLevel="0" max="15926" min="15926" style="1" width="11.29"/>
    <col collapsed="false" customWidth="false" hidden="false" outlineLevel="0" max="15927" min="15927" style="1" width="0.71"/>
    <col collapsed="false" customWidth="true" hidden="false" outlineLevel="0" max="15928" min="15928" style="1" width="1.57"/>
    <col collapsed="false" customWidth="false" hidden="false" outlineLevel="0" max="15933" min="15929" style="1" width="0.71"/>
    <col collapsed="false" customWidth="true" hidden="false" outlineLevel="0" max="15934" min="15934" style="1" width="2.15"/>
    <col collapsed="false" customWidth="false" hidden="false" outlineLevel="0" max="15935" min="15935" style="1" width="0.71"/>
    <col collapsed="false" customWidth="true" hidden="false" outlineLevel="0" max="15936" min="15936" style="1" width="1.57"/>
    <col collapsed="false" customWidth="false" hidden="false" outlineLevel="0" max="15937" min="15937" style="1" width="0.71"/>
    <col collapsed="false" customWidth="true" hidden="false" outlineLevel="0" max="15938" min="15938" style="1" width="7"/>
    <col collapsed="false" customWidth="false" hidden="false" outlineLevel="0" max="15939" min="15939" style="1" width="0.71"/>
    <col collapsed="false" customWidth="true" hidden="false" outlineLevel="0" max="15940" min="15940" style="1" width="4"/>
    <col collapsed="false" customWidth="false" hidden="false" outlineLevel="0" max="15941" min="15941" style="1" width="0.71"/>
    <col collapsed="false" customWidth="true" hidden="false" outlineLevel="0" max="15942" min="15942" style="1" width="1.57"/>
    <col collapsed="false" customWidth="false" hidden="false" outlineLevel="0" max="15943" min="15943" style="1" width="0.71"/>
    <col collapsed="false" customWidth="true" hidden="false" outlineLevel="0" max="15944" min="15944" style="1" width="7"/>
    <col collapsed="false" customWidth="false" hidden="false" outlineLevel="0" max="15947" min="15945" style="1" width="0.71"/>
    <col collapsed="false" customWidth="true" hidden="false" outlineLevel="0" max="15948" min="15948" style="1" width="2.42"/>
    <col collapsed="false" customWidth="false" hidden="false" outlineLevel="0" max="15954" min="15949" style="1" width="0.71"/>
    <col collapsed="false" customWidth="true" hidden="false" outlineLevel="0" max="15955" min="15955" style="1" width="16.57"/>
    <col collapsed="false" customWidth="false" hidden="false" outlineLevel="0" max="15958" min="15956" style="1" width="0.71"/>
    <col collapsed="false" customWidth="true" hidden="false" outlineLevel="0" max="15959" min="15959" style="1" width="9.86"/>
    <col collapsed="false" customWidth="true" hidden="false" outlineLevel="0" max="15962" min="15960" style="1" width="9.29"/>
    <col collapsed="false" customWidth="false" hidden="false" outlineLevel="0" max="16175" min="15963" style="1" width="0.71"/>
    <col collapsed="false" customWidth="true" hidden="false" outlineLevel="0" max="16176" min="16176" style="1" width="3.42"/>
    <col collapsed="false" customWidth="true" hidden="false" outlineLevel="0" max="16177" min="16177" style="1" width="2.42"/>
    <col collapsed="false" customWidth="true" hidden="false" outlineLevel="0" max="16178" min="16178" style="1" width="7"/>
    <col collapsed="false" customWidth="false" hidden="false" outlineLevel="0" max="16179" min="16179" style="1" width="0.71"/>
    <col collapsed="false" customWidth="true" hidden="false" outlineLevel="0" max="16180" min="16180" style="1" width="1.57"/>
    <col collapsed="false" customWidth="false" hidden="false" outlineLevel="0" max="16181" min="16181" style="1" width="0.71"/>
    <col collapsed="false" customWidth="true" hidden="false" outlineLevel="0" max="16182" min="16182" style="1" width="11.29"/>
    <col collapsed="false" customWidth="false" hidden="false" outlineLevel="0" max="16183" min="16183" style="1" width="0.71"/>
    <col collapsed="false" customWidth="true" hidden="false" outlineLevel="0" max="16184" min="16184" style="1" width="1.57"/>
    <col collapsed="false" customWidth="false" hidden="false" outlineLevel="0" max="16189" min="16185" style="1" width="0.71"/>
    <col collapsed="false" customWidth="true" hidden="false" outlineLevel="0" max="16190" min="16190" style="1" width="2.15"/>
    <col collapsed="false" customWidth="false" hidden="false" outlineLevel="0" max="16191" min="16191" style="1" width="0.71"/>
    <col collapsed="false" customWidth="true" hidden="false" outlineLevel="0" max="16192" min="16192" style="1" width="1.57"/>
    <col collapsed="false" customWidth="false" hidden="false" outlineLevel="0" max="16193" min="16193" style="1" width="0.71"/>
    <col collapsed="false" customWidth="true" hidden="false" outlineLevel="0" max="16194" min="16194" style="1" width="7"/>
    <col collapsed="false" customWidth="false" hidden="false" outlineLevel="0" max="16195" min="16195" style="1" width="0.71"/>
    <col collapsed="false" customWidth="true" hidden="false" outlineLevel="0" max="16196" min="16196" style="1" width="4"/>
    <col collapsed="false" customWidth="false" hidden="false" outlineLevel="0" max="16197" min="16197" style="1" width="0.71"/>
    <col collapsed="false" customWidth="true" hidden="false" outlineLevel="0" max="16198" min="16198" style="1" width="1.57"/>
    <col collapsed="false" customWidth="false" hidden="false" outlineLevel="0" max="16199" min="16199" style="1" width="0.71"/>
    <col collapsed="false" customWidth="true" hidden="false" outlineLevel="0" max="16200" min="16200" style="1" width="7"/>
    <col collapsed="false" customWidth="false" hidden="false" outlineLevel="0" max="16203" min="16201" style="1" width="0.71"/>
    <col collapsed="false" customWidth="true" hidden="false" outlineLevel="0" max="16204" min="16204" style="1" width="2.42"/>
    <col collapsed="false" customWidth="false" hidden="false" outlineLevel="0" max="16210" min="16205" style="1" width="0.71"/>
    <col collapsed="false" customWidth="true" hidden="false" outlineLevel="0" max="16211" min="16211" style="1" width="16.57"/>
    <col collapsed="false" customWidth="false" hidden="false" outlineLevel="0" max="16214" min="16212" style="1" width="0.71"/>
    <col collapsed="false" customWidth="true" hidden="false" outlineLevel="0" max="16215" min="16215" style="1" width="9.86"/>
    <col collapsed="false" customWidth="true" hidden="false" outlineLevel="0" max="16218" min="16216" style="1" width="9.29"/>
    <col collapsed="false" customWidth="false" hidden="false" outlineLevel="0" max="16384" min="16219" style="1" width="0.71"/>
  </cols>
  <sheetData>
    <row r="1" customFormat="false" ht="14.25" hidden="false" customHeight="true" outlineLevel="0" collapsed="false"/>
    <row r="2" customFormat="false" ht="18" hidden="false" customHeight="true" outlineLevel="0" collapsed="false">
      <c r="C2" s="132" t="s">
        <v>64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</row>
    <row r="3" customFormat="false" ht="9.75" hidden="false" customHeight="true" outlineLevel="0" collapsed="false"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customFormat="false" ht="17.25" hidden="false" customHeight="true" outlineLevel="0" collapsed="false">
      <c r="C4" s="134" t="s">
        <v>1</v>
      </c>
      <c r="D4" s="135"/>
      <c r="E4" s="135"/>
      <c r="F4" s="135"/>
      <c r="G4" s="135"/>
      <c r="H4" s="135"/>
      <c r="I4" s="135"/>
      <c r="J4" s="135"/>
      <c r="K4" s="135"/>
      <c r="L4" s="135"/>
    </row>
    <row r="5" customFormat="false" ht="17.25" hidden="false" customHeight="true" outlineLevel="0" collapsed="false">
      <c r="C5" s="134" t="s">
        <v>2</v>
      </c>
      <c r="D5" s="135" t="n">
        <f aca="true">TODAY()</f>
        <v>46141</v>
      </c>
      <c r="E5" s="135"/>
      <c r="F5" s="135"/>
      <c r="G5" s="135"/>
      <c r="H5" s="135"/>
      <c r="I5" s="135"/>
      <c r="J5" s="135"/>
      <c r="K5" s="135"/>
      <c r="L5" s="135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</row>
    <row r="6" customFormat="false" ht="7.5" hidden="false" customHeight="true" outlineLevel="0" collapsed="false">
      <c r="C6" s="137" t="s">
        <v>3</v>
      </c>
      <c r="D6" s="138"/>
    </row>
    <row r="7" customFormat="false" ht="15" hidden="false" customHeight="true" outlineLevel="0" collapsed="false">
      <c r="C7" s="139" t="s">
        <v>4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AD7" s="140" t="s">
        <v>5</v>
      </c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E7" s="141" t="s">
        <v>6</v>
      </c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</row>
    <row r="8" s="13" customFormat="true" ht="15" hidden="false" customHeight="true" outlineLevel="0" collapsed="false">
      <c r="C8" s="142" t="s">
        <v>7</v>
      </c>
      <c r="D8" s="142"/>
      <c r="E8" s="142"/>
      <c r="F8" s="142"/>
      <c r="G8" s="142"/>
      <c r="H8" s="142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AD8" s="144" t="s">
        <v>7</v>
      </c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5" t="n">
        <f aca="false">I8</f>
        <v>0</v>
      </c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E8" s="142" t="s">
        <v>8</v>
      </c>
      <c r="BF8" s="142"/>
      <c r="BG8" s="142"/>
      <c r="BH8" s="142"/>
      <c r="BI8" s="142"/>
      <c r="BJ8" s="142"/>
      <c r="BK8" s="142"/>
      <c r="BL8" s="146" t="e">
        <f aca="false">AP18</f>
        <v>#DIV/0!</v>
      </c>
      <c r="BM8" s="146"/>
      <c r="BN8" s="146"/>
      <c r="BO8" s="146"/>
      <c r="BP8" s="146"/>
      <c r="BQ8" s="146"/>
      <c r="BR8" s="146"/>
      <c r="BS8" s="146"/>
      <c r="BT8" s="146"/>
      <c r="BU8" s="146"/>
      <c r="BV8" s="146"/>
      <c r="BW8" s="146"/>
      <c r="BX8" s="146"/>
      <c r="BY8" s="146"/>
      <c r="BZ8" s="146"/>
      <c r="CA8" s="146"/>
      <c r="CB8" s="146"/>
      <c r="CE8" s="19"/>
      <c r="CI8" s="20"/>
      <c r="CK8" s="19"/>
      <c r="CL8" s="20"/>
    </row>
    <row r="9" s="13" customFormat="true" ht="15" hidden="false" customHeight="true" outlineLevel="0" collapsed="false">
      <c r="C9" s="147" t="s">
        <v>9</v>
      </c>
      <c r="D9" s="147"/>
      <c r="E9" s="147"/>
      <c r="F9" s="147"/>
      <c r="G9" s="147"/>
      <c r="H9" s="147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AD9" s="147" t="s">
        <v>9</v>
      </c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8" t="n">
        <v>0</v>
      </c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E9" s="147" t="s">
        <v>10</v>
      </c>
      <c r="BF9" s="147"/>
      <c r="BG9" s="147"/>
      <c r="BH9" s="147"/>
      <c r="BI9" s="147"/>
      <c r="BJ9" s="147"/>
      <c r="BK9" s="147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E9" s="19"/>
      <c r="CI9" s="20"/>
      <c r="CK9" s="19"/>
      <c r="CL9" s="20"/>
    </row>
    <row r="10" s="13" customFormat="true" ht="15" hidden="false" customHeight="true" outlineLevel="0" collapsed="false">
      <c r="C10" s="147" t="s">
        <v>11</v>
      </c>
      <c r="D10" s="147"/>
      <c r="E10" s="147"/>
      <c r="F10" s="147"/>
      <c r="G10" s="147"/>
      <c r="H10" s="147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AD10" s="147" t="s">
        <v>11</v>
      </c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8" t="n">
        <v>0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E10" s="147" t="s">
        <v>12</v>
      </c>
      <c r="BF10" s="147"/>
      <c r="BG10" s="147"/>
      <c r="BH10" s="147"/>
      <c r="BI10" s="147"/>
      <c r="BJ10" s="147"/>
      <c r="BK10" s="147"/>
      <c r="BL10" s="150" t="n">
        <f aca="false">I17</f>
        <v>0</v>
      </c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E10" s="19"/>
      <c r="CI10" s="20"/>
      <c r="CK10" s="19"/>
      <c r="CL10" s="20"/>
    </row>
    <row r="11" s="13" customFormat="true" ht="15" hidden="false" customHeight="true" outlineLevel="0" collapsed="false">
      <c r="C11" s="147" t="s">
        <v>13</v>
      </c>
      <c r="D11" s="147"/>
      <c r="E11" s="147"/>
      <c r="F11" s="147"/>
      <c r="G11" s="147"/>
      <c r="H11" s="147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AD11" s="147" t="s">
        <v>13</v>
      </c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8" t="n">
        <v>0</v>
      </c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E11" s="147" t="s">
        <v>14</v>
      </c>
      <c r="BF11" s="147"/>
      <c r="BG11" s="147"/>
      <c r="BH11" s="147"/>
      <c r="BI11" s="147"/>
      <c r="BJ11" s="147"/>
      <c r="BK11" s="147"/>
      <c r="BL11" s="148" t="n">
        <f aca="false">BL9*BL10</f>
        <v>0</v>
      </c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E11" s="25"/>
      <c r="CI11" s="19"/>
      <c r="CJ11" s="26"/>
      <c r="CK11" s="25"/>
      <c r="CL11" s="20"/>
    </row>
    <row r="12" s="13" customFormat="true" ht="15" hidden="false" customHeight="true" outlineLevel="0" collapsed="false">
      <c r="C12" s="147" t="s">
        <v>15</v>
      </c>
      <c r="D12" s="147"/>
      <c r="E12" s="147"/>
      <c r="F12" s="147"/>
      <c r="G12" s="147"/>
      <c r="H12" s="147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AD12" s="147" t="s">
        <v>15</v>
      </c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8" t="n">
        <v>0</v>
      </c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E12" s="147" t="s">
        <v>16</v>
      </c>
      <c r="BF12" s="147"/>
      <c r="BG12" s="147"/>
      <c r="BH12" s="147"/>
      <c r="BI12" s="147"/>
      <c r="BJ12" s="147"/>
      <c r="BK12" s="147"/>
      <c r="BL12" s="148" t="e">
        <f aca="false">BL8-BL11</f>
        <v>#DIV/0!</v>
      </c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51"/>
      <c r="CE12" s="25"/>
      <c r="CI12" s="19"/>
      <c r="CJ12" s="26"/>
      <c r="CK12" s="25"/>
      <c r="CL12" s="20"/>
    </row>
    <row r="13" s="13" customFormat="true" ht="15" hidden="false" customHeight="true" outlineLevel="0" collapsed="false">
      <c r="C13" s="147" t="s">
        <v>17</v>
      </c>
      <c r="D13" s="147"/>
      <c r="E13" s="147"/>
      <c r="F13" s="147"/>
      <c r="G13" s="147"/>
      <c r="H13" s="147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AD13" s="147" t="s">
        <v>17</v>
      </c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8" t="n">
        <v>0</v>
      </c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E13" s="147" t="s">
        <v>18</v>
      </c>
      <c r="BF13" s="147"/>
      <c r="BG13" s="147"/>
      <c r="BH13" s="147"/>
      <c r="BI13" s="147"/>
      <c r="BJ13" s="147"/>
      <c r="BK13" s="147"/>
      <c r="BL13" s="152" t="n">
        <f aca="false">I16-BL9</f>
        <v>36</v>
      </c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E13" s="25"/>
      <c r="CI13" s="19"/>
      <c r="CJ13" s="26"/>
      <c r="CK13" s="25"/>
      <c r="CL13" s="20"/>
    </row>
    <row r="14" s="13" customFormat="true" ht="15" hidden="false" customHeight="true" outlineLevel="0" collapsed="false">
      <c r="C14" s="147" t="s">
        <v>19</v>
      </c>
      <c r="D14" s="147"/>
      <c r="E14" s="147"/>
      <c r="F14" s="147"/>
      <c r="G14" s="147"/>
      <c r="H14" s="147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AD14" s="147" t="s">
        <v>20</v>
      </c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53" t="n">
        <f aca="false">I14</f>
        <v>0</v>
      </c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E14" s="154" t="s">
        <v>21</v>
      </c>
      <c r="BF14" s="154"/>
      <c r="BG14" s="154"/>
      <c r="BH14" s="154"/>
      <c r="BI14" s="154"/>
      <c r="BJ14" s="154"/>
      <c r="BK14" s="154"/>
      <c r="BL14" s="155" t="e">
        <f aca="false">BL12/BL13</f>
        <v>#DIV/0!</v>
      </c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E14" s="25"/>
      <c r="CI14" s="19"/>
      <c r="CJ14" s="26"/>
      <c r="CK14" s="25"/>
      <c r="CL14" s="20"/>
    </row>
    <row r="15" s="13" customFormat="true" ht="15" hidden="false" customHeight="true" outlineLevel="0" collapsed="false">
      <c r="C15" s="147" t="s">
        <v>22</v>
      </c>
      <c r="D15" s="147"/>
      <c r="E15" s="147"/>
      <c r="F15" s="147"/>
      <c r="G15" s="147"/>
      <c r="H15" s="147"/>
      <c r="I15" s="148" t="n">
        <f aca="false">SUM(I8:Y14)</f>
        <v>0</v>
      </c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AD15" s="147" t="s">
        <v>22</v>
      </c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8" t="n">
        <f aca="false">SUM(AP8:AZ14)</f>
        <v>0</v>
      </c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E15" s="154"/>
      <c r="BF15" s="154"/>
      <c r="BG15" s="154"/>
      <c r="BH15" s="154"/>
      <c r="BI15" s="154"/>
      <c r="BJ15" s="154"/>
      <c r="BK15" s="154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E15" s="25"/>
      <c r="CI15" s="19"/>
      <c r="CJ15" s="26"/>
      <c r="CK15" s="25"/>
      <c r="CL15" s="20"/>
    </row>
    <row r="16" s="13" customFormat="true" ht="15" hidden="false" customHeight="true" outlineLevel="0" collapsed="false">
      <c r="C16" s="147" t="s">
        <v>23</v>
      </c>
      <c r="D16" s="147"/>
      <c r="E16" s="147"/>
      <c r="F16" s="147"/>
      <c r="G16" s="147"/>
      <c r="H16" s="147"/>
      <c r="I16" s="152" t="n">
        <v>36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AD16" s="147" t="s">
        <v>24</v>
      </c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CE16" s="25"/>
      <c r="CI16" s="19"/>
      <c r="CJ16" s="26"/>
      <c r="CK16" s="25"/>
      <c r="CL16" s="20"/>
    </row>
    <row r="17" s="13" customFormat="true" ht="15" hidden="false" customHeight="true" outlineLevel="0" collapsed="false">
      <c r="C17" s="147" t="s">
        <v>25</v>
      </c>
      <c r="D17" s="147"/>
      <c r="E17" s="147"/>
      <c r="F17" s="147"/>
      <c r="G17" s="147"/>
      <c r="H17" s="147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AD17" s="147" t="s">
        <v>26</v>
      </c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57" t="e">
        <f aca="false">AH122</f>
        <v>#DIV/0!</v>
      </c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E17" s="142" t="s">
        <v>27</v>
      </c>
      <c r="BF17" s="142"/>
      <c r="BG17" s="142"/>
      <c r="BH17" s="142"/>
      <c r="BI17" s="142"/>
      <c r="BJ17" s="142"/>
      <c r="BK17" s="142"/>
      <c r="BL17" s="143" t="n">
        <f aca="false">BL13*I17</f>
        <v>0</v>
      </c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E17" s="25"/>
      <c r="CI17" s="19"/>
      <c r="CJ17" s="26"/>
      <c r="CK17" s="25"/>
      <c r="CL17" s="20"/>
    </row>
    <row r="18" s="13" customFormat="true" ht="15" hidden="false" customHeight="true" outlineLevel="0" collapsed="false">
      <c r="C18" s="147" t="s">
        <v>28</v>
      </c>
      <c r="D18" s="147"/>
      <c r="E18" s="147"/>
      <c r="F18" s="147"/>
      <c r="G18" s="147"/>
      <c r="H18" s="147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AD18" s="147" t="s">
        <v>29</v>
      </c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50" t="e">
        <f aca="false">I16*AP17</f>
        <v>#DIV/0!</v>
      </c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E18" s="158" t="s">
        <v>30</v>
      </c>
      <c r="BF18" s="158"/>
      <c r="BG18" s="158"/>
      <c r="BH18" s="158"/>
      <c r="BI18" s="158"/>
      <c r="BJ18" s="158"/>
      <c r="BK18" s="158"/>
      <c r="BL18" s="159" t="e">
        <f aca="false">BL13*BL14</f>
        <v>#DIV/0!</v>
      </c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E18" s="25"/>
      <c r="CI18" s="19"/>
      <c r="CJ18" s="26"/>
      <c r="CK18" s="25"/>
      <c r="CL18" s="20"/>
    </row>
    <row r="19" s="13" customFormat="true" ht="15" hidden="false" customHeight="true" outlineLevel="0" collapsed="false">
      <c r="C19" s="160" t="s">
        <v>31</v>
      </c>
      <c r="D19" s="160"/>
      <c r="E19" s="160"/>
      <c r="F19" s="160"/>
      <c r="G19" s="160"/>
      <c r="H19" s="160"/>
      <c r="I19" s="161" t="n">
        <f aca="false">I16*I17</f>
        <v>0</v>
      </c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AD19" s="162" t="s">
        <v>32</v>
      </c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3" t="e">
        <f aca="false">I17-AP17</f>
        <v>#DIV/0!</v>
      </c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E19" s="164" t="s">
        <v>33</v>
      </c>
      <c r="BF19" s="164"/>
      <c r="BG19" s="164"/>
      <c r="BH19" s="164"/>
      <c r="BI19" s="164"/>
      <c r="BJ19" s="164"/>
      <c r="BK19" s="164"/>
      <c r="BL19" s="165" t="e">
        <f aca="false">BL17-BL18</f>
        <v>#DIV/0!</v>
      </c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E19" s="25"/>
      <c r="CI19" s="19"/>
      <c r="CJ19" s="26"/>
      <c r="CK19" s="25"/>
      <c r="CL19" s="20"/>
    </row>
    <row r="20" s="13" customFormat="true" ht="15" hidden="false" customHeight="true" outlineLevel="0" collapsed="false">
      <c r="AD20" s="166" t="s">
        <v>34</v>
      </c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7" t="e">
        <f aca="false">I19-AP18</f>
        <v>#DIV/0!</v>
      </c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E20" s="154" t="s">
        <v>35</v>
      </c>
      <c r="BF20" s="154"/>
      <c r="BG20" s="154"/>
      <c r="BH20" s="154"/>
      <c r="BI20" s="154"/>
      <c r="BJ20" s="154"/>
      <c r="BK20" s="154"/>
      <c r="BL20" s="168" t="e">
        <f aca="false">BL19/BL13</f>
        <v>#DIV/0!</v>
      </c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E20" s="25"/>
      <c r="CI20" s="19"/>
      <c r="CJ20" s="26"/>
      <c r="CK20" s="25"/>
      <c r="CL20" s="20"/>
    </row>
    <row r="21" customFormat="false" ht="9.75" hidden="true" customHeight="true" outlineLevel="0" collapsed="false">
      <c r="CE21" s="45"/>
      <c r="CI21" s="46"/>
      <c r="CJ21" s="47"/>
      <c r="CK21" s="45"/>
    </row>
    <row r="22" customFormat="false" ht="9.75" hidden="true" customHeight="true" outlineLevel="0" collapsed="false">
      <c r="CE22" s="45"/>
      <c r="CI22" s="46"/>
      <c r="CJ22" s="47"/>
      <c r="CK22" s="45"/>
    </row>
    <row r="23" customFormat="false" ht="9.75" hidden="true" customHeight="true" outlineLevel="0" collapsed="false">
      <c r="CE23" s="45"/>
      <c r="CI23" s="46"/>
      <c r="CJ23" s="47"/>
      <c r="CK23" s="45"/>
    </row>
    <row r="24" customFormat="false" ht="9.75" hidden="true" customHeight="true" outlineLevel="0" collapsed="false">
      <c r="BE24" s="1" t="s">
        <v>36</v>
      </c>
      <c r="CE24" s="45"/>
      <c r="CI24" s="46"/>
      <c r="CJ24" s="47"/>
      <c r="CK24" s="45"/>
    </row>
    <row r="25" customFormat="false" ht="9.75" hidden="false" customHeight="true" outlineLevel="0" collapsed="false">
      <c r="CE25" s="45"/>
      <c r="CI25" s="46"/>
      <c r="CJ25" s="47"/>
      <c r="CK25" s="45"/>
    </row>
    <row r="26" customFormat="false" ht="13.5" hidden="false" customHeight="false" outlineLevel="0" collapsed="false">
      <c r="C26" s="169" t="s">
        <v>37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AD26" s="169" t="s">
        <v>38</v>
      </c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1"/>
      <c r="CI26" s="46"/>
      <c r="CK26" s="51"/>
      <c r="CL26" s="46"/>
    </row>
    <row r="27" customFormat="false" ht="13.5" hidden="true" customHeight="true" outlineLevel="0" collapsed="false">
      <c r="C27" s="170"/>
      <c r="Y27" s="171"/>
      <c r="AD27" s="170"/>
      <c r="AZ27" s="171"/>
      <c r="CE27" s="54"/>
      <c r="CI27" s="55"/>
      <c r="CJ27" s="47"/>
      <c r="CK27" s="54"/>
      <c r="CL27" s="46"/>
    </row>
    <row r="28" customFormat="false" ht="12" hidden="true" customHeight="true" outlineLevel="0" collapsed="false">
      <c r="C28" s="172"/>
      <c r="D28" s="85"/>
      <c r="Y28" s="171"/>
      <c r="AD28" s="172"/>
      <c r="AE28" s="85"/>
      <c r="AZ28" s="171"/>
      <c r="BE28" s="85"/>
      <c r="BF28" s="85"/>
      <c r="CE28" s="3"/>
      <c r="CI28" s="57"/>
      <c r="CK28" s="3"/>
      <c r="CL28" s="46"/>
    </row>
    <row r="29" customFormat="false" ht="12" hidden="false" customHeight="true" outlineLevel="0" collapsed="false">
      <c r="C29" s="172"/>
      <c r="D29" s="85"/>
      <c r="Y29" s="171"/>
      <c r="AD29" s="172"/>
      <c r="AE29" s="85"/>
      <c r="AZ29" s="171"/>
      <c r="BE29" s="85"/>
      <c r="BF29" s="85"/>
      <c r="CE29" s="45"/>
      <c r="CK29" s="45"/>
    </row>
    <row r="30" customFormat="false" ht="24" hidden="false" customHeight="true" outlineLevel="0" collapsed="false">
      <c r="C30" s="173" t="s">
        <v>39</v>
      </c>
      <c r="D30" s="174"/>
      <c r="E30" s="175"/>
      <c r="F30" s="175"/>
      <c r="G30" s="175"/>
      <c r="H30" s="176" t="n">
        <f aca="false">I15</f>
        <v>0</v>
      </c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85"/>
      <c r="Y30" s="177"/>
      <c r="AD30" s="178" t="s">
        <v>40</v>
      </c>
      <c r="AE30" s="178"/>
      <c r="AF30" s="178"/>
      <c r="AG30" s="178"/>
      <c r="AH30" s="178"/>
      <c r="AI30" s="176" t="n">
        <f aca="false">AP15</f>
        <v>0</v>
      </c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85"/>
      <c r="AZ30" s="177"/>
      <c r="BE30" s="179" t="s">
        <v>41</v>
      </c>
      <c r="BF30" s="179"/>
      <c r="BG30" s="179"/>
      <c r="BH30" s="179"/>
      <c r="BJ30" s="180"/>
      <c r="BK30" s="179" t="s">
        <v>42</v>
      </c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  <c r="BX30" s="179"/>
      <c r="BY30" s="179"/>
      <c r="BZ30" s="179"/>
      <c r="CA30" s="179"/>
      <c r="CB30" s="179"/>
      <c r="CD30" s="66"/>
      <c r="CE30" s="45"/>
      <c r="CF30" s="3"/>
      <c r="CG30" s="3"/>
      <c r="CK30" s="45"/>
    </row>
    <row r="31" customFormat="false" ht="12" hidden="false" customHeight="true" outlineLevel="0" collapsed="false">
      <c r="C31" s="173" t="s">
        <v>43</v>
      </c>
      <c r="D31" s="174"/>
      <c r="E31" s="175"/>
      <c r="F31" s="175"/>
      <c r="G31" s="175"/>
      <c r="H31" s="181" t="n">
        <f aca="false">I18</f>
        <v>0</v>
      </c>
      <c r="I31" s="181"/>
      <c r="J31" s="181"/>
      <c r="K31" s="181"/>
      <c r="L31" s="181"/>
      <c r="M31" s="181"/>
      <c r="N31" s="181"/>
      <c r="O31" s="181"/>
      <c r="P31" s="181"/>
      <c r="Q31" s="181"/>
      <c r="R31" s="174"/>
      <c r="S31" s="182"/>
      <c r="Y31" s="177"/>
      <c r="AC31" s="183"/>
      <c r="AD31" s="173" t="s">
        <v>44</v>
      </c>
      <c r="AE31" s="174"/>
      <c r="AF31" s="175"/>
      <c r="AG31" s="175"/>
      <c r="AH31" s="175"/>
      <c r="AI31" s="181" t="n">
        <f aca="false">AP16</f>
        <v>0</v>
      </c>
      <c r="AJ31" s="181"/>
      <c r="AK31" s="181"/>
      <c r="AL31" s="181"/>
      <c r="AM31" s="181"/>
      <c r="AN31" s="181"/>
      <c r="AO31" s="181"/>
      <c r="AP31" s="181"/>
      <c r="AQ31" s="181"/>
      <c r="AR31" s="181"/>
      <c r="AS31" s="174"/>
      <c r="AT31" s="182"/>
      <c r="AZ31" s="177"/>
      <c r="BE31" s="184" t="e">
        <f aca="false">H31/AI31-100%</f>
        <v>#DIV/0!</v>
      </c>
      <c r="BF31" s="184"/>
      <c r="BG31" s="184"/>
      <c r="BH31" s="184"/>
      <c r="BJ31" s="185"/>
      <c r="BK31" s="186" t="n">
        <f aca="false">SUM(I9:Y13)</f>
        <v>0</v>
      </c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D31" s="66"/>
      <c r="CE31" s="45"/>
      <c r="CI31" s="45"/>
      <c r="CK31" s="45"/>
    </row>
    <row r="32" customFormat="false" ht="12" hidden="false" customHeight="true" outlineLevel="0" collapsed="false">
      <c r="C32" s="173" t="s">
        <v>23</v>
      </c>
      <c r="D32" s="174"/>
      <c r="E32" s="175"/>
      <c r="F32" s="175"/>
      <c r="G32" s="175"/>
      <c r="H32" s="175"/>
      <c r="I32" s="187" t="n">
        <f aca="false">I16</f>
        <v>36</v>
      </c>
      <c r="J32" s="187"/>
      <c r="K32" s="187"/>
      <c r="L32" s="187"/>
      <c r="M32" s="187"/>
      <c r="N32" s="187"/>
      <c r="O32" s="187"/>
      <c r="P32" s="175"/>
      <c r="Q32" s="175"/>
      <c r="R32" s="175"/>
      <c r="S32" s="188"/>
      <c r="Y32" s="171"/>
      <c r="AD32" s="173" t="s">
        <v>45</v>
      </c>
      <c r="AE32" s="174"/>
      <c r="AF32" s="175"/>
      <c r="AG32" s="175"/>
      <c r="AH32" s="175"/>
      <c r="AI32" s="175"/>
      <c r="AJ32" s="187" t="n">
        <f aca="false">I16</f>
        <v>36</v>
      </c>
      <c r="AK32" s="187"/>
      <c r="AL32" s="187"/>
      <c r="AM32" s="187"/>
      <c r="AN32" s="187"/>
      <c r="AO32" s="187"/>
      <c r="AP32" s="187"/>
      <c r="AQ32" s="175"/>
      <c r="AR32" s="175"/>
      <c r="AS32" s="175"/>
      <c r="AT32" s="188"/>
      <c r="AZ32" s="171"/>
      <c r="BE32" s="184"/>
      <c r="BF32" s="184"/>
      <c r="BG32" s="184"/>
      <c r="BH32" s="184"/>
      <c r="BJ32" s="189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E32" s="76"/>
      <c r="CI32" s="45"/>
      <c r="CK32" s="76"/>
    </row>
    <row r="33" customFormat="false" ht="9" hidden="false" customHeight="true" outlineLevel="0" collapsed="false">
      <c r="B33" s="77"/>
      <c r="C33" s="170"/>
      <c r="Y33" s="171"/>
      <c r="AD33" s="170"/>
      <c r="AZ33" s="171"/>
      <c r="CE33" s="78"/>
      <c r="CK33" s="78"/>
    </row>
    <row r="34" customFormat="false" ht="3" hidden="false" customHeight="true" outlineLevel="0" collapsed="false">
      <c r="B34" s="77"/>
      <c r="C34" s="190" t="s">
        <v>46</v>
      </c>
      <c r="D34" s="85"/>
      <c r="E34" s="191" t="s">
        <v>47</v>
      </c>
      <c r="F34" s="85"/>
      <c r="G34" s="191" t="s">
        <v>48</v>
      </c>
      <c r="H34" s="85"/>
      <c r="I34" s="191" t="s">
        <v>49</v>
      </c>
      <c r="J34" s="85"/>
      <c r="K34" s="85"/>
      <c r="L34" s="85"/>
      <c r="M34" s="85"/>
      <c r="N34" s="192"/>
      <c r="O34" s="191" t="n">
        <v>1</v>
      </c>
      <c r="P34" s="192"/>
      <c r="Q34" s="191" t="s">
        <v>50</v>
      </c>
      <c r="R34" s="192"/>
      <c r="S34" s="191" t="s">
        <v>51</v>
      </c>
      <c r="T34" s="192"/>
      <c r="U34" s="193" t="s">
        <v>52</v>
      </c>
      <c r="V34" s="85"/>
      <c r="W34" s="191" t="s">
        <v>49</v>
      </c>
      <c r="X34" s="194"/>
      <c r="Y34" s="195" t="s">
        <v>51</v>
      </c>
      <c r="AD34" s="190" t="s">
        <v>46</v>
      </c>
      <c r="AE34" s="85"/>
      <c r="AF34" s="191" t="s">
        <v>47</v>
      </c>
      <c r="AG34" s="85"/>
      <c r="AH34" s="191" t="s">
        <v>48</v>
      </c>
      <c r="AI34" s="85"/>
      <c r="AJ34" s="191" t="s">
        <v>49</v>
      </c>
      <c r="AK34" s="85"/>
      <c r="AL34" s="85"/>
      <c r="AM34" s="85"/>
      <c r="AN34" s="85"/>
      <c r="AO34" s="192"/>
      <c r="AP34" s="191" t="n">
        <v>1</v>
      </c>
      <c r="AQ34" s="192"/>
      <c r="AR34" s="191" t="s">
        <v>50</v>
      </c>
      <c r="AS34" s="192"/>
      <c r="AT34" s="191" t="s">
        <v>51</v>
      </c>
      <c r="AU34" s="192"/>
      <c r="AV34" s="193" t="s">
        <v>52</v>
      </c>
      <c r="AW34" s="85"/>
      <c r="AX34" s="191" t="s">
        <v>49</v>
      </c>
      <c r="AY34" s="194"/>
      <c r="AZ34" s="195" t="s">
        <v>51</v>
      </c>
      <c r="BE34" s="196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192"/>
      <c r="BT34" s="85"/>
      <c r="BU34" s="192"/>
      <c r="BV34" s="85"/>
      <c r="BW34" s="192"/>
      <c r="BX34" s="85"/>
      <c r="BY34" s="192"/>
      <c r="BZ34" s="85"/>
      <c r="CA34" s="85"/>
      <c r="CB34" s="85"/>
      <c r="CC34" s="194"/>
      <c r="CD34" s="85"/>
    </row>
    <row r="35" customFormat="false" ht="3" hidden="false" customHeight="true" outlineLevel="0" collapsed="false">
      <c r="B35" s="77"/>
      <c r="C35" s="190"/>
      <c r="D35" s="85"/>
      <c r="E35" s="191"/>
      <c r="F35" s="85"/>
      <c r="G35" s="191"/>
      <c r="H35" s="85"/>
      <c r="I35" s="191"/>
      <c r="J35" s="85"/>
      <c r="K35" s="85"/>
      <c r="L35" s="85"/>
      <c r="M35" s="85"/>
      <c r="N35" s="192"/>
      <c r="O35" s="191"/>
      <c r="P35" s="192"/>
      <c r="Q35" s="191"/>
      <c r="R35" s="192"/>
      <c r="S35" s="191"/>
      <c r="T35" s="192"/>
      <c r="U35" s="193"/>
      <c r="V35" s="85"/>
      <c r="W35" s="191"/>
      <c r="X35" s="194"/>
      <c r="Y35" s="195"/>
      <c r="AD35" s="190"/>
      <c r="AE35" s="85"/>
      <c r="AF35" s="191"/>
      <c r="AG35" s="85"/>
      <c r="AH35" s="191"/>
      <c r="AI35" s="85"/>
      <c r="AJ35" s="191"/>
      <c r="AK35" s="85"/>
      <c r="AL35" s="85"/>
      <c r="AM35" s="85"/>
      <c r="AN35" s="85"/>
      <c r="AO35" s="192"/>
      <c r="AP35" s="191"/>
      <c r="AQ35" s="192"/>
      <c r="AR35" s="191"/>
      <c r="AS35" s="192"/>
      <c r="AT35" s="191"/>
      <c r="AU35" s="192"/>
      <c r="AV35" s="193"/>
      <c r="AW35" s="85"/>
      <c r="AX35" s="191"/>
      <c r="AY35" s="194"/>
      <c r="AZ35" s="195"/>
      <c r="BE35" s="196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192"/>
      <c r="BT35" s="85"/>
      <c r="BU35" s="192"/>
      <c r="BV35" s="85"/>
      <c r="BW35" s="192"/>
      <c r="BX35" s="85"/>
      <c r="BY35" s="192"/>
      <c r="BZ35" s="85"/>
      <c r="CA35" s="85"/>
      <c r="CB35" s="85"/>
      <c r="CC35" s="194"/>
      <c r="CD35" s="85"/>
    </row>
    <row r="36" customFormat="false" ht="3" hidden="false" customHeight="true" outlineLevel="0" collapsed="false">
      <c r="B36" s="77"/>
      <c r="C36" s="190"/>
      <c r="D36" s="85"/>
      <c r="E36" s="191"/>
      <c r="F36" s="85"/>
      <c r="G36" s="191"/>
      <c r="H36" s="85"/>
      <c r="I36" s="191"/>
      <c r="J36" s="85"/>
      <c r="K36" s="85"/>
      <c r="L36" s="85"/>
      <c r="M36" s="85"/>
      <c r="N36" s="192"/>
      <c r="O36" s="191"/>
      <c r="P36" s="192"/>
      <c r="Q36" s="191"/>
      <c r="R36" s="192"/>
      <c r="S36" s="191"/>
      <c r="T36" s="192"/>
      <c r="U36" s="193"/>
      <c r="V36" s="85"/>
      <c r="W36" s="191"/>
      <c r="X36" s="194"/>
      <c r="Y36" s="195"/>
      <c r="AD36" s="190"/>
      <c r="AE36" s="85"/>
      <c r="AF36" s="191"/>
      <c r="AG36" s="85"/>
      <c r="AH36" s="191"/>
      <c r="AI36" s="85"/>
      <c r="AJ36" s="191"/>
      <c r="AK36" s="85"/>
      <c r="AL36" s="85"/>
      <c r="AM36" s="85"/>
      <c r="AN36" s="85"/>
      <c r="AO36" s="192"/>
      <c r="AP36" s="191"/>
      <c r="AQ36" s="192"/>
      <c r="AR36" s="191"/>
      <c r="AS36" s="192"/>
      <c r="AT36" s="191"/>
      <c r="AU36" s="192"/>
      <c r="AV36" s="193"/>
      <c r="AW36" s="85"/>
      <c r="AX36" s="191"/>
      <c r="AY36" s="194"/>
      <c r="AZ36" s="195"/>
      <c r="BE36" s="196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192"/>
      <c r="BT36" s="85"/>
      <c r="BU36" s="192"/>
      <c r="BV36" s="85"/>
      <c r="BW36" s="192"/>
      <c r="BX36" s="85"/>
      <c r="BY36" s="192"/>
      <c r="BZ36" s="85"/>
      <c r="CA36" s="85"/>
      <c r="CB36" s="85"/>
      <c r="CC36" s="194"/>
      <c r="CD36" s="85"/>
    </row>
    <row r="37" customFormat="false" ht="3" hidden="false" customHeight="true" outlineLevel="0" collapsed="false">
      <c r="B37" s="77"/>
      <c r="C37" s="190"/>
      <c r="D37" s="85"/>
      <c r="E37" s="191"/>
      <c r="F37" s="85"/>
      <c r="G37" s="191"/>
      <c r="H37" s="85"/>
      <c r="I37" s="191"/>
      <c r="J37" s="85"/>
      <c r="K37" s="85"/>
      <c r="L37" s="85"/>
      <c r="M37" s="85"/>
      <c r="N37" s="85"/>
      <c r="O37" s="191"/>
      <c r="P37" s="85"/>
      <c r="Q37" s="191"/>
      <c r="R37" s="85"/>
      <c r="S37" s="191"/>
      <c r="T37" s="192"/>
      <c r="U37" s="192"/>
      <c r="V37" s="85"/>
      <c r="W37" s="191"/>
      <c r="X37" s="85"/>
      <c r="Y37" s="195"/>
      <c r="AD37" s="190"/>
      <c r="AE37" s="85"/>
      <c r="AF37" s="191"/>
      <c r="AG37" s="85"/>
      <c r="AH37" s="191"/>
      <c r="AI37" s="85"/>
      <c r="AJ37" s="191"/>
      <c r="AK37" s="85"/>
      <c r="AL37" s="85"/>
      <c r="AM37" s="85"/>
      <c r="AN37" s="85"/>
      <c r="AO37" s="85"/>
      <c r="AP37" s="191"/>
      <c r="AQ37" s="85"/>
      <c r="AR37" s="191"/>
      <c r="AS37" s="85"/>
      <c r="AT37" s="191"/>
      <c r="AU37" s="192"/>
      <c r="AV37" s="192"/>
      <c r="AW37" s="85"/>
      <c r="AX37" s="191"/>
      <c r="AY37" s="85"/>
      <c r="AZ37" s="195"/>
      <c r="BE37" s="196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192"/>
      <c r="BZ37" s="192"/>
      <c r="CA37" s="85"/>
      <c r="CB37" s="85"/>
      <c r="CC37" s="85"/>
      <c r="CD37" s="85"/>
    </row>
    <row r="38" customFormat="false" ht="3" hidden="false" customHeight="true" outlineLevel="0" collapsed="false">
      <c r="B38" s="77"/>
      <c r="C38" s="190"/>
      <c r="D38" s="85"/>
      <c r="E38" s="191"/>
      <c r="F38" s="85"/>
      <c r="G38" s="191"/>
      <c r="H38" s="85"/>
      <c r="I38" s="191"/>
      <c r="J38" s="85"/>
      <c r="K38" s="85"/>
      <c r="L38" s="85"/>
      <c r="M38" s="85"/>
      <c r="N38" s="85"/>
      <c r="O38" s="191"/>
      <c r="P38" s="85"/>
      <c r="Q38" s="191"/>
      <c r="R38" s="85"/>
      <c r="S38" s="191"/>
      <c r="T38" s="192"/>
      <c r="U38" s="192"/>
      <c r="V38" s="85"/>
      <c r="W38" s="191"/>
      <c r="X38" s="85"/>
      <c r="Y38" s="195"/>
      <c r="AD38" s="190"/>
      <c r="AE38" s="85"/>
      <c r="AF38" s="191"/>
      <c r="AG38" s="85"/>
      <c r="AH38" s="191"/>
      <c r="AI38" s="85"/>
      <c r="AJ38" s="191"/>
      <c r="AK38" s="85"/>
      <c r="AL38" s="85"/>
      <c r="AM38" s="85"/>
      <c r="AN38" s="85"/>
      <c r="AO38" s="85"/>
      <c r="AP38" s="191"/>
      <c r="AQ38" s="85"/>
      <c r="AR38" s="191"/>
      <c r="AS38" s="85"/>
      <c r="AT38" s="191"/>
      <c r="AU38" s="192"/>
      <c r="AV38" s="192"/>
      <c r="AW38" s="85"/>
      <c r="AX38" s="191"/>
      <c r="AY38" s="85"/>
      <c r="AZ38" s="195"/>
      <c r="BE38" s="196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192"/>
      <c r="BZ38" s="192"/>
      <c r="CA38" s="85"/>
      <c r="CB38" s="85"/>
      <c r="CC38" s="85"/>
      <c r="CD38" s="85"/>
    </row>
    <row r="39" customFormat="false" ht="3" hidden="false" customHeight="true" outlineLevel="0" collapsed="false">
      <c r="B39" s="77"/>
      <c r="C39" s="190"/>
      <c r="D39" s="85"/>
      <c r="E39" s="191"/>
      <c r="F39" s="85"/>
      <c r="G39" s="191"/>
      <c r="H39" s="85"/>
      <c r="I39" s="191"/>
      <c r="J39" s="85"/>
      <c r="K39" s="85"/>
      <c r="L39" s="85"/>
      <c r="M39" s="85"/>
      <c r="N39" s="192"/>
      <c r="O39" s="191"/>
      <c r="P39" s="192"/>
      <c r="Q39" s="191"/>
      <c r="R39" s="192"/>
      <c r="S39" s="191"/>
      <c r="T39" s="192"/>
      <c r="U39" s="192"/>
      <c r="V39" s="85"/>
      <c r="W39" s="191"/>
      <c r="X39" s="85"/>
      <c r="Y39" s="195"/>
      <c r="AD39" s="190"/>
      <c r="AE39" s="85"/>
      <c r="AF39" s="191"/>
      <c r="AG39" s="85"/>
      <c r="AH39" s="191"/>
      <c r="AI39" s="85"/>
      <c r="AJ39" s="191"/>
      <c r="AK39" s="85"/>
      <c r="AL39" s="85"/>
      <c r="AM39" s="85"/>
      <c r="AN39" s="85"/>
      <c r="AO39" s="192"/>
      <c r="AP39" s="191"/>
      <c r="AQ39" s="192"/>
      <c r="AR39" s="191"/>
      <c r="AS39" s="192"/>
      <c r="AT39" s="191"/>
      <c r="AU39" s="192"/>
      <c r="AV39" s="192"/>
      <c r="AW39" s="85"/>
      <c r="AX39" s="191"/>
      <c r="AY39" s="85"/>
      <c r="AZ39" s="195"/>
      <c r="BE39" s="197" t="s">
        <v>53</v>
      </c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197"/>
      <c r="BS39" s="197"/>
      <c r="BT39" s="197"/>
      <c r="BU39" s="197"/>
      <c r="BV39" s="197"/>
      <c r="BW39" s="197"/>
      <c r="BX39" s="197"/>
      <c r="BY39" s="197"/>
      <c r="BZ39" s="197"/>
      <c r="CA39" s="197"/>
      <c r="CB39" s="197"/>
      <c r="CC39" s="85"/>
      <c r="CD39" s="85"/>
    </row>
    <row r="40" customFormat="false" ht="3" hidden="false" customHeight="true" outlineLevel="0" collapsed="false">
      <c r="B40" s="77"/>
      <c r="C40" s="190"/>
      <c r="D40" s="192"/>
      <c r="E40" s="191"/>
      <c r="F40" s="85"/>
      <c r="G40" s="191"/>
      <c r="H40" s="85"/>
      <c r="I40" s="1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198"/>
      <c r="AD40" s="190"/>
      <c r="AE40" s="192"/>
      <c r="AF40" s="191"/>
      <c r="AG40" s="85"/>
      <c r="AH40" s="191"/>
      <c r="AI40" s="85"/>
      <c r="AJ40" s="191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198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197"/>
      <c r="BX40" s="197"/>
      <c r="BY40" s="197"/>
      <c r="BZ40" s="197"/>
      <c r="CA40" s="197"/>
      <c r="CB40" s="197"/>
      <c r="CC40" s="85"/>
      <c r="CD40" s="85"/>
    </row>
    <row r="41" customFormat="false" ht="3" hidden="false" customHeight="true" outlineLevel="0" collapsed="false">
      <c r="B41" s="77"/>
      <c r="C41" s="190"/>
      <c r="D41" s="192"/>
      <c r="E41" s="191"/>
      <c r="F41" s="85"/>
      <c r="G41" s="191"/>
      <c r="H41" s="85"/>
      <c r="I41" s="1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198"/>
      <c r="AD41" s="190"/>
      <c r="AE41" s="192"/>
      <c r="AF41" s="191"/>
      <c r="AG41" s="85"/>
      <c r="AH41" s="191"/>
      <c r="AI41" s="85"/>
      <c r="AJ41" s="191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198"/>
      <c r="BE41" s="197"/>
      <c r="BF41" s="197"/>
      <c r="BG41" s="197"/>
      <c r="BH41" s="197"/>
      <c r="BI41" s="197"/>
      <c r="BJ41" s="197"/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197"/>
      <c r="BX41" s="197"/>
      <c r="BY41" s="197"/>
      <c r="BZ41" s="197"/>
      <c r="CA41" s="197"/>
      <c r="CB41" s="197"/>
      <c r="CC41" s="85"/>
      <c r="CD41" s="85"/>
    </row>
    <row r="42" customFormat="false" ht="3" hidden="false" customHeight="true" outlineLevel="0" collapsed="false">
      <c r="B42" s="77"/>
      <c r="C42" s="190"/>
      <c r="D42" s="85"/>
      <c r="E42" s="191"/>
      <c r="F42" s="85"/>
      <c r="G42" s="191"/>
      <c r="H42" s="85"/>
      <c r="I42" s="191"/>
      <c r="J42" s="85"/>
      <c r="K42" s="85"/>
      <c r="L42" s="85"/>
      <c r="M42" s="85"/>
      <c r="N42" s="192"/>
      <c r="O42" s="191" t="n">
        <v>1</v>
      </c>
      <c r="P42" s="192"/>
      <c r="Q42" s="191" t="s">
        <v>50</v>
      </c>
      <c r="R42" s="192"/>
      <c r="S42" s="191" t="s">
        <v>51</v>
      </c>
      <c r="T42" s="192"/>
      <c r="U42" s="193" t="s">
        <v>52</v>
      </c>
      <c r="V42" s="85"/>
      <c r="W42" s="191" t="s">
        <v>54</v>
      </c>
      <c r="X42" s="194"/>
      <c r="Y42" s="195" t="n">
        <v>1</v>
      </c>
      <c r="AD42" s="190"/>
      <c r="AE42" s="85"/>
      <c r="AF42" s="191"/>
      <c r="AG42" s="85"/>
      <c r="AH42" s="191"/>
      <c r="AI42" s="85"/>
      <c r="AJ42" s="191"/>
      <c r="AK42" s="85"/>
      <c r="AL42" s="85"/>
      <c r="AM42" s="85"/>
      <c r="AN42" s="85"/>
      <c r="AO42" s="192"/>
      <c r="AP42" s="191" t="n">
        <v>1</v>
      </c>
      <c r="AQ42" s="192"/>
      <c r="AR42" s="191" t="s">
        <v>50</v>
      </c>
      <c r="AS42" s="192"/>
      <c r="AT42" s="191" t="s">
        <v>51</v>
      </c>
      <c r="AU42" s="192"/>
      <c r="AV42" s="193" t="s">
        <v>52</v>
      </c>
      <c r="AW42" s="85"/>
      <c r="AX42" s="191" t="s">
        <v>54</v>
      </c>
      <c r="AY42" s="194"/>
      <c r="AZ42" s="195" t="n">
        <v>1</v>
      </c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4"/>
      <c r="CD42" s="85"/>
    </row>
    <row r="43" customFormat="false" ht="3" hidden="false" customHeight="true" outlineLevel="0" collapsed="false">
      <c r="B43" s="77"/>
      <c r="C43" s="190"/>
      <c r="D43" s="85"/>
      <c r="E43" s="191"/>
      <c r="F43" s="85"/>
      <c r="G43" s="191"/>
      <c r="H43" s="85"/>
      <c r="I43" s="191"/>
      <c r="J43" s="85"/>
      <c r="K43" s="85"/>
      <c r="L43" s="85"/>
      <c r="M43" s="85"/>
      <c r="N43" s="192"/>
      <c r="O43" s="191"/>
      <c r="P43" s="192"/>
      <c r="Q43" s="191"/>
      <c r="R43" s="192"/>
      <c r="S43" s="191"/>
      <c r="T43" s="192"/>
      <c r="U43" s="193"/>
      <c r="V43" s="85"/>
      <c r="W43" s="191"/>
      <c r="X43" s="194"/>
      <c r="Y43" s="195"/>
      <c r="AD43" s="190"/>
      <c r="AE43" s="85"/>
      <c r="AF43" s="191"/>
      <c r="AG43" s="85"/>
      <c r="AH43" s="191"/>
      <c r="AI43" s="85"/>
      <c r="AJ43" s="191"/>
      <c r="AK43" s="85"/>
      <c r="AL43" s="85"/>
      <c r="AM43" s="85"/>
      <c r="AN43" s="85"/>
      <c r="AO43" s="192"/>
      <c r="AP43" s="191"/>
      <c r="AQ43" s="192"/>
      <c r="AR43" s="191"/>
      <c r="AS43" s="192"/>
      <c r="AT43" s="191"/>
      <c r="AU43" s="192"/>
      <c r="AV43" s="193"/>
      <c r="AW43" s="85"/>
      <c r="AX43" s="191"/>
      <c r="AY43" s="194"/>
      <c r="AZ43" s="195"/>
      <c r="BE43" s="197"/>
      <c r="BF43" s="197"/>
      <c r="BG43" s="197"/>
      <c r="BH43" s="197"/>
      <c r="BI43" s="197"/>
      <c r="BJ43" s="197"/>
      <c r="BK43" s="197"/>
      <c r="BL43" s="197"/>
      <c r="BM43" s="197"/>
      <c r="BN43" s="197"/>
      <c r="BO43" s="197"/>
      <c r="BP43" s="197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4"/>
      <c r="CD43" s="85"/>
    </row>
    <row r="44" customFormat="false" ht="3" hidden="false" customHeight="true" outlineLevel="0" collapsed="false">
      <c r="B44" s="77"/>
      <c r="C44" s="190"/>
      <c r="D44" s="85"/>
      <c r="E44" s="191"/>
      <c r="F44" s="85"/>
      <c r="G44" s="191"/>
      <c r="H44" s="85"/>
      <c r="I44" s="191"/>
      <c r="J44" s="85"/>
      <c r="K44" s="85"/>
      <c r="L44" s="85"/>
      <c r="M44" s="85"/>
      <c r="N44" s="192"/>
      <c r="O44" s="191"/>
      <c r="P44" s="192"/>
      <c r="Q44" s="191"/>
      <c r="R44" s="192"/>
      <c r="S44" s="191"/>
      <c r="T44" s="192"/>
      <c r="U44" s="193"/>
      <c r="V44" s="85"/>
      <c r="W44" s="191"/>
      <c r="X44" s="194"/>
      <c r="Y44" s="195"/>
      <c r="AD44" s="190"/>
      <c r="AE44" s="85"/>
      <c r="AF44" s="191"/>
      <c r="AG44" s="85"/>
      <c r="AH44" s="191"/>
      <c r="AI44" s="85"/>
      <c r="AJ44" s="191"/>
      <c r="AK44" s="85"/>
      <c r="AL44" s="85"/>
      <c r="AM44" s="85"/>
      <c r="AN44" s="85"/>
      <c r="AO44" s="192"/>
      <c r="AP44" s="191"/>
      <c r="AQ44" s="192"/>
      <c r="AR44" s="191"/>
      <c r="AS44" s="192"/>
      <c r="AT44" s="191"/>
      <c r="AU44" s="192"/>
      <c r="AV44" s="193"/>
      <c r="AW44" s="85"/>
      <c r="AX44" s="191"/>
      <c r="AY44" s="194"/>
      <c r="AZ44" s="195"/>
      <c r="BE44" s="197"/>
      <c r="BF44" s="197"/>
      <c r="BG44" s="197"/>
      <c r="BH44" s="197"/>
      <c r="BI44" s="197"/>
      <c r="BJ44" s="197"/>
      <c r="BK44" s="197"/>
      <c r="BL44" s="197"/>
      <c r="BM44" s="197"/>
      <c r="BN44" s="197"/>
      <c r="BO44" s="197"/>
      <c r="BP44" s="197"/>
      <c r="BQ44" s="197"/>
      <c r="BR44" s="197"/>
      <c r="BS44" s="197"/>
      <c r="BT44" s="197"/>
      <c r="BU44" s="197"/>
      <c r="BV44" s="197"/>
      <c r="BW44" s="197"/>
      <c r="BX44" s="197"/>
      <c r="BY44" s="197"/>
      <c r="BZ44" s="197"/>
      <c r="CA44" s="197"/>
      <c r="CB44" s="197"/>
      <c r="CC44" s="194"/>
      <c r="CD44" s="85"/>
    </row>
    <row r="45" customFormat="false" ht="3" hidden="false" customHeight="true" outlineLevel="0" collapsed="false">
      <c r="B45" s="77"/>
      <c r="C45" s="190"/>
      <c r="D45" s="85"/>
      <c r="E45" s="191"/>
      <c r="F45" s="85"/>
      <c r="G45" s="191"/>
      <c r="H45" s="85"/>
      <c r="I45" s="191"/>
      <c r="J45" s="85"/>
      <c r="K45" s="85"/>
      <c r="L45" s="85"/>
      <c r="M45" s="85"/>
      <c r="N45" s="85"/>
      <c r="O45" s="191"/>
      <c r="P45" s="85"/>
      <c r="Q45" s="191"/>
      <c r="R45" s="85"/>
      <c r="S45" s="191"/>
      <c r="T45" s="192"/>
      <c r="U45" s="192"/>
      <c r="V45" s="85"/>
      <c r="W45" s="191"/>
      <c r="X45" s="85"/>
      <c r="Y45" s="195"/>
      <c r="AD45" s="190"/>
      <c r="AE45" s="85"/>
      <c r="AF45" s="191"/>
      <c r="AG45" s="85"/>
      <c r="AH45" s="191"/>
      <c r="AI45" s="85"/>
      <c r="AJ45" s="191"/>
      <c r="AK45" s="85"/>
      <c r="AL45" s="85"/>
      <c r="AM45" s="85"/>
      <c r="AN45" s="85"/>
      <c r="AO45" s="85"/>
      <c r="AP45" s="191"/>
      <c r="AQ45" s="85"/>
      <c r="AR45" s="191"/>
      <c r="AS45" s="85"/>
      <c r="AT45" s="191"/>
      <c r="AU45" s="192"/>
      <c r="AV45" s="192"/>
      <c r="AW45" s="85"/>
      <c r="AX45" s="191"/>
      <c r="AY45" s="85"/>
      <c r="AZ45" s="195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197"/>
      <c r="BX45" s="197"/>
      <c r="BY45" s="197"/>
      <c r="BZ45" s="197"/>
      <c r="CA45" s="197"/>
      <c r="CB45" s="197"/>
      <c r="CC45" s="85"/>
      <c r="CD45" s="85"/>
    </row>
    <row r="46" customFormat="false" ht="3" hidden="false" customHeight="true" outlineLevel="0" collapsed="false">
      <c r="B46" s="77"/>
      <c r="C46" s="190"/>
      <c r="D46" s="85"/>
      <c r="E46" s="191"/>
      <c r="F46" s="85"/>
      <c r="G46" s="191"/>
      <c r="H46" s="85"/>
      <c r="I46" s="191"/>
      <c r="J46" s="85"/>
      <c r="K46" s="85"/>
      <c r="L46" s="85"/>
      <c r="M46" s="85"/>
      <c r="N46" s="85"/>
      <c r="O46" s="191"/>
      <c r="P46" s="85"/>
      <c r="Q46" s="191"/>
      <c r="R46" s="85"/>
      <c r="S46" s="191"/>
      <c r="T46" s="192"/>
      <c r="U46" s="192"/>
      <c r="V46" s="85"/>
      <c r="W46" s="191"/>
      <c r="X46" s="85"/>
      <c r="Y46" s="195"/>
      <c r="AD46" s="190"/>
      <c r="AE46" s="85"/>
      <c r="AF46" s="191"/>
      <c r="AG46" s="85"/>
      <c r="AH46" s="191"/>
      <c r="AI46" s="85"/>
      <c r="AJ46" s="191"/>
      <c r="AK46" s="85"/>
      <c r="AL46" s="85"/>
      <c r="AM46" s="85"/>
      <c r="AN46" s="85"/>
      <c r="AO46" s="85"/>
      <c r="AP46" s="191"/>
      <c r="AQ46" s="85"/>
      <c r="AR46" s="191"/>
      <c r="AS46" s="85"/>
      <c r="AT46" s="191"/>
      <c r="AU46" s="192"/>
      <c r="AV46" s="192"/>
      <c r="AW46" s="85"/>
      <c r="AX46" s="191"/>
      <c r="AY46" s="85"/>
      <c r="AZ46" s="195"/>
      <c r="BE46" s="199" t="n">
        <f aca="false">RATE(I16,I17,-I15)</f>
        <v>0.1</v>
      </c>
      <c r="BF46" s="199"/>
      <c r="BG46" s="199"/>
      <c r="BH46" s="199"/>
      <c r="BI46" s="199"/>
      <c r="BJ46" s="199"/>
      <c r="BK46" s="199"/>
      <c r="BL46" s="199"/>
      <c r="BM46" s="199"/>
      <c r="BN46" s="199"/>
      <c r="BO46" s="199"/>
      <c r="BP46" s="199"/>
      <c r="BQ46" s="199"/>
      <c r="BR46" s="199"/>
      <c r="BS46" s="199"/>
      <c r="BT46" s="199"/>
      <c r="BU46" s="199"/>
      <c r="BV46" s="199"/>
      <c r="BW46" s="199"/>
      <c r="BX46" s="199"/>
      <c r="BY46" s="199"/>
      <c r="BZ46" s="199"/>
      <c r="CA46" s="199"/>
      <c r="CB46" s="199"/>
      <c r="CC46" s="85"/>
      <c r="CD46" s="85"/>
    </row>
    <row r="47" customFormat="false" ht="3" hidden="false" customHeight="true" outlineLevel="0" collapsed="false">
      <c r="B47" s="77"/>
      <c r="C47" s="190"/>
      <c r="D47" s="85"/>
      <c r="E47" s="191"/>
      <c r="F47" s="85"/>
      <c r="G47" s="191"/>
      <c r="H47" s="85"/>
      <c r="I47" s="191"/>
      <c r="J47" s="85"/>
      <c r="K47" s="85"/>
      <c r="L47" s="85"/>
      <c r="M47" s="85"/>
      <c r="N47" s="192"/>
      <c r="O47" s="191"/>
      <c r="P47" s="192"/>
      <c r="Q47" s="191"/>
      <c r="R47" s="192"/>
      <c r="S47" s="191"/>
      <c r="T47" s="192"/>
      <c r="U47" s="192"/>
      <c r="V47" s="85"/>
      <c r="W47" s="191"/>
      <c r="X47" s="85"/>
      <c r="Y47" s="195"/>
      <c r="AD47" s="190"/>
      <c r="AE47" s="85"/>
      <c r="AF47" s="191"/>
      <c r="AG47" s="85"/>
      <c r="AH47" s="191"/>
      <c r="AI47" s="85"/>
      <c r="AJ47" s="191"/>
      <c r="AK47" s="85"/>
      <c r="AL47" s="85"/>
      <c r="AM47" s="85"/>
      <c r="AN47" s="85"/>
      <c r="AO47" s="192"/>
      <c r="AP47" s="191"/>
      <c r="AQ47" s="192"/>
      <c r="AR47" s="191"/>
      <c r="AS47" s="192"/>
      <c r="AT47" s="191"/>
      <c r="AU47" s="192"/>
      <c r="AV47" s="192"/>
      <c r="AW47" s="85"/>
      <c r="AX47" s="191"/>
      <c r="AY47" s="85"/>
      <c r="AZ47" s="195"/>
      <c r="BE47" s="199"/>
      <c r="BF47" s="199"/>
      <c r="BG47" s="199"/>
      <c r="BH47" s="199"/>
      <c r="BI47" s="199"/>
      <c r="BJ47" s="199"/>
      <c r="BK47" s="199"/>
      <c r="BL47" s="199"/>
      <c r="BM47" s="199"/>
      <c r="BN47" s="199"/>
      <c r="BO47" s="199"/>
      <c r="BP47" s="199"/>
      <c r="BQ47" s="199"/>
      <c r="BR47" s="199"/>
      <c r="BS47" s="199"/>
      <c r="BT47" s="199"/>
      <c r="BU47" s="199"/>
      <c r="BV47" s="199"/>
      <c r="BW47" s="199"/>
      <c r="BX47" s="199"/>
      <c r="BY47" s="199"/>
      <c r="BZ47" s="199"/>
      <c r="CA47" s="199"/>
      <c r="CB47" s="199"/>
      <c r="CC47" s="85"/>
      <c r="CD47" s="85"/>
    </row>
    <row r="48" customFormat="false" ht="3" hidden="false" customHeight="true" outlineLevel="0" collapsed="false">
      <c r="C48" s="190"/>
      <c r="D48" s="85"/>
      <c r="E48" s="191"/>
      <c r="F48" s="85"/>
      <c r="G48" s="191"/>
      <c r="H48" s="85"/>
      <c r="I48" s="1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198"/>
      <c r="AD48" s="190"/>
      <c r="AE48" s="85"/>
      <c r="AF48" s="191"/>
      <c r="AG48" s="85"/>
      <c r="AH48" s="191"/>
      <c r="AI48" s="85"/>
      <c r="AJ48" s="191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198"/>
      <c r="BE48" s="199"/>
      <c r="BF48" s="199"/>
      <c r="BG48" s="199"/>
      <c r="BH48" s="199"/>
      <c r="BI48" s="199"/>
      <c r="BJ48" s="199"/>
      <c r="BK48" s="199"/>
      <c r="BL48" s="199"/>
      <c r="BM48" s="199"/>
      <c r="BN48" s="199"/>
      <c r="BO48" s="199"/>
      <c r="BP48" s="199"/>
      <c r="BQ48" s="199"/>
      <c r="BR48" s="199"/>
      <c r="BS48" s="199"/>
      <c r="BT48" s="199"/>
      <c r="BU48" s="199"/>
      <c r="BV48" s="199"/>
      <c r="BW48" s="199"/>
      <c r="BX48" s="199"/>
      <c r="BY48" s="199"/>
      <c r="BZ48" s="199"/>
      <c r="CA48" s="199"/>
      <c r="CB48" s="199"/>
      <c r="CC48" s="85"/>
      <c r="CD48" s="85"/>
    </row>
    <row r="49" customFormat="false" ht="9" hidden="false" customHeight="true" outlineLevel="0" collapsed="false">
      <c r="C49" s="172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198"/>
      <c r="AD49" s="172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198"/>
      <c r="BE49" s="199"/>
      <c r="BF49" s="199"/>
      <c r="BG49" s="199"/>
      <c r="BH49" s="199"/>
      <c r="BI49" s="199"/>
      <c r="BJ49" s="199"/>
      <c r="BK49" s="199"/>
      <c r="BL49" s="199"/>
      <c r="BM49" s="199"/>
      <c r="BN49" s="199"/>
      <c r="BO49" s="199"/>
      <c r="BP49" s="199"/>
      <c r="BQ49" s="199"/>
      <c r="BR49" s="199"/>
      <c r="BS49" s="199"/>
      <c r="BT49" s="199"/>
      <c r="BU49" s="199"/>
      <c r="BV49" s="199"/>
      <c r="BW49" s="199"/>
      <c r="BX49" s="199"/>
      <c r="BY49" s="199"/>
      <c r="BZ49" s="199"/>
      <c r="CA49" s="199"/>
      <c r="CB49" s="199"/>
      <c r="CC49" s="85"/>
      <c r="CD49" s="85"/>
    </row>
    <row r="50" customFormat="false" ht="3" hidden="false" customHeight="true" outlineLevel="0" collapsed="false">
      <c r="B50" s="77"/>
      <c r="C50" s="190" t="s">
        <v>46</v>
      </c>
      <c r="D50" s="85"/>
      <c r="E50" s="191" t="s">
        <v>47</v>
      </c>
      <c r="F50" s="85"/>
      <c r="G50" s="200" t="n">
        <f aca="false">H30</f>
        <v>0</v>
      </c>
      <c r="H50" s="85"/>
      <c r="I50" s="191" t="s">
        <v>49</v>
      </c>
      <c r="J50" s="85"/>
      <c r="K50" s="85"/>
      <c r="L50" s="85"/>
      <c r="M50" s="85"/>
      <c r="N50" s="192"/>
      <c r="O50" s="191" t="n">
        <v>1</v>
      </c>
      <c r="P50" s="192"/>
      <c r="Q50" s="191" t="s">
        <v>50</v>
      </c>
      <c r="R50" s="192"/>
      <c r="S50" s="201" t="n">
        <f aca="false">H31</f>
        <v>0</v>
      </c>
      <c r="T50" s="192"/>
      <c r="U50" s="202" t="n">
        <f aca="false">I32</f>
        <v>36</v>
      </c>
      <c r="V50" s="85"/>
      <c r="W50" s="191" t="s">
        <v>49</v>
      </c>
      <c r="X50" s="194"/>
      <c r="Y50" s="203" t="n">
        <f aca="false">S50</f>
        <v>0</v>
      </c>
      <c r="AD50" s="190" t="s">
        <v>46</v>
      </c>
      <c r="AE50" s="85"/>
      <c r="AF50" s="191" t="s">
        <v>47</v>
      </c>
      <c r="AG50" s="85"/>
      <c r="AH50" s="200" t="n">
        <f aca="false">AI30</f>
        <v>0</v>
      </c>
      <c r="AI50" s="85"/>
      <c r="AJ50" s="191" t="s">
        <v>49</v>
      </c>
      <c r="AK50" s="85"/>
      <c r="AL50" s="85"/>
      <c r="AM50" s="85"/>
      <c r="AN50" s="85"/>
      <c r="AO50" s="192"/>
      <c r="AP50" s="191" t="n">
        <v>1</v>
      </c>
      <c r="AQ50" s="192"/>
      <c r="AR50" s="191" t="s">
        <v>50</v>
      </c>
      <c r="AS50" s="192"/>
      <c r="AT50" s="201" t="n">
        <f aca="false">AI31</f>
        <v>0</v>
      </c>
      <c r="AU50" s="192"/>
      <c r="AV50" s="202" t="n">
        <f aca="false">AJ32</f>
        <v>36</v>
      </c>
      <c r="AW50" s="85"/>
      <c r="AX50" s="191" t="s">
        <v>49</v>
      </c>
      <c r="AY50" s="194"/>
      <c r="AZ50" s="203" t="n">
        <f aca="false">AT50</f>
        <v>0</v>
      </c>
      <c r="BE50" s="196"/>
      <c r="BF50" s="85"/>
      <c r="BG50" s="85"/>
      <c r="BH50" s="85"/>
      <c r="BI50" s="85"/>
      <c r="BJ50" s="85"/>
      <c r="BK50" s="85"/>
      <c r="BL50" s="204"/>
      <c r="BM50" s="85"/>
      <c r="BN50" s="85"/>
      <c r="BO50" s="85"/>
      <c r="BP50" s="85"/>
      <c r="BQ50" s="85"/>
      <c r="BR50" s="85"/>
      <c r="BS50" s="192"/>
      <c r="BT50" s="85"/>
      <c r="BU50" s="192"/>
      <c r="BV50" s="85"/>
      <c r="BW50" s="192"/>
      <c r="BX50" s="96"/>
      <c r="BY50" s="192"/>
      <c r="BZ50" s="205"/>
      <c r="CA50" s="85"/>
      <c r="CB50" s="85"/>
      <c r="CC50" s="194"/>
      <c r="CD50" s="96"/>
    </row>
    <row r="51" customFormat="false" ht="3" hidden="false" customHeight="true" outlineLevel="0" collapsed="false">
      <c r="B51" s="77"/>
      <c r="C51" s="190"/>
      <c r="D51" s="85"/>
      <c r="E51" s="191"/>
      <c r="F51" s="85"/>
      <c r="G51" s="200"/>
      <c r="H51" s="85"/>
      <c r="I51" s="191"/>
      <c r="J51" s="85"/>
      <c r="K51" s="85"/>
      <c r="L51" s="85"/>
      <c r="M51" s="85"/>
      <c r="N51" s="192"/>
      <c r="O51" s="191"/>
      <c r="P51" s="192"/>
      <c r="Q51" s="191"/>
      <c r="R51" s="192"/>
      <c r="S51" s="201"/>
      <c r="T51" s="192"/>
      <c r="U51" s="202"/>
      <c r="V51" s="85"/>
      <c r="W51" s="191"/>
      <c r="X51" s="194"/>
      <c r="Y51" s="203"/>
      <c r="AD51" s="190"/>
      <c r="AE51" s="85"/>
      <c r="AF51" s="191"/>
      <c r="AG51" s="85"/>
      <c r="AH51" s="200"/>
      <c r="AI51" s="85"/>
      <c r="AJ51" s="191"/>
      <c r="AK51" s="85"/>
      <c r="AL51" s="85"/>
      <c r="AM51" s="85"/>
      <c r="AN51" s="85"/>
      <c r="AO51" s="192"/>
      <c r="AP51" s="191"/>
      <c r="AQ51" s="192"/>
      <c r="AR51" s="191"/>
      <c r="AS51" s="192"/>
      <c r="AT51" s="201"/>
      <c r="AU51" s="192"/>
      <c r="AV51" s="202"/>
      <c r="AW51" s="85"/>
      <c r="AX51" s="191"/>
      <c r="AY51" s="194"/>
      <c r="AZ51" s="203"/>
      <c r="BE51" s="196"/>
      <c r="BF51" s="85"/>
      <c r="BG51" s="85"/>
      <c r="BH51" s="85"/>
      <c r="BI51" s="85"/>
      <c r="BJ51" s="85"/>
      <c r="BK51" s="85"/>
      <c r="BL51" s="204"/>
      <c r="BM51" s="85"/>
      <c r="BN51" s="85"/>
      <c r="BO51" s="85"/>
      <c r="BP51" s="85"/>
      <c r="BQ51" s="85"/>
      <c r="BR51" s="85"/>
      <c r="BS51" s="192"/>
      <c r="BT51" s="85"/>
      <c r="BU51" s="192"/>
      <c r="BV51" s="85"/>
      <c r="BW51" s="192"/>
      <c r="BX51" s="96"/>
      <c r="BY51" s="192"/>
      <c r="BZ51" s="205"/>
      <c r="CA51" s="85"/>
      <c r="CB51" s="85"/>
      <c r="CC51" s="194"/>
      <c r="CD51" s="96"/>
    </row>
    <row r="52" customFormat="false" ht="3" hidden="false" customHeight="true" outlineLevel="0" collapsed="false">
      <c r="B52" s="77"/>
      <c r="C52" s="190"/>
      <c r="D52" s="85"/>
      <c r="E52" s="191"/>
      <c r="F52" s="85"/>
      <c r="G52" s="200"/>
      <c r="H52" s="85"/>
      <c r="I52" s="191"/>
      <c r="J52" s="85"/>
      <c r="K52" s="85"/>
      <c r="L52" s="85"/>
      <c r="M52" s="85"/>
      <c r="N52" s="192"/>
      <c r="O52" s="191"/>
      <c r="P52" s="192"/>
      <c r="Q52" s="191"/>
      <c r="R52" s="192"/>
      <c r="S52" s="201"/>
      <c r="T52" s="192"/>
      <c r="U52" s="202"/>
      <c r="V52" s="85"/>
      <c r="W52" s="191"/>
      <c r="X52" s="194"/>
      <c r="Y52" s="203"/>
      <c r="AD52" s="190"/>
      <c r="AE52" s="85"/>
      <c r="AF52" s="191"/>
      <c r="AG52" s="85"/>
      <c r="AH52" s="200"/>
      <c r="AI52" s="85"/>
      <c r="AJ52" s="191"/>
      <c r="AK52" s="85"/>
      <c r="AL52" s="85"/>
      <c r="AM52" s="85"/>
      <c r="AN52" s="85"/>
      <c r="AO52" s="192"/>
      <c r="AP52" s="191"/>
      <c r="AQ52" s="192"/>
      <c r="AR52" s="191"/>
      <c r="AS52" s="192"/>
      <c r="AT52" s="201"/>
      <c r="AU52" s="192"/>
      <c r="AV52" s="202"/>
      <c r="AW52" s="85"/>
      <c r="AX52" s="191"/>
      <c r="AY52" s="194"/>
      <c r="AZ52" s="203"/>
      <c r="BE52" s="196"/>
      <c r="BF52" s="85"/>
      <c r="BG52" s="85"/>
      <c r="BH52" s="85"/>
      <c r="BI52" s="85"/>
      <c r="BJ52" s="85"/>
      <c r="BK52" s="85"/>
      <c r="BL52" s="204"/>
      <c r="BM52" s="85"/>
      <c r="BN52" s="85"/>
      <c r="BO52" s="85"/>
      <c r="BP52" s="85"/>
      <c r="BQ52" s="85"/>
      <c r="BR52" s="85"/>
      <c r="BS52" s="192"/>
      <c r="BT52" s="85"/>
      <c r="BU52" s="192"/>
      <c r="BV52" s="85"/>
      <c r="BW52" s="192"/>
      <c r="BX52" s="96"/>
      <c r="BY52" s="192"/>
      <c r="BZ52" s="205"/>
      <c r="CA52" s="85"/>
      <c r="CB52" s="85"/>
      <c r="CC52" s="194"/>
      <c r="CD52" s="96"/>
    </row>
    <row r="53" customFormat="false" ht="3" hidden="false" customHeight="true" outlineLevel="0" collapsed="false">
      <c r="B53" s="77"/>
      <c r="C53" s="190"/>
      <c r="D53" s="85"/>
      <c r="E53" s="191"/>
      <c r="F53" s="85"/>
      <c r="G53" s="200"/>
      <c r="H53" s="85"/>
      <c r="I53" s="191"/>
      <c r="J53" s="85"/>
      <c r="K53" s="85"/>
      <c r="L53" s="85"/>
      <c r="M53" s="85"/>
      <c r="N53" s="85"/>
      <c r="O53" s="191"/>
      <c r="P53" s="85"/>
      <c r="Q53" s="191"/>
      <c r="R53" s="85"/>
      <c r="S53" s="201"/>
      <c r="T53" s="192"/>
      <c r="U53" s="192"/>
      <c r="V53" s="85"/>
      <c r="W53" s="191"/>
      <c r="X53" s="85"/>
      <c r="Y53" s="203"/>
      <c r="AD53" s="190"/>
      <c r="AE53" s="85"/>
      <c r="AF53" s="191"/>
      <c r="AG53" s="85"/>
      <c r="AH53" s="200"/>
      <c r="AI53" s="85"/>
      <c r="AJ53" s="191"/>
      <c r="AK53" s="85"/>
      <c r="AL53" s="85"/>
      <c r="AM53" s="85"/>
      <c r="AN53" s="85"/>
      <c r="AO53" s="85"/>
      <c r="AP53" s="191"/>
      <c r="AQ53" s="85"/>
      <c r="AR53" s="191"/>
      <c r="AS53" s="85"/>
      <c r="AT53" s="201"/>
      <c r="AU53" s="192"/>
      <c r="AV53" s="192"/>
      <c r="AW53" s="85"/>
      <c r="AX53" s="191"/>
      <c r="AY53" s="85"/>
      <c r="AZ53" s="203"/>
      <c r="BE53" s="196"/>
      <c r="BF53" s="85"/>
      <c r="BG53" s="85"/>
      <c r="BH53" s="85"/>
      <c r="BI53" s="85"/>
      <c r="BJ53" s="85"/>
      <c r="BK53" s="85"/>
      <c r="BL53" s="204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96"/>
      <c r="BY53" s="192"/>
      <c r="BZ53" s="192"/>
      <c r="CA53" s="85"/>
      <c r="CB53" s="85"/>
      <c r="CC53" s="85"/>
      <c r="CD53" s="96"/>
    </row>
    <row r="54" customFormat="false" ht="3" hidden="false" customHeight="true" outlineLevel="0" collapsed="false">
      <c r="B54" s="77"/>
      <c r="C54" s="190"/>
      <c r="D54" s="85"/>
      <c r="E54" s="191"/>
      <c r="F54" s="85"/>
      <c r="G54" s="200"/>
      <c r="H54" s="85"/>
      <c r="I54" s="191"/>
      <c r="J54" s="85"/>
      <c r="K54" s="85"/>
      <c r="L54" s="85"/>
      <c r="M54" s="85"/>
      <c r="N54" s="85"/>
      <c r="O54" s="191"/>
      <c r="P54" s="85"/>
      <c r="Q54" s="191"/>
      <c r="R54" s="85"/>
      <c r="S54" s="201"/>
      <c r="T54" s="192"/>
      <c r="U54" s="192"/>
      <c r="V54" s="85"/>
      <c r="W54" s="191"/>
      <c r="X54" s="85"/>
      <c r="Y54" s="203"/>
      <c r="AD54" s="190"/>
      <c r="AE54" s="85"/>
      <c r="AF54" s="191"/>
      <c r="AG54" s="85"/>
      <c r="AH54" s="200"/>
      <c r="AI54" s="85"/>
      <c r="AJ54" s="191"/>
      <c r="AK54" s="85"/>
      <c r="AL54" s="85"/>
      <c r="AM54" s="85"/>
      <c r="AN54" s="85"/>
      <c r="AO54" s="85"/>
      <c r="AP54" s="191"/>
      <c r="AQ54" s="85"/>
      <c r="AR54" s="191"/>
      <c r="AS54" s="85"/>
      <c r="AT54" s="201"/>
      <c r="AU54" s="192"/>
      <c r="AV54" s="192"/>
      <c r="AW54" s="85"/>
      <c r="AX54" s="191"/>
      <c r="AY54" s="85"/>
      <c r="AZ54" s="203"/>
      <c r="BE54" s="196"/>
      <c r="BF54" s="85"/>
      <c r="BG54" s="85"/>
      <c r="BH54" s="85"/>
      <c r="BI54" s="85"/>
      <c r="BJ54" s="85"/>
      <c r="BK54" s="85"/>
      <c r="BL54" s="204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96"/>
      <c r="BY54" s="192"/>
      <c r="BZ54" s="192"/>
      <c r="CA54" s="85"/>
      <c r="CB54" s="85"/>
      <c r="CC54" s="85"/>
      <c r="CD54" s="96"/>
    </row>
    <row r="55" customFormat="false" ht="3" hidden="false" customHeight="true" outlineLevel="0" collapsed="false">
      <c r="B55" s="77"/>
      <c r="C55" s="190"/>
      <c r="D55" s="85"/>
      <c r="E55" s="191"/>
      <c r="F55" s="85"/>
      <c r="G55" s="200"/>
      <c r="H55" s="85"/>
      <c r="I55" s="191"/>
      <c r="J55" s="85"/>
      <c r="K55" s="85"/>
      <c r="L55" s="85"/>
      <c r="M55" s="85"/>
      <c r="N55" s="192"/>
      <c r="O55" s="191"/>
      <c r="P55" s="192"/>
      <c r="Q55" s="191"/>
      <c r="R55" s="192"/>
      <c r="S55" s="201"/>
      <c r="T55" s="192"/>
      <c r="U55" s="192"/>
      <c r="V55" s="85"/>
      <c r="W55" s="191"/>
      <c r="X55" s="85"/>
      <c r="Y55" s="203"/>
      <c r="AD55" s="190"/>
      <c r="AE55" s="85"/>
      <c r="AF55" s="191"/>
      <c r="AG55" s="85"/>
      <c r="AH55" s="200"/>
      <c r="AI55" s="85"/>
      <c r="AJ55" s="191"/>
      <c r="AK55" s="85"/>
      <c r="AL55" s="85"/>
      <c r="AM55" s="85"/>
      <c r="AN55" s="85"/>
      <c r="AO55" s="192"/>
      <c r="AP55" s="191"/>
      <c r="AQ55" s="192"/>
      <c r="AR55" s="191"/>
      <c r="AS55" s="192"/>
      <c r="AT55" s="201"/>
      <c r="AU55" s="192"/>
      <c r="AV55" s="192"/>
      <c r="AW55" s="85"/>
      <c r="AX55" s="191"/>
      <c r="AY55" s="85"/>
      <c r="AZ55" s="203"/>
      <c r="BE55" s="196"/>
      <c r="BF55" s="85"/>
      <c r="BG55" s="85"/>
      <c r="BH55" s="85"/>
      <c r="BI55" s="85"/>
      <c r="BJ55" s="85"/>
      <c r="BK55" s="85"/>
      <c r="BL55" s="204"/>
      <c r="BM55" s="85"/>
      <c r="BN55" s="85"/>
      <c r="BO55" s="85"/>
      <c r="BP55" s="85"/>
      <c r="BQ55" s="85"/>
      <c r="BR55" s="85"/>
      <c r="BS55" s="192"/>
      <c r="BT55" s="85"/>
      <c r="BU55" s="192"/>
      <c r="BV55" s="85"/>
      <c r="BW55" s="192"/>
      <c r="BX55" s="96"/>
      <c r="BY55" s="192"/>
      <c r="BZ55" s="192"/>
      <c r="CA55" s="85"/>
      <c r="CB55" s="85"/>
      <c r="CC55" s="85"/>
      <c r="CD55" s="96"/>
    </row>
    <row r="56" customFormat="false" ht="0.75" hidden="false" customHeight="true" outlineLevel="0" collapsed="false">
      <c r="B56" s="77"/>
      <c r="C56" s="190"/>
      <c r="D56" s="192"/>
      <c r="E56" s="191"/>
      <c r="F56" s="85"/>
      <c r="G56" s="200"/>
      <c r="H56" s="85"/>
      <c r="I56" s="1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198"/>
      <c r="AD56" s="190"/>
      <c r="AE56" s="192"/>
      <c r="AF56" s="191"/>
      <c r="AG56" s="85"/>
      <c r="AH56" s="200"/>
      <c r="AI56" s="85"/>
      <c r="AJ56" s="191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198"/>
      <c r="BE56" s="196"/>
      <c r="BF56" s="192"/>
      <c r="BG56" s="85"/>
      <c r="BH56" s="85"/>
      <c r="BI56" s="85"/>
      <c r="BJ56" s="85"/>
      <c r="BK56" s="85"/>
      <c r="BL56" s="204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</row>
    <row r="57" customFormat="false" ht="3" hidden="true" customHeight="true" outlineLevel="0" collapsed="false">
      <c r="B57" s="77"/>
      <c r="C57" s="190"/>
      <c r="D57" s="192"/>
      <c r="E57" s="191"/>
      <c r="F57" s="85"/>
      <c r="G57" s="200"/>
      <c r="H57" s="85"/>
      <c r="I57" s="1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198"/>
      <c r="AD57" s="190"/>
      <c r="AE57" s="192"/>
      <c r="AF57" s="191"/>
      <c r="AG57" s="85"/>
      <c r="AH57" s="200"/>
      <c r="AI57" s="85"/>
      <c r="AJ57" s="191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198"/>
      <c r="BE57" s="196"/>
      <c r="BF57" s="192"/>
      <c r="BG57" s="85"/>
      <c r="BH57" s="85"/>
      <c r="BI57" s="85"/>
      <c r="BJ57" s="85"/>
      <c r="BK57" s="85"/>
      <c r="BL57" s="204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</row>
    <row r="58" customFormat="false" ht="3" hidden="false" customHeight="true" outlineLevel="0" collapsed="false">
      <c r="B58" s="77"/>
      <c r="C58" s="190"/>
      <c r="D58" s="85"/>
      <c r="E58" s="191"/>
      <c r="F58" s="85"/>
      <c r="G58" s="200"/>
      <c r="H58" s="85"/>
      <c r="I58" s="191"/>
      <c r="J58" s="85"/>
      <c r="K58" s="85"/>
      <c r="L58" s="85"/>
      <c r="M58" s="85"/>
      <c r="N58" s="192"/>
      <c r="O58" s="191" t="n">
        <v>1</v>
      </c>
      <c r="P58" s="192"/>
      <c r="Q58" s="191" t="s">
        <v>50</v>
      </c>
      <c r="R58" s="192"/>
      <c r="S58" s="201" t="n">
        <f aca="false">S50</f>
        <v>0</v>
      </c>
      <c r="T58" s="192"/>
      <c r="U58" s="202" t="n">
        <f aca="false">U50</f>
        <v>36</v>
      </c>
      <c r="V58" s="85"/>
      <c r="W58" s="191" t="s">
        <v>54</v>
      </c>
      <c r="X58" s="194"/>
      <c r="Y58" s="195" t="n">
        <v>1</v>
      </c>
      <c r="AD58" s="190"/>
      <c r="AE58" s="85"/>
      <c r="AF58" s="191"/>
      <c r="AG58" s="85"/>
      <c r="AH58" s="200"/>
      <c r="AI58" s="85"/>
      <c r="AJ58" s="191"/>
      <c r="AK58" s="85"/>
      <c r="AL58" s="85"/>
      <c r="AM58" s="85"/>
      <c r="AN58" s="85"/>
      <c r="AO58" s="192"/>
      <c r="AP58" s="191" t="n">
        <v>1</v>
      </c>
      <c r="AQ58" s="192"/>
      <c r="AR58" s="191" t="s">
        <v>50</v>
      </c>
      <c r="AS58" s="192"/>
      <c r="AT58" s="201" t="n">
        <f aca="false">AT50</f>
        <v>0</v>
      </c>
      <c r="AU58" s="192"/>
      <c r="AV58" s="202" t="n">
        <f aca="false">AV50</f>
        <v>36</v>
      </c>
      <c r="AW58" s="85"/>
      <c r="AX58" s="191" t="s">
        <v>54</v>
      </c>
      <c r="AY58" s="194"/>
      <c r="AZ58" s="195" t="n">
        <v>1</v>
      </c>
      <c r="BE58" s="196"/>
      <c r="BF58" s="85"/>
      <c r="BG58" s="85"/>
      <c r="BH58" s="85"/>
      <c r="BI58" s="85"/>
      <c r="BJ58" s="85"/>
      <c r="BK58" s="85"/>
      <c r="BL58" s="204"/>
      <c r="BM58" s="85"/>
      <c r="BN58" s="85"/>
      <c r="BO58" s="85"/>
      <c r="BP58" s="85"/>
      <c r="BQ58" s="85"/>
      <c r="BR58" s="85"/>
      <c r="BS58" s="192"/>
      <c r="BT58" s="85"/>
      <c r="BU58" s="192"/>
      <c r="BV58" s="85"/>
      <c r="BW58" s="192"/>
      <c r="BX58" s="96"/>
      <c r="BY58" s="192"/>
      <c r="BZ58" s="205"/>
      <c r="CA58" s="85"/>
      <c r="CB58" s="85"/>
      <c r="CC58" s="194"/>
      <c r="CD58" s="85"/>
    </row>
    <row r="59" customFormat="false" ht="3" hidden="false" customHeight="true" outlineLevel="0" collapsed="false">
      <c r="B59" s="77"/>
      <c r="C59" s="190"/>
      <c r="D59" s="85"/>
      <c r="E59" s="191"/>
      <c r="F59" s="85"/>
      <c r="G59" s="200"/>
      <c r="H59" s="85"/>
      <c r="I59" s="191"/>
      <c r="J59" s="85"/>
      <c r="K59" s="85"/>
      <c r="L59" s="85"/>
      <c r="M59" s="85"/>
      <c r="N59" s="192"/>
      <c r="O59" s="191"/>
      <c r="P59" s="192"/>
      <c r="Q59" s="191"/>
      <c r="R59" s="192"/>
      <c r="S59" s="201"/>
      <c r="T59" s="192"/>
      <c r="U59" s="202"/>
      <c r="V59" s="85"/>
      <c r="W59" s="191"/>
      <c r="X59" s="194"/>
      <c r="Y59" s="195"/>
      <c r="AD59" s="190"/>
      <c r="AE59" s="85"/>
      <c r="AF59" s="191"/>
      <c r="AG59" s="85"/>
      <c r="AH59" s="200"/>
      <c r="AI59" s="85"/>
      <c r="AJ59" s="191"/>
      <c r="AK59" s="85"/>
      <c r="AL59" s="85"/>
      <c r="AM59" s="85"/>
      <c r="AN59" s="85"/>
      <c r="AO59" s="192"/>
      <c r="AP59" s="191"/>
      <c r="AQ59" s="192"/>
      <c r="AR59" s="191"/>
      <c r="AS59" s="192"/>
      <c r="AT59" s="201"/>
      <c r="AU59" s="192"/>
      <c r="AV59" s="202"/>
      <c r="AW59" s="85"/>
      <c r="AX59" s="191"/>
      <c r="AY59" s="194"/>
      <c r="AZ59" s="195"/>
      <c r="BE59" s="196"/>
      <c r="BF59" s="85"/>
      <c r="BG59" s="85"/>
      <c r="BH59" s="85"/>
      <c r="BI59" s="85"/>
      <c r="BJ59" s="85"/>
      <c r="BK59" s="85"/>
      <c r="BL59" s="204"/>
      <c r="BM59" s="85"/>
      <c r="BN59" s="85"/>
      <c r="BO59" s="85"/>
      <c r="BP59" s="85"/>
      <c r="BQ59" s="85"/>
      <c r="BR59" s="85"/>
      <c r="BS59" s="192"/>
      <c r="BT59" s="85"/>
      <c r="BU59" s="192"/>
      <c r="BV59" s="85"/>
      <c r="BW59" s="192"/>
      <c r="BX59" s="96"/>
      <c r="BY59" s="192"/>
      <c r="BZ59" s="205"/>
      <c r="CA59" s="85"/>
      <c r="CB59" s="85"/>
      <c r="CC59" s="194"/>
      <c r="CD59" s="85"/>
    </row>
    <row r="60" customFormat="false" ht="3" hidden="false" customHeight="true" outlineLevel="0" collapsed="false">
      <c r="B60" s="77"/>
      <c r="C60" s="190"/>
      <c r="D60" s="85"/>
      <c r="E60" s="191"/>
      <c r="F60" s="85"/>
      <c r="G60" s="200"/>
      <c r="H60" s="85"/>
      <c r="I60" s="191"/>
      <c r="J60" s="85"/>
      <c r="K60" s="85"/>
      <c r="L60" s="85"/>
      <c r="M60" s="85"/>
      <c r="N60" s="192"/>
      <c r="O60" s="191"/>
      <c r="P60" s="192"/>
      <c r="Q60" s="191"/>
      <c r="R60" s="192"/>
      <c r="S60" s="201"/>
      <c r="T60" s="192"/>
      <c r="U60" s="202"/>
      <c r="V60" s="85"/>
      <c r="W60" s="191"/>
      <c r="X60" s="194"/>
      <c r="Y60" s="195"/>
      <c r="AD60" s="190"/>
      <c r="AE60" s="85"/>
      <c r="AF60" s="191"/>
      <c r="AG60" s="85"/>
      <c r="AH60" s="200"/>
      <c r="AI60" s="85"/>
      <c r="AJ60" s="191"/>
      <c r="AK60" s="85"/>
      <c r="AL60" s="85"/>
      <c r="AM60" s="85"/>
      <c r="AN60" s="85"/>
      <c r="AO60" s="192"/>
      <c r="AP60" s="191"/>
      <c r="AQ60" s="192"/>
      <c r="AR60" s="191"/>
      <c r="AS60" s="192"/>
      <c r="AT60" s="201"/>
      <c r="AU60" s="192"/>
      <c r="AV60" s="202"/>
      <c r="AW60" s="85"/>
      <c r="AX60" s="191"/>
      <c r="AY60" s="194"/>
      <c r="AZ60" s="195"/>
      <c r="BE60" s="196"/>
      <c r="BF60" s="85"/>
      <c r="BG60" s="85"/>
      <c r="BH60" s="85"/>
      <c r="BI60" s="85"/>
      <c r="BJ60" s="85"/>
      <c r="BK60" s="85"/>
      <c r="BL60" s="204"/>
      <c r="BM60" s="85"/>
      <c r="BN60" s="85"/>
      <c r="BO60" s="85"/>
      <c r="BP60" s="85"/>
      <c r="BQ60" s="85"/>
      <c r="BR60" s="85"/>
      <c r="BS60" s="192"/>
      <c r="BT60" s="85"/>
      <c r="BU60" s="192"/>
      <c r="BV60" s="85"/>
      <c r="BW60" s="192"/>
      <c r="BX60" s="96"/>
      <c r="BY60" s="192"/>
      <c r="BZ60" s="205"/>
      <c r="CA60" s="85"/>
      <c r="CB60" s="85"/>
      <c r="CC60" s="194"/>
      <c r="CD60" s="85"/>
    </row>
    <row r="61" customFormat="false" ht="3" hidden="false" customHeight="true" outlineLevel="0" collapsed="false">
      <c r="B61" s="77"/>
      <c r="C61" s="190"/>
      <c r="D61" s="85"/>
      <c r="E61" s="191"/>
      <c r="F61" s="85"/>
      <c r="G61" s="200"/>
      <c r="H61" s="85"/>
      <c r="I61" s="191"/>
      <c r="J61" s="85"/>
      <c r="K61" s="85"/>
      <c r="L61" s="85"/>
      <c r="M61" s="85"/>
      <c r="N61" s="85"/>
      <c r="O61" s="191"/>
      <c r="P61" s="85"/>
      <c r="Q61" s="191"/>
      <c r="R61" s="85"/>
      <c r="S61" s="201"/>
      <c r="T61" s="192"/>
      <c r="U61" s="192"/>
      <c r="V61" s="85"/>
      <c r="W61" s="191"/>
      <c r="X61" s="85"/>
      <c r="Y61" s="195"/>
      <c r="AD61" s="190"/>
      <c r="AE61" s="85"/>
      <c r="AF61" s="191"/>
      <c r="AG61" s="85"/>
      <c r="AH61" s="200"/>
      <c r="AI61" s="85"/>
      <c r="AJ61" s="191"/>
      <c r="AK61" s="85"/>
      <c r="AL61" s="85"/>
      <c r="AM61" s="85"/>
      <c r="AN61" s="85"/>
      <c r="AO61" s="85"/>
      <c r="AP61" s="191"/>
      <c r="AQ61" s="85"/>
      <c r="AR61" s="191"/>
      <c r="AS61" s="85"/>
      <c r="AT61" s="201"/>
      <c r="AU61" s="192"/>
      <c r="AV61" s="192"/>
      <c r="AW61" s="85"/>
      <c r="AX61" s="191"/>
      <c r="AY61" s="85"/>
      <c r="AZ61" s="195"/>
      <c r="BE61" s="196"/>
      <c r="BF61" s="85"/>
      <c r="BG61" s="85"/>
      <c r="BH61" s="85"/>
      <c r="BI61" s="85"/>
      <c r="BJ61" s="85"/>
      <c r="BK61" s="85"/>
      <c r="BL61" s="204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96"/>
      <c r="BY61" s="192"/>
      <c r="BZ61" s="192"/>
      <c r="CA61" s="85"/>
      <c r="CB61" s="85"/>
      <c r="CC61" s="85"/>
      <c r="CD61" s="85"/>
    </row>
    <row r="62" customFormat="false" ht="3" hidden="false" customHeight="true" outlineLevel="0" collapsed="false">
      <c r="B62" s="77"/>
      <c r="C62" s="190"/>
      <c r="D62" s="85"/>
      <c r="E62" s="191"/>
      <c r="F62" s="85"/>
      <c r="G62" s="200"/>
      <c r="H62" s="85"/>
      <c r="I62" s="191"/>
      <c r="J62" s="85"/>
      <c r="K62" s="85"/>
      <c r="L62" s="85"/>
      <c r="M62" s="85"/>
      <c r="N62" s="85"/>
      <c r="O62" s="191"/>
      <c r="P62" s="85"/>
      <c r="Q62" s="191"/>
      <c r="R62" s="85"/>
      <c r="S62" s="201"/>
      <c r="T62" s="192"/>
      <c r="U62" s="192"/>
      <c r="V62" s="85"/>
      <c r="W62" s="191"/>
      <c r="X62" s="85"/>
      <c r="Y62" s="195"/>
      <c r="AD62" s="190"/>
      <c r="AE62" s="85"/>
      <c r="AF62" s="191"/>
      <c r="AG62" s="85"/>
      <c r="AH62" s="200"/>
      <c r="AI62" s="85"/>
      <c r="AJ62" s="191"/>
      <c r="AK62" s="85"/>
      <c r="AL62" s="85"/>
      <c r="AM62" s="85"/>
      <c r="AN62" s="85"/>
      <c r="AO62" s="85"/>
      <c r="AP62" s="191"/>
      <c r="AQ62" s="85"/>
      <c r="AR62" s="191"/>
      <c r="AS62" s="85"/>
      <c r="AT62" s="201"/>
      <c r="AU62" s="192"/>
      <c r="AV62" s="192"/>
      <c r="AW62" s="85"/>
      <c r="AX62" s="191"/>
      <c r="AY62" s="85"/>
      <c r="AZ62" s="195"/>
      <c r="BE62" s="196"/>
      <c r="BF62" s="85"/>
      <c r="BG62" s="85"/>
      <c r="BH62" s="85"/>
      <c r="BI62" s="85"/>
      <c r="BJ62" s="85"/>
      <c r="BK62" s="85"/>
      <c r="BL62" s="204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96"/>
      <c r="BY62" s="192"/>
      <c r="BZ62" s="192"/>
      <c r="CA62" s="85"/>
      <c r="CB62" s="85"/>
      <c r="CC62" s="85"/>
      <c r="CD62" s="85"/>
    </row>
    <row r="63" customFormat="false" ht="3" hidden="false" customHeight="true" outlineLevel="0" collapsed="false">
      <c r="B63" s="77"/>
      <c r="C63" s="190"/>
      <c r="D63" s="85"/>
      <c r="E63" s="191"/>
      <c r="F63" s="85"/>
      <c r="G63" s="200"/>
      <c r="H63" s="85"/>
      <c r="I63" s="191"/>
      <c r="J63" s="85"/>
      <c r="K63" s="85"/>
      <c r="L63" s="85"/>
      <c r="M63" s="85"/>
      <c r="N63" s="192"/>
      <c r="O63" s="191"/>
      <c r="P63" s="192"/>
      <c r="Q63" s="191"/>
      <c r="R63" s="192"/>
      <c r="S63" s="201"/>
      <c r="T63" s="192"/>
      <c r="U63" s="192"/>
      <c r="V63" s="85"/>
      <c r="W63" s="191"/>
      <c r="X63" s="85"/>
      <c r="Y63" s="195"/>
      <c r="AD63" s="190"/>
      <c r="AE63" s="85"/>
      <c r="AF63" s="191"/>
      <c r="AG63" s="85"/>
      <c r="AH63" s="200"/>
      <c r="AI63" s="85"/>
      <c r="AJ63" s="191"/>
      <c r="AK63" s="85"/>
      <c r="AL63" s="85"/>
      <c r="AM63" s="85"/>
      <c r="AN63" s="85"/>
      <c r="AO63" s="192"/>
      <c r="AP63" s="191"/>
      <c r="AQ63" s="192"/>
      <c r="AR63" s="191"/>
      <c r="AS63" s="192"/>
      <c r="AT63" s="201"/>
      <c r="AU63" s="192"/>
      <c r="AV63" s="192"/>
      <c r="AW63" s="85"/>
      <c r="AX63" s="191"/>
      <c r="AY63" s="85"/>
      <c r="AZ63" s="195"/>
      <c r="BE63" s="196"/>
      <c r="BF63" s="85"/>
      <c r="BG63" s="85"/>
      <c r="BH63" s="85"/>
      <c r="BI63" s="85"/>
      <c r="BJ63" s="85"/>
      <c r="BK63" s="85"/>
      <c r="BL63" s="204"/>
      <c r="BM63" s="85"/>
      <c r="BN63" s="85"/>
      <c r="BO63" s="85"/>
      <c r="BP63" s="85"/>
      <c r="BQ63" s="85"/>
      <c r="BR63" s="85"/>
      <c r="BS63" s="192"/>
      <c r="BT63" s="85"/>
      <c r="BU63" s="192"/>
      <c r="BV63" s="85"/>
      <c r="BW63" s="192"/>
      <c r="BX63" s="96"/>
      <c r="BY63" s="192"/>
      <c r="BZ63" s="192"/>
      <c r="CA63" s="85"/>
      <c r="CB63" s="85"/>
      <c r="CC63" s="85"/>
      <c r="CD63" s="85"/>
    </row>
    <row r="64" customFormat="false" ht="3" hidden="true" customHeight="true" outlineLevel="0" collapsed="false">
      <c r="C64" s="190"/>
      <c r="D64" s="85"/>
      <c r="E64" s="191"/>
      <c r="F64" s="85"/>
      <c r="G64" s="200"/>
      <c r="H64" s="85"/>
      <c r="I64" s="1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198"/>
      <c r="AD64" s="190"/>
      <c r="AE64" s="85"/>
      <c r="AF64" s="191"/>
      <c r="AG64" s="85"/>
      <c r="AH64" s="200"/>
      <c r="AI64" s="85"/>
      <c r="AJ64" s="191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198"/>
      <c r="BE64" s="196"/>
      <c r="BF64" s="85"/>
      <c r="BG64" s="85"/>
      <c r="BH64" s="85"/>
      <c r="BI64" s="85"/>
      <c r="BJ64" s="85"/>
      <c r="BK64" s="85"/>
      <c r="BL64" s="204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</row>
    <row r="65" customFormat="false" ht="9" hidden="true" customHeight="true" outlineLevel="0" collapsed="false">
      <c r="C65" s="172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198"/>
      <c r="AD65" s="172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198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</row>
    <row r="66" customFormat="false" ht="3" hidden="true" customHeight="true" outlineLevel="0" collapsed="false">
      <c r="B66" s="77"/>
      <c r="C66" s="190" t="s">
        <v>55</v>
      </c>
      <c r="D66" s="85"/>
      <c r="E66" s="191" t="s">
        <v>47</v>
      </c>
      <c r="F66" s="85"/>
      <c r="G66" s="200" t="n">
        <f aca="false">G50</f>
        <v>0</v>
      </c>
      <c r="H66" s="85"/>
      <c r="I66" s="191" t="s">
        <v>49</v>
      </c>
      <c r="J66" s="85"/>
      <c r="K66" s="85"/>
      <c r="L66" s="85"/>
      <c r="M66" s="85"/>
      <c r="N66" s="192"/>
      <c r="O66" s="206" t="n">
        <f aca="false">O50+S50</f>
        <v>1</v>
      </c>
      <c r="P66" s="206"/>
      <c r="Q66" s="206"/>
      <c r="R66" s="206"/>
      <c r="S66" s="206"/>
      <c r="T66" s="192"/>
      <c r="U66" s="202" t="n">
        <f aca="false">U50</f>
        <v>36</v>
      </c>
      <c r="V66" s="85"/>
      <c r="W66" s="191" t="s">
        <v>49</v>
      </c>
      <c r="X66" s="194"/>
      <c r="Y66" s="207" t="n">
        <f aca="false">Y50</f>
        <v>0</v>
      </c>
      <c r="AD66" s="190" t="s">
        <v>55</v>
      </c>
      <c r="AE66" s="85"/>
      <c r="AF66" s="191" t="s">
        <v>47</v>
      </c>
      <c r="AG66" s="85"/>
      <c r="AH66" s="200" t="n">
        <f aca="false">AH50</f>
        <v>0</v>
      </c>
      <c r="AI66" s="85"/>
      <c r="AJ66" s="191" t="s">
        <v>49</v>
      </c>
      <c r="AK66" s="85"/>
      <c r="AL66" s="85"/>
      <c r="AM66" s="85"/>
      <c r="AN66" s="85"/>
      <c r="AO66" s="192"/>
      <c r="AP66" s="206" t="n">
        <f aca="false">AP50+AT50</f>
        <v>1</v>
      </c>
      <c r="AQ66" s="206"/>
      <c r="AR66" s="206"/>
      <c r="AS66" s="206"/>
      <c r="AT66" s="206"/>
      <c r="AU66" s="192"/>
      <c r="AV66" s="202" t="n">
        <f aca="false">AV50</f>
        <v>36</v>
      </c>
      <c r="AW66" s="85"/>
      <c r="AX66" s="191" t="s">
        <v>49</v>
      </c>
      <c r="AY66" s="194"/>
      <c r="AZ66" s="207" t="n">
        <f aca="false">AZ50</f>
        <v>0</v>
      </c>
      <c r="BE66" s="196"/>
      <c r="BF66" s="85"/>
      <c r="BG66" s="85"/>
      <c r="BH66" s="85"/>
      <c r="BI66" s="85"/>
      <c r="BJ66" s="85"/>
      <c r="BK66" s="85"/>
      <c r="BL66" s="204"/>
      <c r="BM66" s="85"/>
      <c r="BN66" s="85"/>
      <c r="BO66" s="85"/>
      <c r="BP66" s="85"/>
      <c r="BQ66" s="85"/>
      <c r="BR66" s="85"/>
      <c r="BS66" s="192"/>
      <c r="BT66" s="208"/>
      <c r="BU66" s="208"/>
      <c r="BV66" s="208"/>
      <c r="BW66" s="208"/>
      <c r="BX66" s="208"/>
      <c r="BY66" s="192"/>
      <c r="BZ66" s="205"/>
      <c r="CA66" s="85"/>
      <c r="CB66" s="85"/>
      <c r="CC66" s="194"/>
      <c r="CD66" s="96"/>
    </row>
    <row r="67" customFormat="false" ht="3" hidden="true" customHeight="true" outlineLevel="0" collapsed="false">
      <c r="B67" s="77"/>
      <c r="C67" s="190"/>
      <c r="D67" s="85"/>
      <c r="E67" s="191"/>
      <c r="F67" s="85"/>
      <c r="G67" s="200"/>
      <c r="H67" s="85"/>
      <c r="I67" s="191"/>
      <c r="J67" s="85"/>
      <c r="K67" s="85"/>
      <c r="L67" s="85"/>
      <c r="M67" s="85"/>
      <c r="N67" s="192"/>
      <c r="O67" s="206"/>
      <c r="P67" s="206"/>
      <c r="Q67" s="206"/>
      <c r="R67" s="206"/>
      <c r="S67" s="206"/>
      <c r="T67" s="192"/>
      <c r="U67" s="202"/>
      <c r="V67" s="85"/>
      <c r="W67" s="191"/>
      <c r="X67" s="194"/>
      <c r="Y67" s="207"/>
      <c r="AD67" s="190"/>
      <c r="AE67" s="85"/>
      <c r="AF67" s="191"/>
      <c r="AG67" s="85"/>
      <c r="AH67" s="200"/>
      <c r="AI67" s="85"/>
      <c r="AJ67" s="191"/>
      <c r="AK67" s="85"/>
      <c r="AL67" s="85"/>
      <c r="AM67" s="85"/>
      <c r="AN67" s="85"/>
      <c r="AO67" s="192"/>
      <c r="AP67" s="206"/>
      <c r="AQ67" s="206"/>
      <c r="AR67" s="206"/>
      <c r="AS67" s="206"/>
      <c r="AT67" s="206"/>
      <c r="AU67" s="192"/>
      <c r="AV67" s="202"/>
      <c r="AW67" s="85"/>
      <c r="AX67" s="191"/>
      <c r="AY67" s="194"/>
      <c r="AZ67" s="207"/>
      <c r="BE67" s="196"/>
      <c r="BF67" s="85"/>
      <c r="BG67" s="85"/>
      <c r="BH67" s="85"/>
      <c r="BI67" s="85"/>
      <c r="BJ67" s="85"/>
      <c r="BK67" s="85"/>
      <c r="BL67" s="204"/>
      <c r="BM67" s="85"/>
      <c r="BN67" s="85"/>
      <c r="BO67" s="85"/>
      <c r="BP67" s="85"/>
      <c r="BQ67" s="85"/>
      <c r="BR67" s="85"/>
      <c r="BS67" s="192"/>
      <c r="BT67" s="208"/>
      <c r="BU67" s="208"/>
      <c r="BV67" s="208"/>
      <c r="BW67" s="208"/>
      <c r="BX67" s="208"/>
      <c r="BY67" s="192"/>
      <c r="BZ67" s="205"/>
      <c r="CA67" s="85"/>
      <c r="CB67" s="85"/>
      <c r="CC67" s="194"/>
      <c r="CD67" s="96"/>
    </row>
    <row r="68" customFormat="false" ht="3" hidden="true" customHeight="true" outlineLevel="0" collapsed="false">
      <c r="B68" s="77"/>
      <c r="C68" s="190"/>
      <c r="D68" s="85"/>
      <c r="E68" s="191"/>
      <c r="F68" s="85"/>
      <c r="G68" s="200"/>
      <c r="H68" s="85"/>
      <c r="I68" s="191"/>
      <c r="J68" s="85"/>
      <c r="K68" s="85"/>
      <c r="L68" s="85"/>
      <c r="M68" s="85"/>
      <c r="N68" s="192"/>
      <c r="O68" s="206"/>
      <c r="P68" s="206"/>
      <c r="Q68" s="206"/>
      <c r="R68" s="206"/>
      <c r="S68" s="206"/>
      <c r="T68" s="192"/>
      <c r="U68" s="202"/>
      <c r="V68" s="85"/>
      <c r="W68" s="191"/>
      <c r="X68" s="194"/>
      <c r="Y68" s="207"/>
      <c r="AD68" s="190"/>
      <c r="AE68" s="85"/>
      <c r="AF68" s="191"/>
      <c r="AG68" s="85"/>
      <c r="AH68" s="200"/>
      <c r="AI68" s="85"/>
      <c r="AJ68" s="191"/>
      <c r="AK68" s="85"/>
      <c r="AL68" s="85"/>
      <c r="AM68" s="85"/>
      <c r="AN68" s="85"/>
      <c r="AO68" s="192"/>
      <c r="AP68" s="206"/>
      <c r="AQ68" s="206"/>
      <c r="AR68" s="206"/>
      <c r="AS68" s="206"/>
      <c r="AT68" s="206"/>
      <c r="AU68" s="192"/>
      <c r="AV68" s="202"/>
      <c r="AW68" s="85"/>
      <c r="AX68" s="191"/>
      <c r="AY68" s="194"/>
      <c r="AZ68" s="207"/>
      <c r="BE68" s="196"/>
      <c r="BF68" s="85"/>
      <c r="BG68" s="85"/>
      <c r="BH68" s="85"/>
      <c r="BI68" s="85"/>
      <c r="BJ68" s="85"/>
      <c r="BK68" s="85"/>
      <c r="BL68" s="204"/>
      <c r="BM68" s="85"/>
      <c r="BN68" s="85"/>
      <c r="BO68" s="85"/>
      <c r="BP68" s="85"/>
      <c r="BQ68" s="85"/>
      <c r="BR68" s="85"/>
      <c r="BS68" s="192"/>
      <c r="BT68" s="208"/>
      <c r="BU68" s="208"/>
      <c r="BV68" s="208"/>
      <c r="BW68" s="208"/>
      <c r="BX68" s="208"/>
      <c r="BY68" s="192"/>
      <c r="BZ68" s="205"/>
      <c r="CA68" s="85"/>
      <c r="CB68" s="85"/>
      <c r="CC68" s="194"/>
      <c r="CD68" s="96"/>
    </row>
    <row r="69" customFormat="false" ht="3" hidden="true" customHeight="true" outlineLevel="0" collapsed="false">
      <c r="B69" s="77"/>
      <c r="C69" s="190"/>
      <c r="D69" s="85"/>
      <c r="E69" s="191"/>
      <c r="F69" s="85"/>
      <c r="G69" s="200"/>
      <c r="H69" s="85"/>
      <c r="I69" s="191"/>
      <c r="J69" s="85"/>
      <c r="K69" s="85"/>
      <c r="L69" s="85"/>
      <c r="M69" s="85"/>
      <c r="N69" s="85"/>
      <c r="O69" s="206"/>
      <c r="P69" s="206"/>
      <c r="Q69" s="206"/>
      <c r="R69" s="206"/>
      <c r="S69" s="206"/>
      <c r="T69" s="192"/>
      <c r="U69" s="192"/>
      <c r="V69" s="85"/>
      <c r="W69" s="191"/>
      <c r="X69" s="85"/>
      <c r="Y69" s="207"/>
      <c r="AD69" s="190"/>
      <c r="AE69" s="85"/>
      <c r="AF69" s="191"/>
      <c r="AG69" s="85"/>
      <c r="AH69" s="200"/>
      <c r="AI69" s="85"/>
      <c r="AJ69" s="191"/>
      <c r="AK69" s="85"/>
      <c r="AL69" s="85"/>
      <c r="AM69" s="85"/>
      <c r="AN69" s="85"/>
      <c r="AO69" s="85"/>
      <c r="AP69" s="206"/>
      <c r="AQ69" s="206"/>
      <c r="AR69" s="206"/>
      <c r="AS69" s="206"/>
      <c r="AT69" s="206"/>
      <c r="AU69" s="192"/>
      <c r="AV69" s="192"/>
      <c r="AW69" s="85"/>
      <c r="AX69" s="191"/>
      <c r="AY69" s="85"/>
      <c r="AZ69" s="207"/>
      <c r="BE69" s="196"/>
      <c r="BF69" s="85"/>
      <c r="BG69" s="85"/>
      <c r="BH69" s="85"/>
      <c r="BI69" s="85"/>
      <c r="BJ69" s="85"/>
      <c r="BK69" s="85"/>
      <c r="BL69" s="204"/>
      <c r="BM69" s="85"/>
      <c r="BN69" s="85"/>
      <c r="BO69" s="85"/>
      <c r="BP69" s="85"/>
      <c r="BQ69" s="85"/>
      <c r="BR69" s="85"/>
      <c r="BS69" s="85"/>
      <c r="BT69" s="208"/>
      <c r="BU69" s="208"/>
      <c r="BV69" s="208"/>
      <c r="BW69" s="208"/>
      <c r="BX69" s="208"/>
      <c r="BY69" s="192"/>
      <c r="BZ69" s="192"/>
      <c r="CA69" s="85"/>
      <c r="CB69" s="85"/>
      <c r="CC69" s="85"/>
      <c r="CD69" s="96"/>
    </row>
    <row r="70" customFormat="false" ht="3" hidden="true" customHeight="true" outlineLevel="0" collapsed="false">
      <c r="B70" s="77"/>
      <c r="C70" s="190"/>
      <c r="D70" s="85"/>
      <c r="E70" s="191"/>
      <c r="F70" s="85"/>
      <c r="G70" s="200"/>
      <c r="H70" s="85"/>
      <c r="I70" s="191"/>
      <c r="J70" s="85"/>
      <c r="K70" s="85"/>
      <c r="L70" s="85"/>
      <c r="M70" s="85"/>
      <c r="N70" s="85"/>
      <c r="O70" s="206"/>
      <c r="P70" s="206"/>
      <c r="Q70" s="206"/>
      <c r="R70" s="206"/>
      <c r="S70" s="206"/>
      <c r="T70" s="192"/>
      <c r="U70" s="192"/>
      <c r="V70" s="85"/>
      <c r="W70" s="191"/>
      <c r="X70" s="85"/>
      <c r="Y70" s="207"/>
      <c r="AD70" s="190"/>
      <c r="AE70" s="85"/>
      <c r="AF70" s="191"/>
      <c r="AG70" s="85"/>
      <c r="AH70" s="200"/>
      <c r="AI70" s="85"/>
      <c r="AJ70" s="191"/>
      <c r="AK70" s="85"/>
      <c r="AL70" s="85"/>
      <c r="AM70" s="85"/>
      <c r="AN70" s="85"/>
      <c r="AO70" s="85"/>
      <c r="AP70" s="206"/>
      <c r="AQ70" s="206"/>
      <c r="AR70" s="206"/>
      <c r="AS70" s="206"/>
      <c r="AT70" s="206"/>
      <c r="AU70" s="192"/>
      <c r="AV70" s="192"/>
      <c r="AW70" s="85"/>
      <c r="AX70" s="191"/>
      <c r="AY70" s="85"/>
      <c r="AZ70" s="207"/>
      <c r="BE70" s="196"/>
      <c r="BF70" s="85"/>
      <c r="BG70" s="85"/>
      <c r="BH70" s="85"/>
      <c r="BI70" s="85"/>
      <c r="BJ70" s="85"/>
      <c r="BK70" s="85"/>
      <c r="BL70" s="204"/>
      <c r="BM70" s="85"/>
      <c r="BN70" s="85"/>
      <c r="BO70" s="85"/>
      <c r="BP70" s="85"/>
      <c r="BQ70" s="85"/>
      <c r="BR70" s="85"/>
      <c r="BS70" s="85"/>
      <c r="BT70" s="208"/>
      <c r="BU70" s="208"/>
      <c r="BV70" s="208"/>
      <c r="BW70" s="208"/>
      <c r="BX70" s="208"/>
      <c r="BY70" s="192"/>
      <c r="BZ70" s="192"/>
      <c r="CA70" s="85"/>
      <c r="CB70" s="85"/>
      <c r="CC70" s="85"/>
      <c r="CD70" s="96"/>
    </row>
    <row r="71" customFormat="false" ht="3" hidden="true" customHeight="true" outlineLevel="0" collapsed="false">
      <c r="B71" s="77"/>
      <c r="C71" s="190"/>
      <c r="D71" s="85"/>
      <c r="E71" s="191"/>
      <c r="F71" s="85"/>
      <c r="G71" s="200"/>
      <c r="H71" s="85"/>
      <c r="I71" s="191"/>
      <c r="J71" s="85"/>
      <c r="K71" s="85"/>
      <c r="L71" s="85"/>
      <c r="M71" s="85"/>
      <c r="N71" s="192"/>
      <c r="O71" s="206"/>
      <c r="P71" s="206"/>
      <c r="Q71" s="206"/>
      <c r="R71" s="206"/>
      <c r="S71" s="206"/>
      <c r="T71" s="192"/>
      <c r="U71" s="192"/>
      <c r="V71" s="85"/>
      <c r="W71" s="191"/>
      <c r="X71" s="85"/>
      <c r="Y71" s="207"/>
      <c r="AD71" s="190"/>
      <c r="AE71" s="85"/>
      <c r="AF71" s="191"/>
      <c r="AG71" s="85"/>
      <c r="AH71" s="200"/>
      <c r="AI71" s="85"/>
      <c r="AJ71" s="191"/>
      <c r="AK71" s="85"/>
      <c r="AL71" s="85"/>
      <c r="AM71" s="85"/>
      <c r="AN71" s="85"/>
      <c r="AO71" s="192"/>
      <c r="AP71" s="206"/>
      <c r="AQ71" s="206"/>
      <c r="AR71" s="206"/>
      <c r="AS71" s="206"/>
      <c r="AT71" s="206"/>
      <c r="AU71" s="192"/>
      <c r="AV71" s="192"/>
      <c r="AW71" s="85"/>
      <c r="AX71" s="191"/>
      <c r="AY71" s="85"/>
      <c r="AZ71" s="207"/>
      <c r="BE71" s="196"/>
      <c r="BF71" s="85"/>
      <c r="BG71" s="85"/>
      <c r="BH71" s="85"/>
      <c r="BI71" s="85"/>
      <c r="BJ71" s="85"/>
      <c r="BK71" s="85"/>
      <c r="BL71" s="204"/>
      <c r="BM71" s="85"/>
      <c r="BN71" s="85"/>
      <c r="BO71" s="85"/>
      <c r="BP71" s="85"/>
      <c r="BQ71" s="85"/>
      <c r="BR71" s="85"/>
      <c r="BS71" s="192"/>
      <c r="BT71" s="208"/>
      <c r="BU71" s="208"/>
      <c r="BV71" s="208"/>
      <c r="BW71" s="208"/>
      <c r="BX71" s="208"/>
      <c r="BY71" s="192"/>
      <c r="BZ71" s="192"/>
      <c r="CA71" s="85"/>
      <c r="CB71" s="85"/>
      <c r="CC71" s="85"/>
      <c r="CD71" s="96"/>
    </row>
    <row r="72" customFormat="false" ht="3" hidden="true" customHeight="true" outlineLevel="0" collapsed="false">
      <c r="B72" s="77"/>
      <c r="C72" s="190"/>
      <c r="D72" s="192"/>
      <c r="E72" s="191"/>
      <c r="F72" s="85"/>
      <c r="G72" s="200"/>
      <c r="H72" s="85"/>
      <c r="I72" s="1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198"/>
      <c r="AD72" s="190"/>
      <c r="AE72" s="192"/>
      <c r="AF72" s="191"/>
      <c r="AG72" s="85"/>
      <c r="AH72" s="200"/>
      <c r="AI72" s="85"/>
      <c r="AJ72" s="191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198"/>
      <c r="BE72" s="196"/>
      <c r="BF72" s="192"/>
      <c r="BG72" s="85"/>
      <c r="BH72" s="85"/>
      <c r="BI72" s="85"/>
      <c r="BJ72" s="85"/>
      <c r="BK72" s="85"/>
      <c r="BL72" s="204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</row>
    <row r="73" customFormat="false" ht="3" hidden="true" customHeight="true" outlineLevel="0" collapsed="false">
      <c r="B73" s="77"/>
      <c r="C73" s="190"/>
      <c r="D73" s="192"/>
      <c r="E73" s="191"/>
      <c r="F73" s="85"/>
      <c r="G73" s="200"/>
      <c r="H73" s="85"/>
      <c r="I73" s="1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198"/>
      <c r="AD73" s="190"/>
      <c r="AE73" s="192"/>
      <c r="AF73" s="191"/>
      <c r="AG73" s="85"/>
      <c r="AH73" s="200"/>
      <c r="AI73" s="85"/>
      <c r="AJ73" s="191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198"/>
      <c r="BE73" s="196"/>
      <c r="BF73" s="192"/>
      <c r="BG73" s="85"/>
      <c r="BH73" s="85"/>
      <c r="BI73" s="85"/>
      <c r="BJ73" s="85"/>
      <c r="BK73" s="85"/>
      <c r="BL73" s="204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</row>
    <row r="74" customFormat="false" ht="3" hidden="true" customHeight="true" outlineLevel="0" collapsed="false">
      <c r="B74" s="77"/>
      <c r="C74" s="190"/>
      <c r="D74" s="85"/>
      <c r="E74" s="191"/>
      <c r="F74" s="85"/>
      <c r="G74" s="200"/>
      <c r="H74" s="85"/>
      <c r="I74" s="191"/>
      <c r="J74" s="85"/>
      <c r="K74" s="85"/>
      <c r="L74" s="85"/>
      <c r="M74" s="85"/>
      <c r="N74" s="192"/>
      <c r="O74" s="206" t="n">
        <f aca="false">O66</f>
        <v>1</v>
      </c>
      <c r="P74" s="206"/>
      <c r="Q74" s="206"/>
      <c r="R74" s="206"/>
      <c r="S74" s="206"/>
      <c r="T74" s="192"/>
      <c r="U74" s="202" t="n">
        <f aca="false">U50</f>
        <v>36</v>
      </c>
      <c r="V74" s="85"/>
      <c r="W74" s="191" t="s">
        <v>54</v>
      </c>
      <c r="X74" s="194"/>
      <c r="Y74" s="195" t="n">
        <v>1</v>
      </c>
      <c r="AD74" s="190"/>
      <c r="AE74" s="85"/>
      <c r="AF74" s="191"/>
      <c r="AG74" s="85"/>
      <c r="AH74" s="200"/>
      <c r="AI74" s="85"/>
      <c r="AJ74" s="191"/>
      <c r="AK74" s="85"/>
      <c r="AL74" s="85"/>
      <c r="AM74" s="85"/>
      <c r="AN74" s="85"/>
      <c r="AO74" s="192"/>
      <c r="AP74" s="206" t="n">
        <f aca="false">AP66</f>
        <v>1</v>
      </c>
      <c r="AQ74" s="206"/>
      <c r="AR74" s="206"/>
      <c r="AS74" s="206"/>
      <c r="AT74" s="206"/>
      <c r="AU74" s="192"/>
      <c r="AV74" s="202" t="n">
        <f aca="false">AV50</f>
        <v>36</v>
      </c>
      <c r="AW74" s="85"/>
      <c r="AX74" s="191" t="s">
        <v>54</v>
      </c>
      <c r="AY74" s="194"/>
      <c r="AZ74" s="195" t="n">
        <v>1</v>
      </c>
      <c r="BE74" s="196"/>
      <c r="BF74" s="85"/>
      <c r="BG74" s="85"/>
      <c r="BH74" s="85"/>
      <c r="BI74" s="85"/>
      <c r="BJ74" s="85"/>
      <c r="BK74" s="85"/>
      <c r="BL74" s="204"/>
      <c r="BM74" s="85"/>
      <c r="BN74" s="85"/>
      <c r="BO74" s="85"/>
      <c r="BP74" s="85"/>
      <c r="BQ74" s="85"/>
      <c r="BR74" s="85"/>
      <c r="BS74" s="192"/>
      <c r="BT74" s="208"/>
      <c r="BU74" s="208"/>
      <c r="BV74" s="208"/>
      <c r="BW74" s="208"/>
      <c r="BX74" s="208"/>
      <c r="BY74" s="192"/>
      <c r="BZ74" s="205"/>
      <c r="CA74" s="85"/>
      <c r="CB74" s="85"/>
      <c r="CC74" s="194"/>
      <c r="CD74" s="85"/>
    </row>
    <row r="75" customFormat="false" ht="3" hidden="true" customHeight="true" outlineLevel="0" collapsed="false">
      <c r="B75" s="77"/>
      <c r="C75" s="190"/>
      <c r="D75" s="85"/>
      <c r="E75" s="191"/>
      <c r="F75" s="85"/>
      <c r="G75" s="200"/>
      <c r="H75" s="85"/>
      <c r="I75" s="191"/>
      <c r="J75" s="85"/>
      <c r="K75" s="85"/>
      <c r="L75" s="85"/>
      <c r="M75" s="85"/>
      <c r="N75" s="192"/>
      <c r="O75" s="206"/>
      <c r="P75" s="206"/>
      <c r="Q75" s="206"/>
      <c r="R75" s="206"/>
      <c r="S75" s="206"/>
      <c r="T75" s="192"/>
      <c r="U75" s="202"/>
      <c r="V75" s="85"/>
      <c r="W75" s="191"/>
      <c r="X75" s="194"/>
      <c r="Y75" s="195"/>
      <c r="AD75" s="190"/>
      <c r="AE75" s="85"/>
      <c r="AF75" s="191"/>
      <c r="AG75" s="85"/>
      <c r="AH75" s="200"/>
      <c r="AI75" s="85"/>
      <c r="AJ75" s="191"/>
      <c r="AK75" s="85"/>
      <c r="AL75" s="85"/>
      <c r="AM75" s="85"/>
      <c r="AN75" s="85"/>
      <c r="AO75" s="192"/>
      <c r="AP75" s="206"/>
      <c r="AQ75" s="206"/>
      <c r="AR75" s="206"/>
      <c r="AS75" s="206"/>
      <c r="AT75" s="206"/>
      <c r="AU75" s="192"/>
      <c r="AV75" s="202"/>
      <c r="AW75" s="85"/>
      <c r="AX75" s="191"/>
      <c r="AY75" s="194"/>
      <c r="AZ75" s="195"/>
      <c r="BE75" s="196"/>
      <c r="BF75" s="85"/>
      <c r="BG75" s="85"/>
      <c r="BH75" s="85"/>
      <c r="BI75" s="85"/>
      <c r="BJ75" s="85"/>
      <c r="BK75" s="85"/>
      <c r="BL75" s="204"/>
      <c r="BM75" s="85"/>
      <c r="BN75" s="85"/>
      <c r="BO75" s="85"/>
      <c r="BP75" s="85"/>
      <c r="BQ75" s="85"/>
      <c r="BR75" s="85"/>
      <c r="BS75" s="192"/>
      <c r="BT75" s="208"/>
      <c r="BU75" s="208"/>
      <c r="BV75" s="208"/>
      <c r="BW75" s="208"/>
      <c r="BX75" s="208"/>
      <c r="BY75" s="192"/>
      <c r="BZ75" s="205"/>
      <c r="CA75" s="85"/>
      <c r="CB75" s="85"/>
      <c r="CC75" s="194"/>
      <c r="CD75" s="85"/>
    </row>
    <row r="76" customFormat="false" ht="3" hidden="true" customHeight="true" outlineLevel="0" collapsed="false">
      <c r="B76" s="77"/>
      <c r="C76" s="190"/>
      <c r="D76" s="85"/>
      <c r="E76" s="191"/>
      <c r="F76" s="85"/>
      <c r="G76" s="200"/>
      <c r="H76" s="85"/>
      <c r="I76" s="191"/>
      <c r="J76" s="85"/>
      <c r="K76" s="85"/>
      <c r="L76" s="85"/>
      <c r="M76" s="85"/>
      <c r="N76" s="192"/>
      <c r="O76" s="206"/>
      <c r="P76" s="206"/>
      <c r="Q76" s="206"/>
      <c r="R76" s="206"/>
      <c r="S76" s="206"/>
      <c r="T76" s="192"/>
      <c r="U76" s="202"/>
      <c r="V76" s="85"/>
      <c r="W76" s="191"/>
      <c r="X76" s="194"/>
      <c r="Y76" s="195"/>
      <c r="AD76" s="190"/>
      <c r="AE76" s="85"/>
      <c r="AF76" s="191"/>
      <c r="AG76" s="85"/>
      <c r="AH76" s="200"/>
      <c r="AI76" s="85"/>
      <c r="AJ76" s="191"/>
      <c r="AK76" s="85"/>
      <c r="AL76" s="85"/>
      <c r="AM76" s="85"/>
      <c r="AN76" s="85"/>
      <c r="AO76" s="192"/>
      <c r="AP76" s="206"/>
      <c r="AQ76" s="206"/>
      <c r="AR76" s="206"/>
      <c r="AS76" s="206"/>
      <c r="AT76" s="206"/>
      <c r="AU76" s="192"/>
      <c r="AV76" s="202"/>
      <c r="AW76" s="85"/>
      <c r="AX76" s="191"/>
      <c r="AY76" s="194"/>
      <c r="AZ76" s="195"/>
      <c r="BE76" s="196"/>
      <c r="BF76" s="85"/>
      <c r="BG76" s="85"/>
      <c r="BH76" s="85"/>
      <c r="BI76" s="85"/>
      <c r="BJ76" s="85"/>
      <c r="BK76" s="85"/>
      <c r="BL76" s="204"/>
      <c r="BM76" s="85"/>
      <c r="BN76" s="85"/>
      <c r="BO76" s="85"/>
      <c r="BP76" s="85"/>
      <c r="BQ76" s="85"/>
      <c r="BR76" s="85"/>
      <c r="BS76" s="192"/>
      <c r="BT76" s="208"/>
      <c r="BU76" s="208"/>
      <c r="BV76" s="208"/>
      <c r="BW76" s="208"/>
      <c r="BX76" s="208"/>
      <c r="BY76" s="192"/>
      <c r="BZ76" s="205"/>
      <c r="CA76" s="85"/>
      <c r="CB76" s="85"/>
      <c r="CC76" s="194"/>
      <c r="CD76" s="85"/>
    </row>
    <row r="77" customFormat="false" ht="3" hidden="true" customHeight="true" outlineLevel="0" collapsed="false">
      <c r="B77" s="77"/>
      <c r="C77" s="190"/>
      <c r="D77" s="85"/>
      <c r="E77" s="191"/>
      <c r="F77" s="85"/>
      <c r="G77" s="200"/>
      <c r="H77" s="85"/>
      <c r="I77" s="191"/>
      <c r="J77" s="85"/>
      <c r="K77" s="85"/>
      <c r="L77" s="85"/>
      <c r="M77" s="85"/>
      <c r="N77" s="85"/>
      <c r="O77" s="206"/>
      <c r="P77" s="206"/>
      <c r="Q77" s="206"/>
      <c r="R77" s="206"/>
      <c r="S77" s="206"/>
      <c r="T77" s="192"/>
      <c r="U77" s="192"/>
      <c r="V77" s="85"/>
      <c r="W77" s="191"/>
      <c r="X77" s="85"/>
      <c r="Y77" s="195"/>
      <c r="AD77" s="190"/>
      <c r="AE77" s="85"/>
      <c r="AF77" s="191"/>
      <c r="AG77" s="85"/>
      <c r="AH77" s="200"/>
      <c r="AI77" s="85"/>
      <c r="AJ77" s="191"/>
      <c r="AK77" s="85"/>
      <c r="AL77" s="85"/>
      <c r="AM77" s="85"/>
      <c r="AN77" s="85"/>
      <c r="AO77" s="85"/>
      <c r="AP77" s="206"/>
      <c r="AQ77" s="206"/>
      <c r="AR77" s="206"/>
      <c r="AS77" s="206"/>
      <c r="AT77" s="206"/>
      <c r="AU77" s="192"/>
      <c r="AV77" s="192"/>
      <c r="AW77" s="85"/>
      <c r="AX77" s="191"/>
      <c r="AY77" s="85"/>
      <c r="AZ77" s="195"/>
      <c r="BE77" s="196"/>
      <c r="BF77" s="85"/>
      <c r="BG77" s="85"/>
      <c r="BH77" s="85"/>
      <c r="BI77" s="85"/>
      <c r="BJ77" s="85"/>
      <c r="BK77" s="85"/>
      <c r="BL77" s="204"/>
      <c r="BM77" s="85"/>
      <c r="BN77" s="85"/>
      <c r="BO77" s="85"/>
      <c r="BP77" s="85"/>
      <c r="BQ77" s="85"/>
      <c r="BR77" s="85"/>
      <c r="BS77" s="85"/>
      <c r="BT77" s="208"/>
      <c r="BU77" s="208"/>
      <c r="BV77" s="208"/>
      <c r="BW77" s="208"/>
      <c r="BX77" s="208"/>
      <c r="BY77" s="192"/>
      <c r="BZ77" s="192"/>
      <c r="CA77" s="85"/>
      <c r="CB77" s="85"/>
      <c r="CC77" s="85"/>
      <c r="CD77" s="85"/>
    </row>
    <row r="78" customFormat="false" ht="3" hidden="true" customHeight="true" outlineLevel="0" collapsed="false">
      <c r="B78" s="77"/>
      <c r="C78" s="190"/>
      <c r="D78" s="85"/>
      <c r="E78" s="191"/>
      <c r="F78" s="85"/>
      <c r="G78" s="200"/>
      <c r="H78" s="85"/>
      <c r="I78" s="191"/>
      <c r="J78" s="85"/>
      <c r="K78" s="85"/>
      <c r="L78" s="85"/>
      <c r="M78" s="85"/>
      <c r="N78" s="85"/>
      <c r="O78" s="206"/>
      <c r="P78" s="206"/>
      <c r="Q78" s="206"/>
      <c r="R78" s="206"/>
      <c r="S78" s="206"/>
      <c r="T78" s="192"/>
      <c r="U78" s="192"/>
      <c r="V78" s="85"/>
      <c r="W78" s="191"/>
      <c r="X78" s="85"/>
      <c r="Y78" s="195"/>
      <c r="AD78" s="190"/>
      <c r="AE78" s="85"/>
      <c r="AF78" s="191"/>
      <c r="AG78" s="85"/>
      <c r="AH78" s="200"/>
      <c r="AI78" s="85"/>
      <c r="AJ78" s="191"/>
      <c r="AK78" s="85"/>
      <c r="AL78" s="85"/>
      <c r="AM78" s="85"/>
      <c r="AN78" s="85"/>
      <c r="AO78" s="85"/>
      <c r="AP78" s="206"/>
      <c r="AQ78" s="206"/>
      <c r="AR78" s="206"/>
      <c r="AS78" s="206"/>
      <c r="AT78" s="206"/>
      <c r="AU78" s="192"/>
      <c r="AV78" s="192"/>
      <c r="AW78" s="85"/>
      <c r="AX78" s="191"/>
      <c r="AY78" s="85"/>
      <c r="AZ78" s="195"/>
      <c r="BE78" s="196"/>
      <c r="BF78" s="85"/>
      <c r="BG78" s="85"/>
      <c r="BH78" s="85"/>
      <c r="BI78" s="85"/>
      <c r="BJ78" s="85"/>
      <c r="BK78" s="85"/>
      <c r="BL78" s="204"/>
      <c r="BM78" s="85"/>
      <c r="BN78" s="85"/>
      <c r="BO78" s="85"/>
      <c r="BP78" s="85"/>
      <c r="BQ78" s="85"/>
      <c r="BR78" s="85"/>
      <c r="BS78" s="85"/>
      <c r="BT78" s="208"/>
      <c r="BU78" s="208"/>
      <c r="BV78" s="208"/>
      <c r="BW78" s="208"/>
      <c r="BX78" s="208"/>
      <c r="BY78" s="192"/>
      <c r="BZ78" s="192"/>
      <c r="CA78" s="85"/>
      <c r="CB78" s="85"/>
      <c r="CC78" s="85"/>
      <c r="CD78" s="85"/>
    </row>
    <row r="79" customFormat="false" ht="3" hidden="true" customHeight="true" outlineLevel="0" collapsed="false">
      <c r="B79" s="77"/>
      <c r="C79" s="190"/>
      <c r="D79" s="85"/>
      <c r="E79" s="191"/>
      <c r="F79" s="85"/>
      <c r="G79" s="200"/>
      <c r="H79" s="85"/>
      <c r="I79" s="191"/>
      <c r="J79" s="85"/>
      <c r="K79" s="85"/>
      <c r="L79" s="85"/>
      <c r="M79" s="85"/>
      <c r="N79" s="192"/>
      <c r="O79" s="206"/>
      <c r="P79" s="206"/>
      <c r="Q79" s="206"/>
      <c r="R79" s="206"/>
      <c r="S79" s="206"/>
      <c r="T79" s="192"/>
      <c r="U79" s="192"/>
      <c r="V79" s="85"/>
      <c r="W79" s="191"/>
      <c r="X79" s="85"/>
      <c r="Y79" s="195"/>
      <c r="AD79" s="190"/>
      <c r="AE79" s="85"/>
      <c r="AF79" s="191"/>
      <c r="AG79" s="85"/>
      <c r="AH79" s="200"/>
      <c r="AI79" s="85"/>
      <c r="AJ79" s="191"/>
      <c r="AK79" s="85"/>
      <c r="AL79" s="85"/>
      <c r="AM79" s="85"/>
      <c r="AN79" s="85"/>
      <c r="AO79" s="192"/>
      <c r="AP79" s="206"/>
      <c r="AQ79" s="206"/>
      <c r="AR79" s="206"/>
      <c r="AS79" s="206"/>
      <c r="AT79" s="206"/>
      <c r="AU79" s="192"/>
      <c r="AV79" s="192"/>
      <c r="AW79" s="85"/>
      <c r="AX79" s="191"/>
      <c r="AY79" s="85"/>
      <c r="AZ79" s="195"/>
      <c r="BE79" s="196"/>
      <c r="BF79" s="85"/>
      <c r="BG79" s="85"/>
      <c r="BH79" s="85"/>
      <c r="BI79" s="85"/>
      <c r="BJ79" s="85"/>
      <c r="BK79" s="85"/>
      <c r="BL79" s="204"/>
      <c r="BM79" s="85"/>
      <c r="BN79" s="85"/>
      <c r="BO79" s="85"/>
      <c r="BP79" s="85"/>
      <c r="BQ79" s="85"/>
      <c r="BR79" s="85"/>
      <c r="BS79" s="192"/>
      <c r="BT79" s="208"/>
      <c r="BU79" s="208"/>
      <c r="BV79" s="208"/>
      <c r="BW79" s="208"/>
      <c r="BX79" s="208"/>
      <c r="BY79" s="192"/>
      <c r="BZ79" s="192"/>
      <c r="CA79" s="85"/>
      <c r="CB79" s="85"/>
      <c r="CC79" s="85"/>
      <c r="CD79" s="85"/>
    </row>
    <row r="80" customFormat="false" ht="3" hidden="true" customHeight="true" outlineLevel="0" collapsed="false">
      <c r="C80" s="190"/>
      <c r="D80" s="85"/>
      <c r="E80" s="191"/>
      <c r="F80" s="85"/>
      <c r="G80" s="200"/>
      <c r="H80" s="85"/>
      <c r="I80" s="1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198"/>
      <c r="AD80" s="190"/>
      <c r="AE80" s="85"/>
      <c r="AF80" s="191"/>
      <c r="AG80" s="85"/>
      <c r="AH80" s="200"/>
      <c r="AI80" s="85"/>
      <c r="AJ80" s="191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198"/>
      <c r="BE80" s="196"/>
      <c r="BF80" s="85"/>
      <c r="BG80" s="85"/>
      <c r="BH80" s="85"/>
      <c r="BI80" s="85"/>
      <c r="BJ80" s="85"/>
      <c r="BK80" s="85"/>
      <c r="BL80" s="204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</row>
    <row r="81" customFormat="false" ht="9" hidden="true" customHeight="true" outlineLevel="0" collapsed="false">
      <c r="C81" s="172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198"/>
      <c r="AD81" s="172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198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</row>
    <row r="82" customFormat="false" ht="3" hidden="true" customHeight="true" outlineLevel="0" collapsed="false">
      <c r="B82" s="77"/>
      <c r="C82" s="190" t="s">
        <v>55</v>
      </c>
      <c r="D82" s="85"/>
      <c r="E82" s="191" t="s">
        <v>47</v>
      </c>
      <c r="F82" s="85"/>
      <c r="G82" s="200" t="n">
        <f aca="false">G66</f>
        <v>0</v>
      </c>
      <c r="H82" s="85"/>
      <c r="I82" s="191" t="s">
        <v>49</v>
      </c>
      <c r="J82" s="85"/>
      <c r="K82" s="85"/>
      <c r="L82" s="85"/>
      <c r="M82" s="85"/>
      <c r="N82" s="192"/>
      <c r="O82" s="206" t="n">
        <f aca="false">POWER(O66,U66)</f>
        <v>1</v>
      </c>
      <c r="P82" s="206"/>
      <c r="Q82" s="206"/>
      <c r="R82" s="206"/>
      <c r="S82" s="206"/>
      <c r="T82" s="206"/>
      <c r="U82" s="206"/>
      <c r="V82" s="85"/>
      <c r="W82" s="191" t="s">
        <v>49</v>
      </c>
      <c r="X82" s="194"/>
      <c r="Y82" s="207" t="n">
        <f aca="false">Y66</f>
        <v>0</v>
      </c>
      <c r="AD82" s="190" t="s">
        <v>55</v>
      </c>
      <c r="AE82" s="85"/>
      <c r="AF82" s="191" t="s">
        <v>47</v>
      </c>
      <c r="AG82" s="85"/>
      <c r="AH82" s="200" t="n">
        <f aca="false">AH66</f>
        <v>0</v>
      </c>
      <c r="AI82" s="85"/>
      <c r="AJ82" s="191" t="s">
        <v>49</v>
      </c>
      <c r="AK82" s="85"/>
      <c r="AL82" s="85"/>
      <c r="AM82" s="85"/>
      <c r="AN82" s="85"/>
      <c r="AO82" s="192"/>
      <c r="AP82" s="206" t="n">
        <f aca="false">POWER(AP66,AV66)</f>
        <v>1</v>
      </c>
      <c r="AQ82" s="206"/>
      <c r="AR82" s="206"/>
      <c r="AS82" s="206"/>
      <c r="AT82" s="206"/>
      <c r="AU82" s="206"/>
      <c r="AV82" s="206"/>
      <c r="AW82" s="85"/>
      <c r="AX82" s="191" t="s">
        <v>49</v>
      </c>
      <c r="AY82" s="194"/>
      <c r="AZ82" s="207" t="n">
        <f aca="false">AZ66</f>
        <v>0</v>
      </c>
      <c r="BE82" s="196"/>
      <c r="BF82" s="85"/>
      <c r="BG82" s="85"/>
      <c r="BH82" s="85"/>
      <c r="BI82" s="85"/>
      <c r="BJ82" s="85"/>
      <c r="BK82" s="85"/>
      <c r="BL82" s="204"/>
      <c r="BM82" s="85"/>
      <c r="BN82" s="85"/>
      <c r="BO82" s="85"/>
      <c r="BP82" s="85"/>
      <c r="BQ82" s="85"/>
      <c r="BR82" s="85"/>
      <c r="BS82" s="192"/>
      <c r="BT82" s="208"/>
      <c r="BU82" s="208"/>
      <c r="BV82" s="208"/>
      <c r="BW82" s="208"/>
      <c r="BX82" s="208"/>
      <c r="BY82" s="208"/>
      <c r="BZ82" s="208"/>
      <c r="CA82" s="85"/>
      <c r="CB82" s="85"/>
      <c r="CC82" s="194"/>
      <c r="CD82" s="96"/>
    </row>
    <row r="83" customFormat="false" ht="3" hidden="true" customHeight="true" outlineLevel="0" collapsed="false">
      <c r="B83" s="77"/>
      <c r="C83" s="190"/>
      <c r="D83" s="85"/>
      <c r="E83" s="191"/>
      <c r="F83" s="85"/>
      <c r="G83" s="200"/>
      <c r="H83" s="85"/>
      <c r="I83" s="191"/>
      <c r="J83" s="85"/>
      <c r="K83" s="85"/>
      <c r="L83" s="85"/>
      <c r="M83" s="85"/>
      <c r="N83" s="192"/>
      <c r="O83" s="206"/>
      <c r="P83" s="206"/>
      <c r="Q83" s="206"/>
      <c r="R83" s="206"/>
      <c r="S83" s="206"/>
      <c r="T83" s="206"/>
      <c r="U83" s="206"/>
      <c r="V83" s="85"/>
      <c r="W83" s="191"/>
      <c r="X83" s="194"/>
      <c r="Y83" s="207"/>
      <c r="AD83" s="190"/>
      <c r="AE83" s="85"/>
      <c r="AF83" s="191"/>
      <c r="AG83" s="85"/>
      <c r="AH83" s="200"/>
      <c r="AI83" s="85"/>
      <c r="AJ83" s="191"/>
      <c r="AK83" s="85"/>
      <c r="AL83" s="85"/>
      <c r="AM83" s="85"/>
      <c r="AN83" s="85"/>
      <c r="AO83" s="192"/>
      <c r="AP83" s="206"/>
      <c r="AQ83" s="206"/>
      <c r="AR83" s="206"/>
      <c r="AS83" s="206"/>
      <c r="AT83" s="206"/>
      <c r="AU83" s="206"/>
      <c r="AV83" s="206"/>
      <c r="AW83" s="85"/>
      <c r="AX83" s="191"/>
      <c r="AY83" s="194"/>
      <c r="AZ83" s="207"/>
      <c r="BE83" s="196"/>
      <c r="BF83" s="85"/>
      <c r="BG83" s="85"/>
      <c r="BH83" s="85"/>
      <c r="BI83" s="85"/>
      <c r="BJ83" s="85"/>
      <c r="BK83" s="85"/>
      <c r="BL83" s="204"/>
      <c r="BM83" s="85"/>
      <c r="BN83" s="85"/>
      <c r="BO83" s="85"/>
      <c r="BP83" s="85"/>
      <c r="BQ83" s="85"/>
      <c r="BR83" s="85"/>
      <c r="BS83" s="192"/>
      <c r="BT83" s="208"/>
      <c r="BU83" s="208"/>
      <c r="BV83" s="208"/>
      <c r="BW83" s="208"/>
      <c r="BX83" s="208"/>
      <c r="BY83" s="208"/>
      <c r="BZ83" s="208"/>
      <c r="CA83" s="85"/>
      <c r="CB83" s="85"/>
      <c r="CC83" s="194"/>
      <c r="CD83" s="96"/>
    </row>
    <row r="84" customFormat="false" ht="3" hidden="true" customHeight="true" outlineLevel="0" collapsed="false">
      <c r="B84" s="77"/>
      <c r="C84" s="190"/>
      <c r="D84" s="85"/>
      <c r="E84" s="191"/>
      <c r="F84" s="85"/>
      <c r="G84" s="200"/>
      <c r="H84" s="85"/>
      <c r="I84" s="191"/>
      <c r="J84" s="85"/>
      <c r="K84" s="85"/>
      <c r="L84" s="85"/>
      <c r="M84" s="85"/>
      <c r="N84" s="192"/>
      <c r="O84" s="206"/>
      <c r="P84" s="206"/>
      <c r="Q84" s="206"/>
      <c r="R84" s="206"/>
      <c r="S84" s="206"/>
      <c r="T84" s="206"/>
      <c r="U84" s="206"/>
      <c r="V84" s="85"/>
      <c r="W84" s="191"/>
      <c r="X84" s="194"/>
      <c r="Y84" s="207"/>
      <c r="AD84" s="190"/>
      <c r="AE84" s="85"/>
      <c r="AF84" s="191"/>
      <c r="AG84" s="85"/>
      <c r="AH84" s="200"/>
      <c r="AI84" s="85"/>
      <c r="AJ84" s="191"/>
      <c r="AK84" s="85"/>
      <c r="AL84" s="85"/>
      <c r="AM84" s="85"/>
      <c r="AN84" s="85"/>
      <c r="AO84" s="192"/>
      <c r="AP84" s="206"/>
      <c r="AQ84" s="206"/>
      <c r="AR84" s="206"/>
      <c r="AS84" s="206"/>
      <c r="AT84" s="206"/>
      <c r="AU84" s="206"/>
      <c r="AV84" s="206"/>
      <c r="AW84" s="85"/>
      <c r="AX84" s="191"/>
      <c r="AY84" s="194"/>
      <c r="AZ84" s="207"/>
      <c r="BE84" s="196"/>
      <c r="BF84" s="85"/>
      <c r="BG84" s="85"/>
      <c r="BH84" s="85"/>
      <c r="BI84" s="85"/>
      <c r="BJ84" s="85"/>
      <c r="BK84" s="85"/>
      <c r="BL84" s="204"/>
      <c r="BM84" s="85"/>
      <c r="BN84" s="85"/>
      <c r="BO84" s="85"/>
      <c r="BP84" s="85"/>
      <c r="BQ84" s="85"/>
      <c r="BR84" s="85"/>
      <c r="BS84" s="192"/>
      <c r="BT84" s="208"/>
      <c r="BU84" s="208"/>
      <c r="BV84" s="208"/>
      <c r="BW84" s="208"/>
      <c r="BX84" s="208"/>
      <c r="BY84" s="208"/>
      <c r="BZ84" s="208"/>
      <c r="CA84" s="85"/>
      <c r="CB84" s="85"/>
      <c r="CC84" s="194"/>
      <c r="CD84" s="96"/>
    </row>
    <row r="85" customFormat="false" ht="3" hidden="true" customHeight="true" outlineLevel="0" collapsed="false">
      <c r="B85" s="77"/>
      <c r="C85" s="190"/>
      <c r="D85" s="85"/>
      <c r="E85" s="191"/>
      <c r="F85" s="85"/>
      <c r="G85" s="200"/>
      <c r="H85" s="85"/>
      <c r="I85" s="191"/>
      <c r="J85" s="85"/>
      <c r="K85" s="85"/>
      <c r="L85" s="85"/>
      <c r="M85" s="85"/>
      <c r="N85" s="85"/>
      <c r="O85" s="206"/>
      <c r="P85" s="206"/>
      <c r="Q85" s="206"/>
      <c r="R85" s="206"/>
      <c r="S85" s="206"/>
      <c r="T85" s="206"/>
      <c r="U85" s="206"/>
      <c r="V85" s="85"/>
      <c r="W85" s="191"/>
      <c r="X85" s="85"/>
      <c r="Y85" s="207"/>
      <c r="AD85" s="190"/>
      <c r="AE85" s="85"/>
      <c r="AF85" s="191"/>
      <c r="AG85" s="85"/>
      <c r="AH85" s="200"/>
      <c r="AI85" s="85"/>
      <c r="AJ85" s="191"/>
      <c r="AK85" s="85"/>
      <c r="AL85" s="85"/>
      <c r="AM85" s="85"/>
      <c r="AN85" s="85"/>
      <c r="AO85" s="85"/>
      <c r="AP85" s="206"/>
      <c r="AQ85" s="206"/>
      <c r="AR85" s="206"/>
      <c r="AS85" s="206"/>
      <c r="AT85" s="206"/>
      <c r="AU85" s="206"/>
      <c r="AV85" s="206"/>
      <c r="AW85" s="85"/>
      <c r="AX85" s="191"/>
      <c r="AY85" s="85"/>
      <c r="AZ85" s="207"/>
      <c r="BE85" s="196"/>
      <c r="BF85" s="85"/>
      <c r="BG85" s="85"/>
      <c r="BH85" s="85"/>
      <c r="BI85" s="85"/>
      <c r="BJ85" s="85"/>
      <c r="BK85" s="85"/>
      <c r="BL85" s="204"/>
      <c r="BM85" s="85"/>
      <c r="BN85" s="85"/>
      <c r="BO85" s="85"/>
      <c r="BP85" s="85"/>
      <c r="BQ85" s="85"/>
      <c r="BR85" s="85"/>
      <c r="BS85" s="85"/>
      <c r="BT85" s="208"/>
      <c r="BU85" s="208"/>
      <c r="BV85" s="208"/>
      <c r="BW85" s="208"/>
      <c r="BX85" s="208"/>
      <c r="BY85" s="208"/>
      <c r="BZ85" s="208"/>
      <c r="CA85" s="85"/>
      <c r="CB85" s="85"/>
      <c r="CC85" s="85"/>
      <c r="CD85" s="96"/>
    </row>
    <row r="86" customFormat="false" ht="3" hidden="true" customHeight="true" outlineLevel="0" collapsed="false">
      <c r="B86" s="77"/>
      <c r="C86" s="190"/>
      <c r="D86" s="85"/>
      <c r="E86" s="191"/>
      <c r="F86" s="85"/>
      <c r="G86" s="200"/>
      <c r="H86" s="85"/>
      <c r="I86" s="191"/>
      <c r="J86" s="85"/>
      <c r="K86" s="85"/>
      <c r="L86" s="85"/>
      <c r="M86" s="85"/>
      <c r="N86" s="85"/>
      <c r="O86" s="206"/>
      <c r="P86" s="206"/>
      <c r="Q86" s="206"/>
      <c r="R86" s="206"/>
      <c r="S86" s="206"/>
      <c r="T86" s="206"/>
      <c r="U86" s="206"/>
      <c r="V86" s="85"/>
      <c r="W86" s="191"/>
      <c r="X86" s="85"/>
      <c r="Y86" s="207"/>
      <c r="AD86" s="190"/>
      <c r="AE86" s="85"/>
      <c r="AF86" s="191"/>
      <c r="AG86" s="85"/>
      <c r="AH86" s="200"/>
      <c r="AI86" s="85"/>
      <c r="AJ86" s="191"/>
      <c r="AK86" s="85"/>
      <c r="AL86" s="85"/>
      <c r="AM86" s="85"/>
      <c r="AN86" s="85"/>
      <c r="AO86" s="85"/>
      <c r="AP86" s="206"/>
      <c r="AQ86" s="206"/>
      <c r="AR86" s="206"/>
      <c r="AS86" s="206"/>
      <c r="AT86" s="206"/>
      <c r="AU86" s="206"/>
      <c r="AV86" s="206"/>
      <c r="AW86" s="85"/>
      <c r="AX86" s="191"/>
      <c r="AY86" s="85"/>
      <c r="AZ86" s="207"/>
      <c r="BE86" s="196"/>
      <c r="BF86" s="85"/>
      <c r="BG86" s="85"/>
      <c r="BH86" s="85"/>
      <c r="BI86" s="85"/>
      <c r="BJ86" s="85"/>
      <c r="BK86" s="85"/>
      <c r="BL86" s="204"/>
      <c r="BM86" s="85"/>
      <c r="BN86" s="85"/>
      <c r="BO86" s="85"/>
      <c r="BP86" s="85"/>
      <c r="BQ86" s="85"/>
      <c r="BR86" s="85"/>
      <c r="BS86" s="85"/>
      <c r="BT86" s="208"/>
      <c r="BU86" s="208"/>
      <c r="BV86" s="208"/>
      <c r="BW86" s="208"/>
      <c r="BX86" s="208"/>
      <c r="BY86" s="208"/>
      <c r="BZ86" s="208"/>
      <c r="CA86" s="85"/>
      <c r="CB86" s="85"/>
      <c r="CC86" s="85"/>
      <c r="CD86" s="96"/>
    </row>
    <row r="87" customFormat="false" ht="3" hidden="true" customHeight="true" outlineLevel="0" collapsed="false">
      <c r="B87" s="77"/>
      <c r="C87" s="190"/>
      <c r="D87" s="85"/>
      <c r="E87" s="191"/>
      <c r="F87" s="85"/>
      <c r="G87" s="200"/>
      <c r="H87" s="85"/>
      <c r="I87" s="191"/>
      <c r="J87" s="85"/>
      <c r="K87" s="85"/>
      <c r="L87" s="85"/>
      <c r="M87" s="85"/>
      <c r="N87" s="192"/>
      <c r="O87" s="206"/>
      <c r="P87" s="206"/>
      <c r="Q87" s="206"/>
      <c r="R87" s="206"/>
      <c r="S87" s="206"/>
      <c r="T87" s="206"/>
      <c r="U87" s="206"/>
      <c r="V87" s="85"/>
      <c r="W87" s="191"/>
      <c r="X87" s="85"/>
      <c r="Y87" s="207"/>
      <c r="AD87" s="190"/>
      <c r="AE87" s="85"/>
      <c r="AF87" s="191"/>
      <c r="AG87" s="85"/>
      <c r="AH87" s="200"/>
      <c r="AI87" s="85"/>
      <c r="AJ87" s="191"/>
      <c r="AK87" s="85"/>
      <c r="AL87" s="85"/>
      <c r="AM87" s="85"/>
      <c r="AN87" s="85"/>
      <c r="AO87" s="192"/>
      <c r="AP87" s="206"/>
      <c r="AQ87" s="206"/>
      <c r="AR87" s="206"/>
      <c r="AS87" s="206"/>
      <c r="AT87" s="206"/>
      <c r="AU87" s="206"/>
      <c r="AV87" s="206"/>
      <c r="AW87" s="85"/>
      <c r="AX87" s="191"/>
      <c r="AY87" s="85"/>
      <c r="AZ87" s="207"/>
      <c r="BE87" s="196"/>
      <c r="BF87" s="85"/>
      <c r="BG87" s="85"/>
      <c r="BH87" s="85"/>
      <c r="BI87" s="85"/>
      <c r="BJ87" s="85"/>
      <c r="BK87" s="85"/>
      <c r="BL87" s="204"/>
      <c r="BM87" s="85"/>
      <c r="BN87" s="85"/>
      <c r="BO87" s="85"/>
      <c r="BP87" s="85"/>
      <c r="BQ87" s="85"/>
      <c r="BR87" s="85"/>
      <c r="BS87" s="192"/>
      <c r="BT87" s="208"/>
      <c r="BU87" s="208"/>
      <c r="BV87" s="208"/>
      <c r="BW87" s="208"/>
      <c r="BX87" s="208"/>
      <c r="BY87" s="208"/>
      <c r="BZ87" s="208"/>
      <c r="CA87" s="85"/>
      <c r="CB87" s="85"/>
      <c r="CC87" s="85"/>
      <c r="CD87" s="96"/>
    </row>
    <row r="88" customFormat="false" ht="3" hidden="true" customHeight="true" outlineLevel="0" collapsed="false">
      <c r="B88" s="77"/>
      <c r="C88" s="190"/>
      <c r="D88" s="192"/>
      <c r="E88" s="191"/>
      <c r="F88" s="85"/>
      <c r="G88" s="200"/>
      <c r="H88" s="85"/>
      <c r="I88" s="1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198"/>
      <c r="Z88" s="209"/>
      <c r="AD88" s="190"/>
      <c r="AE88" s="192"/>
      <c r="AF88" s="191"/>
      <c r="AG88" s="85"/>
      <c r="AH88" s="200"/>
      <c r="AI88" s="85"/>
      <c r="AJ88" s="191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198"/>
      <c r="BE88" s="196"/>
      <c r="BF88" s="192"/>
      <c r="BG88" s="85"/>
      <c r="BH88" s="85"/>
      <c r="BI88" s="85"/>
      <c r="BJ88" s="85"/>
      <c r="BK88" s="85"/>
      <c r="BL88" s="204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</row>
    <row r="89" customFormat="false" ht="3" hidden="true" customHeight="true" outlineLevel="0" collapsed="false">
      <c r="B89" s="77"/>
      <c r="C89" s="190"/>
      <c r="D89" s="192"/>
      <c r="E89" s="191"/>
      <c r="F89" s="85"/>
      <c r="G89" s="200"/>
      <c r="H89" s="85"/>
      <c r="I89" s="1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198"/>
      <c r="Z89" s="210"/>
      <c r="AD89" s="190"/>
      <c r="AE89" s="192"/>
      <c r="AF89" s="191"/>
      <c r="AG89" s="85"/>
      <c r="AH89" s="200"/>
      <c r="AI89" s="85"/>
      <c r="AJ89" s="191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198"/>
      <c r="BE89" s="196"/>
      <c r="BF89" s="192"/>
      <c r="BG89" s="85"/>
      <c r="BH89" s="85"/>
      <c r="BI89" s="85"/>
      <c r="BJ89" s="85"/>
      <c r="BK89" s="85"/>
      <c r="BL89" s="204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</row>
    <row r="90" customFormat="false" ht="3" hidden="true" customHeight="true" outlineLevel="0" collapsed="false">
      <c r="B90" s="77"/>
      <c r="C90" s="190"/>
      <c r="D90" s="85"/>
      <c r="E90" s="191"/>
      <c r="F90" s="85"/>
      <c r="G90" s="200"/>
      <c r="H90" s="85"/>
      <c r="I90" s="191"/>
      <c r="J90" s="85"/>
      <c r="K90" s="85"/>
      <c r="L90" s="85"/>
      <c r="M90" s="85"/>
      <c r="N90" s="192"/>
      <c r="O90" s="206" t="n">
        <f aca="false">O82</f>
        <v>1</v>
      </c>
      <c r="P90" s="206"/>
      <c r="Q90" s="206"/>
      <c r="R90" s="206"/>
      <c r="S90" s="206"/>
      <c r="T90" s="206"/>
      <c r="U90" s="206"/>
      <c r="V90" s="85"/>
      <c r="W90" s="191" t="s">
        <v>54</v>
      </c>
      <c r="X90" s="194"/>
      <c r="Y90" s="195" t="n">
        <v>1</v>
      </c>
      <c r="AD90" s="190"/>
      <c r="AE90" s="85"/>
      <c r="AF90" s="191"/>
      <c r="AG90" s="85"/>
      <c r="AH90" s="200"/>
      <c r="AI90" s="85"/>
      <c r="AJ90" s="191"/>
      <c r="AK90" s="85"/>
      <c r="AL90" s="85"/>
      <c r="AM90" s="85"/>
      <c r="AN90" s="85"/>
      <c r="AO90" s="192"/>
      <c r="AP90" s="206" t="n">
        <f aca="false">AP82</f>
        <v>1</v>
      </c>
      <c r="AQ90" s="206"/>
      <c r="AR90" s="206"/>
      <c r="AS90" s="206"/>
      <c r="AT90" s="206"/>
      <c r="AU90" s="206"/>
      <c r="AV90" s="206"/>
      <c r="AW90" s="85"/>
      <c r="AX90" s="191" t="s">
        <v>54</v>
      </c>
      <c r="AY90" s="194"/>
      <c r="AZ90" s="195" t="n">
        <v>1</v>
      </c>
      <c r="BE90" s="196"/>
      <c r="BF90" s="85"/>
      <c r="BG90" s="85"/>
      <c r="BH90" s="85"/>
      <c r="BI90" s="85"/>
      <c r="BJ90" s="85"/>
      <c r="BK90" s="85"/>
      <c r="BL90" s="204"/>
      <c r="BM90" s="85"/>
      <c r="BN90" s="85"/>
      <c r="BO90" s="85"/>
      <c r="BP90" s="85"/>
      <c r="BQ90" s="85"/>
      <c r="BR90" s="85"/>
      <c r="BS90" s="192"/>
      <c r="BT90" s="208"/>
      <c r="BU90" s="208"/>
      <c r="BV90" s="208"/>
      <c r="BW90" s="208"/>
      <c r="BX90" s="208"/>
      <c r="BY90" s="208"/>
      <c r="BZ90" s="208"/>
      <c r="CA90" s="85"/>
      <c r="CB90" s="85"/>
      <c r="CC90" s="194"/>
      <c r="CD90" s="85"/>
    </row>
    <row r="91" customFormat="false" ht="3" hidden="true" customHeight="true" outlineLevel="0" collapsed="false">
      <c r="B91" s="77"/>
      <c r="C91" s="190"/>
      <c r="D91" s="85"/>
      <c r="E91" s="191"/>
      <c r="F91" s="85"/>
      <c r="G91" s="200"/>
      <c r="H91" s="85"/>
      <c r="I91" s="191"/>
      <c r="J91" s="85"/>
      <c r="K91" s="85"/>
      <c r="L91" s="85"/>
      <c r="M91" s="85"/>
      <c r="N91" s="192"/>
      <c r="O91" s="206"/>
      <c r="P91" s="206"/>
      <c r="Q91" s="206"/>
      <c r="R91" s="206"/>
      <c r="S91" s="206"/>
      <c r="T91" s="206"/>
      <c r="U91" s="206"/>
      <c r="V91" s="85"/>
      <c r="W91" s="191"/>
      <c r="X91" s="194"/>
      <c r="Y91" s="195"/>
      <c r="AD91" s="190"/>
      <c r="AE91" s="85"/>
      <c r="AF91" s="191"/>
      <c r="AG91" s="85"/>
      <c r="AH91" s="200"/>
      <c r="AI91" s="85"/>
      <c r="AJ91" s="191"/>
      <c r="AK91" s="85"/>
      <c r="AL91" s="85"/>
      <c r="AM91" s="85"/>
      <c r="AN91" s="85"/>
      <c r="AO91" s="192"/>
      <c r="AP91" s="206"/>
      <c r="AQ91" s="206"/>
      <c r="AR91" s="206"/>
      <c r="AS91" s="206"/>
      <c r="AT91" s="206"/>
      <c r="AU91" s="206"/>
      <c r="AV91" s="206"/>
      <c r="AW91" s="85"/>
      <c r="AX91" s="191"/>
      <c r="AY91" s="194"/>
      <c r="AZ91" s="195"/>
      <c r="BE91" s="196"/>
      <c r="BF91" s="85"/>
      <c r="BG91" s="85"/>
      <c r="BH91" s="85"/>
      <c r="BI91" s="85"/>
      <c r="BJ91" s="85"/>
      <c r="BK91" s="85"/>
      <c r="BL91" s="204"/>
      <c r="BM91" s="85"/>
      <c r="BN91" s="85"/>
      <c r="BO91" s="85"/>
      <c r="BP91" s="85"/>
      <c r="BQ91" s="85"/>
      <c r="BR91" s="85"/>
      <c r="BS91" s="192"/>
      <c r="BT91" s="208"/>
      <c r="BU91" s="208"/>
      <c r="BV91" s="208"/>
      <c r="BW91" s="208"/>
      <c r="BX91" s="208"/>
      <c r="BY91" s="208"/>
      <c r="BZ91" s="208"/>
      <c r="CA91" s="85"/>
      <c r="CB91" s="85"/>
      <c r="CC91" s="194"/>
      <c r="CD91" s="85"/>
    </row>
    <row r="92" customFormat="false" ht="3" hidden="true" customHeight="true" outlineLevel="0" collapsed="false">
      <c r="B92" s="77"/>
      <c r="C92" s="190"/>
      <c r="D92" s="85"/>
      <c r="E92" s="191"/>
      <c r="F92" s="85"/>
      <c r="G92" s="200"/>
      <c r="H92" s="85"/>
      <c r="I92" s="191"/>
      <c r="J92" s="85"/>
      <c r="K92" s="85"/>
      <c r="L92" s="85"/>
      <c r="M92" s="85"/>
      <c r="N92" s="192"/>
      <c r="O92" s="206"/>
      <c r="P92" s="206"/>
      <c r="Q92" s="206"/>
      <c r="R92" s="206"/>
      <c r="S92" s="206"/>
      <c r="T92" s="206"/>
      <c r="U92" s="206"/>
      <c r="V92" s="85"/>
      <c r="W92" s="191"/>
      <c r="X92" s="194"/>
      <c r="Y92" s="195"/>
      <c r="AD92" s="190"/>
      <c r="AE92" s="85"/>
      <c r="AF92" s="191"/>
      <c r="AG92" s="85"/>
      <c r="AH92" s="200"/>
      <c r="AI92" s="85"/>
      <c r="AJ92" s="191"/>
      <c r="AK92" s="85"/>
      <c r="AL92" s="85"/>
      <c r="AM92" s="85"/>
      <c r="AN92" s="85"/>
      <c r="AO92" s="192"/>
      <c r="AP92" s="206"/>
      <c r="AQ92" s="206"/>
      <c r="AR92" s="206"/>
      <c r="AS92" s="206"/>
      <c r="AT92" s="206"/>
      <c r="AU92" s="206"/>
      <c r="AV92" s="206"/>
      <c r="AW92" s="85"/>
      <c r="AX92" s="191"/>
      <c r="AY92" s="194"/>
      <c r="AZ92" s="195"/>
      <c r="BE92" s="196"/>
      <c r="BF92" s="85"/>
      <c r="BG92" s="85"/>
      <c r="BH92" s="85"/>
      <c r="BI92" s="85"/>
      <c r="BJ92" s="85"/>
      <c r="BK92" s="85"/>
      <c r="BL92" s="204"/>
      <c r="BM92" s="85"/>
      <c r="BN92" s="85"/>
      <c r="BO92" s="85"/>
      <c r="BP92" s="85"/>
      <c r="BQ92" s="85"/>
      <c r="BR92" s="85"/>
      <c r="BS92" s="192"/>
      <c r="BT92" s="208"/>
      <c r="BU92" s="208"/>
      <c r="BV92" s="208"/>
      <c r="BW92" s="208"/>
      <c r="BX92" s="208"/>
      <c r="BY92" s="208"/>
      <c r="BZ92" s="208"/>
      <c r="CA92" s="85"/>
      <c r="CB92" s="85"/>
      <c r="CC92" s="194"/>
      <c r="CD92" s="85"/>
    </row>
    <row r="93" customFormat="false" ht="3" hidden="true" customHeight="true" outlineLevel="0" collapsed="false">
      <c r="B93" s="77"/>
      <c r="C93" s="190"/>
      <c r="D93" s="85"/>
      <c r="E93" s="191"/>
      <c r="F93" s="85"/>
      <c r="G93" s="200"/>
      <c r="H93" s="85"/>
      <c r="I93" s="191"/>
      <c r="J93" s="85"/>
      <c r="K93" s="85"/>
      <c r="L93" s="85"/>
      <c r="M93" s="85"/>
      <c r="N93" s="85"/>
      <c r="O93" s="206"/>
      <c r="P93" s="206"/>
      <c r="Q93" s="206"/>
      <c r="R93" s="206"/>
      <c r="S93" s="206"/>
      <c r="T93" s="206"/>
      <c r="U93" s="206"/>
      <c r="V93" s="85"/>
      <c r="W93" s="191"/>
      <c r="X93" s="85"/>
      <c r="Y93" s="195"/>
      <c r="AD93" s="190"/>
      <c r="AE93" s="85"/>
      <c r="AF93" s="191"/>
      <c r="AG93" s="85"/>
      <c r="AH93" s="200"/>
      <c r="AI93" s="85"/>
      <c r="AJ93" s="191"/>
      <c r="AK93" s="85"/>
      <c r="AL93" s="85"/>
      <c r="AM93" s="85"/>
      <c r="AN93" s="85"/>
      <c r="AO93" s="85"/>
      <c r="AP93" s="206"/>
      <c r="AQ93" s="206"/>
      <c r="AR93" s="206"/>
      <c r="AS93" s="206"/>
      <c r="AT93" s="206"/>
      <c r="AU93" s="206"/>
      <c r="AV93" s="206"/>
      <c r="AW93" s="85"/>
      <c r="AX93" s="191"/>
      <c r="AY93" s="85"/>
      <c r="AZ93" s="195"/>
      <c r="BE93" s="196"/>
      <c r="BF93" s="85"/>
      <c r="BG93" s="85"/>
      <c r="BH93" s="85"/>
      <c r="BI93" s="85"/>
      <c r="BJ93" s="85"/>
      <c r="BK93" s="85"/>
      <c r="BL93" s="204"/>
      <c r="BM93" s="85"/>
      <c r="BN93" s="85"/>
      <c r="BO93" s="85"/>
      <c r="BP93" s="85"/>
      <c r="BQ93" s="85"/>
      <c r="BR93" s="85"/>
      <c r="BS93" s="85"/>
      <c r="BT93" s="208"/>
      <c r="BU93" s="208"/>
      <c r="BV93" s="208"/>
      <c r="BW93" s="208"/>
      <c r="BX93" s="208"/>
      <c r="BY93" s="208"/>
      <c r="BZ93" s="208"/>
      <c r="CA93" s="85"/>
      <c r="CB93" s="85"/>
      <c r="CC93" s="85"/>
      <c r="CD93" s="85"/>
    </row>
    <row r="94" customFormat="false" ht="3" hidden="true" customHeight="true" outlineLevel="0" collapsed="false">
      <c r="B94" s="77"/>
      <c r="C94" s="190"/>
      <c r="D94" s="85"/>
      <c r="E94" s="191"/>
      <c r="F94" s="85"/>
      <c r="G94" s="200"/>
      <c r="H94" s="85"/>
      <c r="I94" s="191"/>
      <c r="J94" s="85"/>
      <c r="K94" s="85"/>
      <c r="L94" s="85"/>
      <c r="M94" s="85"/>
      <c r="N94" s="85"/>
      <c r="O94" s="206"/>
      <c r="P94" s="206"/>
      <c r="Q94" s="206"/>
      <c r="R94" s="206"/>
      <c r="S94" s="206"/>
      <c r="T94" s="206"/>
      <c r="U94" s="206"/>
      <c r="V94" s="85"/>
      <c r="W94" s="191"/>
      <c r="X94" s="85"/>
      <c r="Y94" s="195"/>
      <c r="AD94" s="190"/>
      <c r="AE94" s="85"/>
      <c r="AF94" s="191"/>
      <c r="AG94" s="85"/>
      <c r="AH94" s="200"/>
      <c r="AI94" s="85"/>
      <c r="AJ94" s="191"/>
      <c r="AK94" s="85"/>
      <c r="AL94" s="85"/>
      <c r="AM94" s="85"/>
      <c r="AN94" s="85"/>
      <c r="AO94" s="85"/>
      <c r="AP94" s="206"/>
      <c r="AQ94" s="206"/>
      <c r="AR94" s="206"/>
      <c r="AS94" s="206"/>
      <c r="AT94" s="206"/>
      <c r="AU94" s="206"/>
      <c r="AV94" s="206"/>
      <c r="AW94" s="85"/>
      <c r="AX94" s="191"/>
      <c r="AY94" s="85"/>
      <c r="AZ94" s="195"/>
      <c r="BE94" s="196"/>
      <c r="BF94" s="85"/>
      <c r="BG94" s="85"/>
      <c r="BH94" s="85"/>
      <c r="BI94" s="85"/>
      <c r="BJ94" s="85"/>
      <c r="BK94" s="85"/>
      <c r="BL94" s="204"/>
      <c r="BM94" s="85"/>
      <c r="BN94" s="85"/>
      <c r="BO94" s="85"/>
      <c r="BP94" s="85"/>
      <c r="BQ94" s="85"/>
      <c r="BR94" s="85"/>
      <c r="BS94" s="85"/>
      <c r="BT94" s="208"/>
      <c r="BU94" s="208"/>
      <c r="BV94" s="208"/>
      <c r="BW94" s="208"/>
      <c r="BX94" s="208"/>
      <c r="BY94" s="208"/>
      <c r="BZ94" s="208"/>
      <c r="CA94" s="85"/>
      <c r="CB94" s="85"/>
      <c r="CC94" s="85"/>
      <c r="CD94" s="85"/>
    </row>
    <row r="95" customFormat="false" ht="3" hidden="true" customHeight="true" outlineLevel="0" collapsed="false">
      <c r="B95" s="77"/>
      <c r="C95" s="190"/>
      <c r="D95" s="85"/>
      <c r="E95" s="191"/>
      <c r="F95" s="85"/>
      <c r="G95" s="200"/>
      <c r="H95" s="85"/>
      <c r="I95" s="191"/>
      <c r="J95" s="85"/>
      <c r="K95" s="85"/>
      <c r="L95" s="85"/>
      <c r="M95" s="85"/>
      <c r="N95" s="192"/>
      <c r="O95" s="206"/>
      <c r="P95" s="206"/>
      <c r="Q95" s="206"/>
      <c r="R95" s="206"/>
      <c r="S95" s="206"/>
      <c r="T95" s="206"/>
      <c r="U95" s="206"/>
      <c r="V95" s="85"/>
      <c r="W95" s="191"/>
      <c r="X95" s="85"/>
      <c r="Y95" s="195"/>
      <c r="AD95" s="190"/>
      <c r="AE95" s="85"/>
      <c r="AF95" s="191"/>
      <c r="AG95" s="85"/>
      <c r="AH95" s="200"/>
      <c r="AI95" s="85"/>
      <c r="AJ95" s="191"/>
      <c r="AK95" s="85"/>
      <c r="AL95" s="85"/>
      <c r="AM95" s="85"/>
      <c r="AN95" s="85"/>
      <c r="AO95" s="192"/>
      <c r="AP95" s="206"/>
      <c r="AQ95" s="206"/>
      <c r="AR95" s="206"/>
      <c r="AS95" s="206"/>
      <c r="AT95" s="206"/>
      <c r="AU95" s="206"/>
      <c r="AV95" s="206"/>
      <c r="AW95" s="85"/>
      <c r="AX95" s="191"/>
      <c r="AY95" s="85"/>
      <c r="AZ95" s="195"/>
      <c r="BE95" s="196"/>
      <c r="BF95" s="85"/>
      <c r="BG95" s="85"/>
      <c r="BH95" s="85"/>
      <c r="BI95" s="85"/>
      <c r="BJ95" s="85"/>
      <c r="BK95" s="85"/>
      <c r="BL95" s="204"/>
      <c r="BM95" s="85"/>
      <c r="BN95" s="85"/>
      <c r="BO95" s="85"/>
      <c r="BP95" s="85"/>
      <c r="BQ95" s="85"/>
      <c r="BR95" s="85"/>
      <c r="BS95" s="192"/>
      <c r="BT95" s="208"/>
      <c r="BU95" s="208"/>
      <c r="BV95" s="208"/>
      <c r="BW95" s="208"/>
      <c r="BX95" s="208"/>
      <c r="BY95" s="208"/>
      <c r="BZ95" s="208"/>
      <c r="CA95" s="85"/>
      <c r="CB95" s="85"/>
      <c r="CC95" s="85"/>
      <c r="CD95" s="85"/>
    </row>
    <row r="96" customFormat="false" ht="3" hidden="true" customHeight="true" outlineLevel="0" collapsed="false">
      <c r="C96" s="190"/>
      <c r="D96" s="85"/>
      <c r="E96" s="191"/>
      <c r="F96" s="85"/>
      <c r="G96" s="200"/>
      <c r="H96" s="85"/>
      <c r="I96" s="1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198"/>
      <c r="AD96" s="190"/>
      <c r="AE96" s="85"/>
      <c r="AF96" s="191"/>
      <c r="AG96" s="85"/>
      <c r="AH96" s="200"/>
      <c r="AI96" s="85"/>
      <c r="AJ96" s="191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198"/>
      <c r="BE96" s="196"/>
      <c r="BF96" s="85"/>
      <c r="BG96" s="85"/>
      <c r="BH96" s="85"/>
      <c r="BI96" s="85"/>
      <c r="BJ96" s="85"/>
      <c r="BK96" s="85"/>
      <c r="BL96" s="204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</row>
    <row r="97" customFormat="false" ht="9" hidden="true" customHeight="true" outlineLevel="0" collapsed="false">
      <c r="C97" s="172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198"/>
      <c r="AD97" s="172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198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</row>
    <row r="98" customFormat="false" ht="3" hidden="true" customHeight="true" outlineLevel="0" collapsed="false">
      <c r="B98" s="77"/>
      <c r="C98" s="190" t="s">
        <v>55</v>
      </c>
      <c r="D98" s="85"/>
      <c r="E98" s="191" t="s">
        <v>47</v>
      </c>
      <c r="F98" s="85"/>
      <c r="G98" s="200" t="n">
        <f aca="false">G82</f>
        <v>0</v>
      </c>
      <c r="H98" s="85"/>
      <c r="I98" s="191" t="s">
        <v>49</v>
      </c>
      <c r="J98" s="85"/>
      <c r="K98" s="85"/>
      <c r="L98" s="85"/>
      <c r="M98" s="85"/>
      <c r="N98" s="192"/>
      <c r="O98" s="206" t="n">
        <f aca="false">O82*Y82</f>
        <v>0</v>
      </c>
      <c r="P98" s="206"/>
      <c r="Q98" s="206"/>
      <c r="R98" s="206"/>
      <c r="S98" s="206"/>
      <c r="T98" s="206"/>
      <c r="U98" s="206"/>
      <c r="V98" s="85"/>
      <c r="W98" s="85"/>
      <c r="X98" s="85"/>
      <c r="Y98" s="198"/>
      <c r="AD98" s="190" t="s">
        <v>55</v>
      </c>
      <c r="AE98" s="85"/>
      <c r="AF98" s="191" t="s">
        <v>47</v>
      </c>
      <c r="AG98" s="85"/>
      <c r="AH98" s="200" t="n">
        <f aca="false">AH82</f>
        <v>0</v>
      </c>
      <c r="AI98" s="85"/>
      <c r="AJ98" s="191" t="s">
        <v>49</v>
      </c>
      <c r="AK98" s="85"/>
      <c r="AL98" s="85"/>
      <c r="AM98" s="85"/>
      <c r="AN98" s="85"/>
      <c r="AO98" s="192"/>
      <c r="AP98" s="206" t="n">
        <f aca="false">AP82*AZ82</f>
        <v>0</v>
      </c>
      <c r="AQ98" s="206"/>
      <c r="AR98" s="206"/>
      <c r="AS98" s="206"/>
      <c r="AT98" s="206"/>
      <c r="AU98" s="206"/>
      <c r="AV98" s="206"/>
      <c r="AW98" s="85"/>
      <c r="AX98" s="85"/>
      <c r="AY98" s="85"/>
      <c r="AZ98" s="198"/>
      <c r="BE98" s="196"/>
      <c r="BF98" s="85"/>
      <c r="BG98" s="85"/>
      <c r="BH98" s="85"/>
      <c r="BI98" s="85"/>
      <c r="BJ98" s="85"/>
      <c r="BK98" s="85"/>
      <c r="BL98" s="204"/>
      <c r="BM98" s="85"/>
      <c r="BN98" s="85"/>
      <c r="BO98" s="85"/>
      <c r="BP98" s="85"/>
      <c r="BQ98" s="85"/>
      <c r="BR98" s="85"/>
      <c r="BS98" s="192"/>
      <c r="BT98" s="208"/>
      <c r="BU98" s="211"/>
      <c r="BV98" s="211"/>
      <c r="BW98" s="211"/>
      <c r="BX98" s="211"/>
      <c r="BY98" s="211"/>
      <c r="BZ98" s="211"/>
      <c r="CA98" s="85"/>
      <c r="CB98" s="85"/>
      <c r="CC98" s="85"/>
      <c r="CD98" s="85"/>
    </row>
    <row r="99" customFormat="false" ht="3" hidden="true" customHeight="true" outlineLevel="0" collapsed="false">
      <c r="B99" s="77"/>
      <c r="C99" s="190"/>
      <c r="D99" s="85"/>
      <c r="E99" s="191"/>
      <c r="F99" s="85"/>
      <c r="G99" s="200"/>
      <c r="H99" s="85"/>
      <c r="I99" s="191"/>
      <c r="J99" s="85"/>
      <c r="K99" s="85"/>
      <c r="L99" s="85"/>
      <c r="M99" s="85"/>
      <c r="N99" s="192"/>
      <c r="O99" s="206"/>
      <c r="P99" s="206"/>
      <c r="Q99" s="206"/>
      <c r="R99" s="206"/>
      <c r="S99" s="206"/>
      <c r="T99" s="206"/>
      <c r="U99" s="206"/>
      <c r="V99" s="106"/>
      <c r="W99" s="106"/>
      <c r="X99" s="106"/>
      <c r="Y99" s="212"/>
      <c r="Z99" s="213"/>
      <c r="AA99" s="213"/>
      <c r="AD99" s="190"/>
      <c r="AE99" s="85"/>
      <c r="AF99" s="191"/>
      <c r="AG99" s="85"/>
      <c r="AH99" s="200"/>
      <c r="AI99" s="85"/>
      <c r="AJ99" s="191"/>
      <c r="AK99" s="85"/>
      <c r="AL99" s="85"/>
      <c r="AM99" s="85"/>
      <c r="AN99" s="85"/>
      <c r="AO99" s="192"/>
      <c r="AP99" s="206"/>
      <c r="AQ99" s="206"/>
      <c r="AR99" s="206"/>
      <c r="AS99" s="206"/>
      <c r="AT99" s="206"/>
      <c r="AU99" s="206"/>
      <c r="AV99" s="206"/>
      <c r="AW99" s="106"/>
      <c r="AX99" s="106"/>
      <c r="AY99" s="106"/>
      <c r="AZ99" s="212"/>
      <c r="BE99" s="196"/>
      <c r="BF99" s="85"/>
      <c r="BG99" s="85"/>
      <c r="BH99" s="85"/>
      <c r="BI99" s="85"/>
      <c r="BJ99" s="85"/>
      <c r="BK99" s="85"/>
      <c r="BL99" s="204"/>
      <c r="BM99" s="85"/>
      <c r="BN99" s="85"/>
      <c r="BO99" s="85"/>
      <c r="BP99" s="85"/>
      <c r="BQ99" s="85"/>
      <c r="BR99" s="85"/>
      <c r="BS99" s="192"/>
      <c r="BT99" s="211"/>
      <c r="BU99" s="211"/>
      <c r="BV99" s="211"/>
      <c r="BW99" s="211"/>
      <c r="BX99" s="211"/>
      <c r="BY99" s="211"/>
      <c r="BZ99" s="211"/>
      <c r="CA99" s="106"/>
      <c r="CB99" s="106"/>
      <c r="CC99" s="106"/>
      <c r="CD99" s="106"/>
    </row>
    <row r="100" customFormat="false" ht="3" hidden="true" customHeight="true" outlineLevel="0" collapsed="false">
      <c r="B100" s="77"/>
      <c r="C100" s="190"/>
      <c r="D100" s="85"/>
      <c r="E100" s="191"/>
      <c r="F100" s="85"/>
      <c r="G100" s="200"/>
      <c r="H100" s="85"/>
      <c r="I100" s="191"/>
      <c r="J100" s="85"/>
      <c r="K100" s="85"/>
      <c r="L100" s="85"/>
      <c r="M100" s="85"/>
      <c r="N100" s="192"/>
      <c r="O100" s="206"/>
      <c r="P100" s="206"/>
      <c r="Q100" s="206"/>
      <c r="R100" s="206"/>
      <c r="S100" s="206"/>
      <c r="T100" s="206"/>
      <c r="U100" s="206"/>
      <c r="V100" s="106"/>
      <c r="W100" s="106"/>
      <c r="X100" s="106"/>
      <c r="Y100" s="212"/>
      <c r="Z100" s="213"/>
      <c r="AA100" s="213"/>
      <c r="AD100" s="190"/>
      <c r="AE100" s="85"/>
      <c r="AF100" s="191"/>
      <c r="AG100" s="85"/>
      <c r="AH100" s="200"/>
      <c r="AI100" s="85"/>
      <c r="AJ100" s="191"/>
      <c r="AK100" s="85"/>
      <c r="AL100" s="85"/>
      <c r="AM100" s="85"/>
      <c r="AN100" s="85"/>
      <c r="AO100" s="192"/>
      <c r="AP100" s="206"/>
      <c r="AQ100" s="206"/>
      <c r="AR100" s="206"/>
      <c r="AS100" s="206"/>
      <c r="AT100" s="206"/>
      <c r="AU100" s="206"/>
      <c r="AV100" s="206"/>
      <c r="AW100" s="106"/>
      <c r="AX100" s="106"/>
      <c r="AY100" s="106"/>
      <c r="AZ100" s="212"/>
      <c r="BE100" s="196"/>
      <c r="BF100" s="85"/>
      <c r="BG100" s="85"/>
      <c r="BH100" s="85"/>
      <c r="BI100" s="85"/>
      <c r="BJ100" s="85"/>
      <c r="BK100" s="85"/>
      <c r="BL100" s="204"/>
      <c r="BM100" s="85"/>
      <c r="BN100" s="85"/>
      <c r="BO100" s="85"/>
      <c r="BP100" s="85"/>
      <c r="BQ100" s="85"/>
      <c r="BR100" s="85"/>
      <c r="BS100" s="192"/>
      <c r="BT100" s="211"/>
      <c r="BU100" s="211"/>
      <c r="BV100" s="211"/>
      <c r="BW100" s="211"/>
      <c r="BX100" s="211"/>
      <c r="BY100" s="211"/>
      <c r="BZ100" s="211"/>
      <c r="CA100" s="106"/>
      <c r="CB100" s="106"/>
      <c r="CC100" s="106"/>
      <c r="CD100" s="106"/>
    </row>
    <row r="101" customFormat="false" ht="3" hidden="true" customHeight="true" outlineLevel="0" collapsed="false">
      <c r="B101" s="77"/>
      <c r="C101" s="190"/>
      <c r="D101" s="85"/>
      <c r="E101" s="191"/>
      <c r="F101" s="85"/>
      <c r="G101" s="200"/>
      <c r="H101" s="85"/>
      <c r="I101" s="191"/>
      <c r="J101" s="85"/>
      <c r="K101" s="85"/>
      <c r="L101" s="85"/>
      <c r="M101" s="85"/>
      <c r="N101" s="85"/>
      <c r="O101" s="206"/>
      <c r="P101" s="206"/>
      <c r="Q101" s="206"/>
      <c r="R101" s="206"/>
      <c r="S101" s="206"/>
      <c r="T101" s="206"/>
      <c r="U101" s="206"/>
      <c r="V101" s="106"/>
      <c r="W101" s="106"/>
      <c r="X101" s="106"/>
      <c r="Y101" s="212"/>
      <c r="Z101" s="213"/>
      <c r="AA101" s="213"/>
      <c r="AD101" s="190"/>
      <c r="AE101" s="85"/>
      <c r="AF101" s="191"/>
      <c r="AG101" s="85"/>
      <c r="AH101" s="200"/>
      <c r="AI101" s="85"/>
      <c r="AJ101" s="191"/>
      <c r="AK101" s="85"/>
      <c r="AL101" s="85"/>
      <c r="AM101" s="85"/>
      <c r="AN101" s="85"/>
      <c r="AO101" s="85"/>
      <c r="AP101" s="206"/>
      <c r="AQ101" s="206"/>
      <c r="AR101" s="206"/>
      <c r="AS101" s="206"/>
      <c r="AT101" s="206"/>
      <c r="AU101" s="206"/>
      <c r="AV101" s="206"/>
      <c r="AW101" s="106"/>
      <c r="AX101" s="106"/>
      <c r="AY101" s="106"/>
      <c r="AZ101" s="212"/>
      <c r="BE101" s="196"/>
      <c r="BF101" s="85"/>
      <c r="BG101" s="85"/>
      <c r="BH101" s="85"/>
      <c r="BI101" s="85"/>
      <c r="BJ101" s="85"/>
      <c r="BK101" s="85"/>
      <c r="BL101" s="204"/>
      <c r="BM101" s="85"/>
      <c r="BN101" s="85"/>
      <c r="BO101" s="85"/>
      <c r="BP101" s="85"/>
      <c r="BQ101" s="85"/>
      <c r="BR101" s="85"/>
      <c r="BS101" s="85"/>
      <c r="BT101" s="211"/>
      <c r="BU101" s="211"/>
      <c r="BV101" s="211"/>
      <c r="BW101" s="211"/>
      <c r="BX101" s="211"/>
      <c r="BY101" s="211"/>
      <c r="BZ101" s="211"/>
      <c r="CA101" s="106"/>
      <c r="CB101" s="106"/>
      <c r="CC101" s="106"/>
      <c r="CD101" s="106"/>
    </row>
    <row r="102" customFormat="false" ht="3" hidden="true" customHeight="true" outlineLevel="0" collapsed="false">
      <c r="B102" s="77"/>
      <c r="C102" s="190"/>
      <c r="D102" s="85"/>
      <c r="E102" s="191"/>
      <c r="F102" s="85"/>
      <c r="G102" s="200"/>
      <c r="H102" s="85"/>
      <c r="I102" s="191"/>
      <c r="J102" s="85"/>
      <c r="K102" s="85"/>
      <c r="L102" s="85"/>
      <c r="M102" s="85"/>
      <c r="N102" s="85"/>
      <c r="O102" s="206"/>
      <c r="P102" s="206"/>
      <c r="Q102" s="206"/>
      <c r="R102" s="206"/>
      <c r="S102" s="206"/>
      <c r="T102" s="206"/>
      <c r="U102" s="206"/>
      <c r="V102" s="106"/>
      <c r="W102" s="106"/>
      <c r="X102" s="106"/>
      <c r="Y102" s="212"/>
      <c r="Z102" s="213"/>
      <c r="AA102" s="213"/>
      <c r="AD102" s="190"/>
      <c r="AE102" s="85"/>
      <c r="AF102" s="191"/>
      <c r="AG102" s="85"/>
      <c r="AH102" s="200"/>
      <c r="AI102" s="85"/>
      <c r="AJ102" s="191"/>
      <c r="AK102" s="85"/>
      <c r="AL102" s="85"/>
      <c r="AM102" s="85"/>
      <c r="AN102" s="85"/>
      <c r="AO102" s="85"/>
      <c r="AP102" s="206"/>
      <c r="AQ102" s="206"/>
      <c r="AR102" s="206"/>
      <c r="AS102" s="206"/>
      <c r="AT102" s="206"/>
      <c r="AU102" s="206"/>
      <c r="AV102" s="206"/>
      <c r="AW102" s="106"/>
      <c r="AX102" s="106"/>
      <c r="AY102" s="106"/>
      <c r="AZ102" s="212"/>
      <c r="BE102" s="196"/>
      <c r="BF102" s="85"/>
      <c r="BG102" s="85"/>
      <c r="BH102" s="85"/>
      <c r="BI102" s="85"/>
      <c r="BJ102" s="85"/>
      <c r="BK102" s="85"/>
      <c r="BL102" s="204"/>
      <c r="BM102" s="85"/>
      <c r="BN102" s="85"/>
      <c r="BO102" s="85"/>
      <c r="BP102" s="85"/>
      <c r="BQ102" s="85"/>
      <c r="BR102" s="85"/>
      <c r="BS102" s="85"/>
      <c r="BT102" s="211"/>
      <c r="BU102" s="211"/>
      <c r="BV102" s="211"/>
      <c r="BW102" s="211"/>
      <c r="BX102" s="211"/>
      <c r="BY102" s="211"/>
      <c r="BZ102" s="211"/>
      <c r="CA102" s="106"/>
      <c r="CB102" s="106"/>
      <c r="CC102" s="106"/>
      <c r="CD102" s="106"/>
    </row>
    <row r="103" customFormat="false" ht="3" hidden="true" customHeight="true" outlineLevel="0" collapsed="false">
      <c r="B103" s="77"/>
      <c r="C103" s="190"/>
      <c r="D103" s="85"/>
      <c r="E103" s="191"/>
      <c r="F103" s="85"/>
      <c r="G103" s="200"/>
      <c r="H103" s="85"/>
      <c r="I103" s="191"/>
      <c r="J103" s="85"/>
      <c r="K103" s="85"/>
      <c r="L103" s="85"/>
      <c r="M103" s="85"/>
      <c r="N103" s="192"/>
      <c r="O103" s="206"/>
      <c r="P103" s="206"/>
      <c r="Q103" s="206"/>
      <c r="R103" s="206"/>
      <c r="S103" s="206"/>
      <c r="T103" s="206"/>
      <c r="U103" s="206"/>
      <c r="V103" s="106"/>
      <c r="W103" s="106"/>
      <c r="X103" s="106"/>
      <c r="Y103" s="212"/>
      <c r="Z103" s="213"/>
      <c r="AA103" s="213"/>
      <c r="AD103" s="190"/>
      <c r="AE103" s="85"/>
      <c r="AF103" s="191"/>
      <c r="AG103" s="85"/>
      <c r="AH103" s="200"/>
      <c r="AI103" s="85"/>
      <c r="AJ103" s="191"/>
      <c r="AK103" s="85"/>
      <c r="AL103" s="85"/>
      <c r="AM103" s="85"/>
      <c r="AN103" s="85"/>
      <c r="AO103" s="192"/>
      <c r="AP103" s="206"/>
      <c r="AQ103" s="206"/>
      <c r="AR103" s="206"/>
      <c r="AS103" s="206"/>
      <c r="AT103" s="206"/>
      <c r="AU103" s="206"/>
      <c r="AV103" s="206"/>
      <c r="AW103" s="106"/>
      <c r="AX103" s="106"/>
      <c r="AY103" s="106"/>
      <c r="AZ103" s="212"/>
      <c r="BE103" s="196"/>
      <c r="BF103" s="85"/>
      <c r="BG103" s="85"/>
      <c r="BH103" s="85"/>
      <c r="BI103" s="85"/>
      <c r="BJ103" s="85"/>
      <c r="BK103" s="85"/>
      <c r="BL103" s="204"/>
      <c r="BM103" s="85"/>
      <c r="BN103" s="85"/>
      <c r="BO103" s="85"/>
      <c r="BP103" s="85"/>
      <c r="BQ103" s="85"/>
      <c r="BR103" s="85"/>
      <c r="BS103" s="192"/>
      <c r="BT103" s="211"/>
      <c r="BU103" s="211"/>
      <c r="BV103" s="211"/>
      <c r="BW103" s="211"/>
      <c r="BX103" s="211"/>
      <c r="BY103" s="211"/>
      <c r="BZ103" s="211"/>
      <c r="CA103" s="106"/>
      <c r="CB103" s="106"/>
      <c r="CC103" s="106"/>
      <c r="CD103" s="106"/>
    </row>
    <row r="104" customFormat="false" ht="3" hidden="true" customHeight="true" outlineLevel="0" collapsed="false">
      <c r="B104" s="77"/>
      <c r="C104" s="190"/>
      <c r="D104" s="192"/>
      <c r="E104" s="191"/>
      <c r="F104" s="85"/>
      <c r="G104" s="200"/>
      <c r="H104" s="85"/>
      <c r="I104" s="1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106"/>
      <c r="W104" s="106"/>
      <c r="X104" s="106"/>
      <c r="Y104" s="212"/>
      <c r="Z104" s="213"/>
      <c r="AA104" s="213"/>
      <c r="AD104" s="190"/>
      <c r="AE104" s="192"/>
      <c r="AF104" s="191"/>
      <c r="AG104" s="85"/>
      <c r="AH104" s="200"/>
      <c r="AI104" s="85"/>
      <c r="AJ104" s="191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106"/>
      <c r="AX104" s="106"/>
      <c r="AY104" s="106"/>
      <c r="AZ104" s="212"/>
      <c r="BE104" s="196"/>
      <c r="BF104" s="192"/>
      <c r="BG104" s="85"/>
      <c r="BH104" s="85"/>
      <c r="BI104" s="85"/>
      <c r="BJ104" s="85"/>
      <c r="BK104" s="85"/>
      <c r="BL104" s="204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106"/>
      <c r="CB104" s="106"/>
      <c r="CC104" s="106"/>
      <c r="CD104" s="106"/>
    </row>
    <row r="105" customFormat="false" ht="3" hidden="true" customHeight="true" outlineLevel="0" collapsed="false">
      <c r="B105" s="77"/>
      <c r="C105" s="190"/>
      <c r="D105" s="192"/>
      <c r="E105" s="191"/>
      <c r="F105" s="85"/>
      <c r="G105" s="200"/>
      <c r="H105" s="85"/>
      <c r="I105" s="1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106"/>
      <c r="W105" s="106"/>
      <c r="X105" s="106"/>
      <c r="Y105" s="212"/>
      <c r="Z105" s="213"/>
      <c r="AA105" s="213"/>
      <c r="AD105" s="190"/>
      <c r="AE105" s="192"/>
      <c r="AF105" s="191"/>
      <c r="AG105" s="85"/>
      <c r="AH105" s="200"/>
      <c r="AI105" s="85"/>
      <c r="AJ105" s="191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106"/>
      <c r="AX105" s="106"/>
      <c r="AY105" s="106"/>
      <c r="AZ105" s="212"/>
      <c r="BE105" s="196"/>
      <c r="BF105" s="192"/>
      <c r="BG105" s="85"/>
      <c r="BH105" s="85"/>
      <c r="BI105" s="85"/>
      <c r="BJ105" s="85"/>
      <c r="BK105" s="85"/>
      <c r="BL105" s="204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106"/>
      <c r="CB105" s="106"/>
      <c r="CC105" s="106"/>
      <c r="CD105" s="106"/>
    </row>
    <row r="106" customFormat="false" ht="3" hidden="true" customHeight="true" outlineLevel="0" collapsed="false">
      <c r="B106" s="77"/>
      <c r="C106" s="190"/>
      <c r="D106" s="85"/>
      <c r="E106" s="191"/>
      <c r="F106" s="85"/>
      <c r="G106" s="200"/>
      <c r="H106" s="85"/>
      <c r="I106" s="191"/>
      <c r="J106" s="85"/>
      <c r="K106" s="85"/>
      <c r="L106" s="85"/>
      <c r="M106" s="85"/>
      <c r="N106" s="192"/>
      <c r="O106" s="206" t="n">
        <f aca="false">O90-Y90</f>
        <v>0</v>
      </c>
      <c r="P106" s="206"/>
      <c r="Q106" s="206"/>
      <c r="R106" s="206"/>
      <c r="S106" s="206"/>
      <c r="T106" s="206"/>
      <c r="U106" s="206"/>
      <c r="V106" s="106"/>
      <c r="W106" s="106"/>
      <c r="X106" s="106"/>
      <c r="Y106" s="212"/>
      <c r="Z106" s="213"/>
      <c r="AA106" s="213"/>
      <c r="AD106" s="190"/>
      <c r="AE106" s="85"/>
      <c r="AF106" s="191"/>
      <c r="AG106" s="85"/>
      <c r="AH106" s="200"/>
      <c r="AI106" s="85"/>
      <c r="AJ106" s="191"/>
      <c r="AK106" s="85"/>
      <c r="AL106" s="85"/>
      <c r="AM106" s="85"/>
      <c r="AN106" s="85"/>
      <c r="AO106" s="192"/>
      <c r="AP106" s="206" t="n">
        <f aca="false">AP90-AZ90</f>
        <v>0</v>
      </c>
      <c r="AQ106" s="206"/>
      <c r="AR106" s="206"/>
      <c r="AS106" s="206"/>
      <c r="AT106" s="206"/>
      <c r="AU106" s="206"/>
      <c r="AV106" s="206"/>
      <c r="AW106" s="106"/>
      <c r="AX106" s="106"/>
      <c r="AY106" s="106"/>
      <c r="AZ106" s="212"/>
      <c r="BE106" s="196"/>
      <c r="BF106" s="85"/>
      <c r="BG106" s="85"/>
      <c r="BH106" s="85"/>
      <c r="BI106" s="85"/>
      <c r="BJ106" s="85"/>
      <c r="BK106" s="85"/>
      <c r="BL106" s="204"/>
      <c r="BM106" s="85"/>
      <c r="BN106" s="85"/>
      <c r="BO106" s="85"/>
      <c r="BP106" s="85"/>
      <c r="BQ106" s="85"/>
      <c r="BR106" s="85"/>
      <c r="BS106" s="192"/>
      <c r="BT106" s="208"/>
      <c r="BU106" s="211"/>
      <c r="BV106" s="211"/>
      <c r="BW106" s="211"/>
      <c r="BX106" s="211"/>
      <c r="BY106" s="211"/>
      <c r="BZ106" s="211"/>
      <c r="CA106" s="106"/>
      <c r="CB106" s="106"/>
      <c r="CC106" s="106"/>
      <c r="CD106" s="106"/>
    </row>
    <row r="107" customFormat="false" ht="3" hidden="true" customHeight="true" outlineLevel="0" collapsed="false">
      <c r="B107" s="77"/>
      <c r="C107" s="190"/>
      <c r="D107" s="85"/>
      <c r="E107" s="191"/>
      <c r="F107" s="85"/>
      <c r="G107" s="200"/>
      <c r="H107" s="85"/>
      <c r="I107" s="191"/>
      <c r="J107" s="85"/>
      <c r="K107" s="85"/>
      <c r="L107" s="85"/>
      <c r="M107" s="85"/>
      <c r="N107" s="192"/>
      <c r="O107" s="206"/>
      <c r="P107" s="206"/>
      <c r="Q107" s="206"/>
      <c r="R107" s="206"/>
      <c r="S107" s="206"/>
      <c r="T107" s="206"/>
      <c r="U107" s="206"/>
      <c r="V107" s="106"/>
      <c r="W107" s="106"/>
      <c r="X107" s="106"/>
      <c r="Y107" s="212"/>
      <c r="Z107" s="213"/>
      <c r="AA107" s="213"/>
      <c r="AD107" s="190"/>
      <c r="AE107" s="85"/>
      <c r="AF107" s="191"/>
      <c r="AG107" s="85"/>
      <c r="AH107" s="200"/>
      <c r="AI107" s="85"/>
      <c r="AJ107" s="191"/>
      <c r="AK107" s="85"/>
      <c r="AL107" s="85"/>
      <c r="AM107" s="85"/>
      <c r="AN107" s="85"/>
      <c r="AO107" s="192"/>
      <c r="AP107" s="206"/>
      <c r="AQ107" s="206"/>
      <c r="AR107" s="206"/>
      <c r="AS107" s="206"/>
      <c r="AT107" s="206"/>
      <c r="AU107" s="206"/>
      <c r="AV107" s="206"/>
      <c r="AW107" s="106"/>
      <c r="AX107" s="106"/>
      <c r="AY107" s="106"/>
      <c r="AZ107" s="212"/>
      <c r="BE107" s="196"/>
      <c r="BF107" s="85"/>
      <c r="BG107" s="85"/>
      <c r="BH107" s="85"/>
      <c r="BI107" s="85"/>
      <c r="BJ107" s="85"/>
      <c r="BK107" s="85"/>
      <c r="BL107" s="204"/>
      <c r="BM107" s="85"/>
      <c r="BN107" s="85"/>
      <c r="BO107" s="85"/>
      <c r="BP107" s="85"/>
      <c r="BQ107" s="85"/>
      <c r="BR107" s="85"/>
      <c r="BS107" s="192"/>
      <c r="BT107" s="211"/>
      <c r="BU107" s="211"/>
      <c r="BV107" s="211"/>
      <c r="BW107" s="211"/>
      <c r="BX107" s="211"/>
      <c r="BY107" s="211"/>
      <c r="BZ107" s="211"/>
      <c r="CA107" s="106"/>
      <c r="CB107" s="106"/>
      <c r="CC107" s="106"/>
      <c r="CD107" s="106"/>
    </row>
    <row r="108" customFormat="false" ht="3" hidden="true" customHeight="true" outlineLevel="0" collapsed="false">
      <c r="B108" s="77"/>
      <c r="C108" s="190"/>
      <c r="D108" s="85"/>
      <c r="E108" s="191"/>
      <c r="F108" s="85"/>
      <c r="G108" s="200"/>
      <c r="H108" s="85"/>
      <c r="I108" s="191"/>
      <c r="J108" s="85"/>
      <c r="K108" s="85"/>
      <c r="L108" s="85"/>
      <c r="M108" s="85"/>
      <c r="N108" s="192"/>
      <c r="O108" s="206"/>
      <c r="P108" s="206"/>
      <c r="Q108" s="206"/>
      <c r="R108" s="206"/>
      <c r="S108" s="206"/>
      <c r="T108" s="206"/>
      <c r="U108" s="206"/>
      <c r="V108" s="106"/>
      <c r="W108" s="106"/>
      <c r="X108" s="106"/>
      <c r="Y108" s="212"/>
      <c r="Z108" s="213"/>
      <c r="AA108" s="213"/>
      <c r="AD108" s="190"/>
      <c r="AE108" s="85"/>
      <c r="AF108" s="191"/>
      <c r="AG108" s="85"/>
      <c r="AH108" s="200"/>
      <c r="AI108" s="85"/>
      <c r="AJ108" s="191"/>
      <c r="AK108" s="85"/>
      <c r="AL108" s="85"/>
      <c r="AM108" s="85"/>
      <c r="AN108" s="85"/>
      <c r="AO108" s="192"/>
      <c r="AP108" s="206"/>
      <c r="AQ108" s="206"/>
      <c r="AR108" s="206"/>
      <c r="AS108" s="206"/>
      <c r="AT108" s="206"/>
      <c r="AU108" s="206"/>
      <c r="AV108" s="206"/>
      <c r="AW108" s="106"/>
      <c r="AX108" s="106"/>
      <c r="AY108" s="106"/>
      <c r="AZ108" s="212"/>
      <c r="BE108" s="196"/>
      <c r="BF108" s="85"/>
      <c r="BG108" s="85"/>
      <c r="BH108" s="85"/>
      <c r="BI108" s="85"/>
      <c r="BJ108" s="85"/>
      <c r="BK108" s="85"/>
      <c r="BL108" s="204"/>
      <c r="BM108" s="85"/>
      <c r="BN108" s="85"/>
      <c r="BO108" s="85"/>
      <c r="BP108" s="85"/>
      <c r="BQ108" s="85"/>
      <c r="BR108" s="85"/>
      <c r="BS108" s="192"/>
      <c r="BT108" s="211"/>
      <c r="BU108" s="211"/>
      <c r="BV108" s="211"/>
      <c r="BW108" s="211"/>
      <c r="BX108" s="211"/>
      <c r="BY108" s="211"/>
      <c r="BZ108" s="211"/>
      <c r="CA108" s="106"/>
      <c r="CB108" s="106"/>
      <c r="CC108" s="106"/>
      <c r="CD108" s="106"/>
    </row>
    <row r="109" customFormat="false" ht="3" hidden="true" customHeight="true" outlineLevel="0" collapsed="false">
      <c r="B109" s="77"/>
      <c r="C109" s="190"/>
      <c r="D109" s="85"/>
      <c r="E109" s="191"/>
      <c r="F109" s="85"/>
      <c r="G109" s="200"/>
      <c r="H109" s="85"/>
      <c r="I109" s="191"/>
      <c r="J109" s="85"/>
      <c r="K109" s="85"/>
      <c r="L109" s="85"/>
      <c r="M109" s="85"/>
      <c r="N109" s="85"/>
      <c r="O109" s="206"/>
      <c r="P109" s="206"/>
      <c r="Q109" s="206"/>
      <c r="R109" s="206"/>
      <c r="S109" s="206"/>
      <c r="T109" s="206"/>
      <c r="U109" s="206"/>
      <c r="V109" s="106"/>
      <c r="W109" s="106"/>
      <c r="X109" s="106"/>
      <c r="Y109" s="212"/>
      <c r="Z109" s="213"/>
      <c r="AA109" s="213"/>
      <c r="AD109" s="190"/>
      <c r="AE109" s="85"/>
      <c r="AF109" s="191"/>
      <c r="AG109" s="85"/>
      <c r="AH109" s="200"/>
      <c r="AI109" s="85"/>
      <c r="AJ109" s="191"/>
      <c r="AK109" s="85"/>
      <c r="AL109" s="85"/>
      <c r="AM109" s="85"/>
      <c r="AN109" s="85"/>
      <c r="AO109" s="85"/>
      <c r="AP109" s="206"/>
      <c r="AQ109" s="206"/>
      <c r="AR109" s="206"/>
      <c r="AS109" s="206"/>
      <c r="AT109" s="206"/>
      <c r="AU109" s="206"/>
      <c r="AV109" s="206"/>
      <c r="AW109" s="106"/>
      <c r="AX109" s="106"/>
      <c r="AY109" s="106"/>
      <c r="AZ109" s="212"/>
      <c r="BE109" s="196"/>
      <c r="BF109" s="85"/>
      <c r="BG109" s="85"/>
      <c r="BH109" s="85"/>
      <c r="BI109" s="85"/>
      <c r="BJ109" s="85"/>
      <c r="BK109" s="85"/>
      <c r="BL109" s="204"/>
      <c r="BM109" s="85"/>
      <c r="BN109" s="85"/>
      <c r="BO109" s="85"/>
      <c r="BP109" s="85"/>
      <c r="BQ109" s="85"/>
      <c r="BR109" s="85"/>
      <c r="BS109" s="85"/>
      <c r="BT109" s="211"/>
      <c r="BU109" s="211"/>
      <c r="BV109" s="211"/>
      <c r="BW109" s="211"/>
      <c r="BX109" s="211"/>
      <c r="BY109" s="211"/>
      <c r="BZ109" s="211"/>
      <c r="CA109" s="106"/>
      <c r="CB109" s="106"/>
      <c r="CC109" s="106"/>
      <c r="CD109" s="106"/>
    </row>
    <row r="110" customFormat="false" ht="3" hidden="true" customHeight="true" outlineLevel="0" collapsed="false">
      <c r="B110" s="77"/>
      <c r="C110" s="190"/>
      <c r="D110" s="85"/>
      <c r="E110" s="191"/>
      <c r="F110" s="85"/>
      <c r="G110" s="200"/>
      <c r="H110" s="85"/>
      <c r="I110" s="191"/>
      <c r="J110" s="85"/>
      <c r="K110" s="85"/>
      <c r="L110" s="85"/>
      <c r="M110" s="85"/>
      <c r="N110" s="85"/>
      <c r="O110" s="206"/>
      <c r="P110" s="206"/>
      <c r="Q110" s="206"/>
      <c r="R110" s="206"/>
      <c r="S110" s="206"/>
      <c r="T110" s="206"/>
      <c r="U110" s="206"/>
      <c r="V110" s="106"/>
      <c r="W110" s="106"/>
      <c r="X110" s="106"/>
      <c r="Y110" s="212"/>
      <c r="Z110" s="213"/>
      <c r="AA110" s="213"/>
      <c r="AD110" s="190"/>
      <c r="AE110" s="85"/>
      <c r="AF110" s="191"/>
      <c r="AG110" s="85"/>
      <c r="AH110" s="200"/>
      <c r="AI110" s="85"/>
      <c r="AJ110" s="191"/>
      <c r="AK110" s="85"/>
      <c r="AL110" s="85"/>
      <c r="AM110" s="85"/>
      <c r="AN110" s="85"/>
      <c r="AO110" s="85"/>
      <c r="AP110" s="206"/>
      <c r="AQ110" s="206"/>
      <c r="AR110" s="206"/>
      <c r="AS110" s="206"/>
      <c r="AT110" s="206"/>
      <c r="AU110" s="206"/>
      <c r="AV110" s="206"/>
      <c r="AW110" s="106"/>
      <c r="AX110" s="106"/>
      <c r="AY110" s="106"/>
      <c r="AZ110" s="212"/>
      <c r="BE110" s="196"/>
      <c r="BF110" s="85"/>
      <c r="BG110" s="85"/>
      <c r="BH110" s="85"/>
      <c r="BI110" s="85"/>
      <c r="BJ110" s="85"/>
      <c r="BK110" s="85"/>
      <c r="BL110" s="204"/>
      <c r="BM110" s="85"/>
      <c r="BN110" s="85"/>
      <c r="BO110" s="85"/>
      <c r="BP110" s="85"/>
      <c r="BQ110" s="85"/>
      <c r="BR110" s="85"/>
      <c r="BS110" s="85"/>
      <c r="BT110" s="211"/>
      <c r="BU110" s="211"/>
      <c r="BV110" s="211"/>
      <c r="BW110" s="211"/>
      <c r="BX110" s="211"/>
      <c r="BY110" s="211"/>
      <c r="BZ110" s="211"/>
      <c r="CA110" s="106"/>
      <c r="CB110" s="106"/>
      <c r="CC110" s="106"/>
      <c r="CD110" s="106"/>
    </row>
    <row r="111" customFormat="false" ht="3" hidden="true" customHeight="true" outlineLevel="0" collapsed="false">
      <c r="B111" s="77"/>
      <c r="C111" s="190"/>
      <c r="D111" s="85"/>
      <c r="E111" s="191"/>
      <c r="F111" s="85"/>
      <c r="G111" s="200"/>
      <c r="H111" s="85"/>
      <c r="I111" s="191"/>
      <c r="J111" s="85"/>
      <c r="K111" s="85"/>
      <c r="L111" s="85"/>
      <c r="M111" s="85"/>
      <c r="N111" s="192"/>
      <c r="O111" s="206"/>
      <c r="P111" s="206"/>
      <c r="Q111" s="206"/>
      <c r="R111" s="206"/>
      <c r="S111" s="206"/>
      <c r="T111" s="206"/>
      <c r="U111" s="206"/>
      <c r="V111" s="85"/>
      <c r="W111" s="85"/>
      <c r="X111" s="85"/>
      <c r="Y111" s="198"/>
      <c r="AD111" s="190"/>
      <c r="AE111" s="85"/>
      <c r="AF111" s="191"/>
      <c r="AG111" s="85"/>
      <c r="AH111" s="200"/>
      <c r="AI111" s="85"/>
      <c r="AJ111" s="191"/>
      <c r="AK111" s="85"/>
      <c r="AL111" s="85"/>
      <c r="AM111" s="85"/>
      <c r="AN111" s="85"/>
      <c r="AO111" s="192"/>
      <c r="AP111" s="206"/>
      <c r="AQ111" s="206"/>
      <c r="AR111" s="206"/>
      <c r="AS111" s="206"/>
      <c r="AT111" s="206"/>
      <c r="AU111" s="206"/>
      <c r="AV111" s="206"/>
      <c r="AW111" s="85"/>
      <c r="AX111" s="85"/>
      <c r="AY111" s="85"/>
      <c r="AZ111" s="198"/>
      <c r="BE111" s="196"/>
      <c r="BF111" s="85"/>
      <c r="BG111" s="85"/>
      <c r="BH111" s="85"/>
      <c r="BI111" s="85"/>
      <c r="BJ111" s="85"/>
      <c r="BK111" s="85"/>
      <c r="BL111" s="204"/>
      <c r="BM111" s="85"/>
      <c r="BN111" s="85"/>
      <c r="BO111" s="85"/>
      <c r="BP111" s="85"/>
      <c r="BQ111" s="85"/>
      <c r="BR111" s="85"/>
      <c r="BS111" s="192"/>
      <c r="BT111" s="211"/>
      <c r="BU111" s="211"/>
      <c r="BV111" s="211"/>
      <c r="BW111" s="211"/>
      <c r="BX111" s="211"/>
      <c r="BY111" s="211"/>
      <c r="BZ111" s="211"/>
      <c r="CA111" s="85"/>
      <c r="CB111" s="85"/>
      <c r="CC111" s="85"/>
      <c r="CD111" s="85"/>
    </row>
    <row r="112" customFormat="false" ht="3" hidden="true" customHeight="true" outlineLevel="0" collapsed="false">
      <c r="C112" s="190"/>
      <c r="D112" s="85"/>
      <c r="E112" s="191"/>
      <c r="F112" s="85"/>
      <c r="G112" s="200"/>
      <c r="H112" s="85"/>
      <c r="I112" s="1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198"/>
      <c r="AD112" s="190"/>
      <c r="AE112" s="85"/>
      <c r="AF112" s="191"/>
      <c r="AG112" s="85"/>
      <c r="AH112" s="200"/>
      <c r="AI112" s="85"/>
      <c r="AJ112" s="191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198"/>
      <c r="BE112" s="196"/>
      <c r="BF112" s="85"/>
      <c r="BG112" s="85"/>
      <c r="BH112" s="85"/>
      <c r="BI112" s="85"/>
      <c r="BJ112" s="85"/>
      <c r="BK112" s="85"/>
      <c r="BL112" s="204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</row>
    <row r="113" customFormat="false" ht="9" hidden="true" customHeight="true" outlineLevel="0" collapsed="false">
      <c r="C113" s="172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198"/>
      <c r="AD113" s="172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198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</row>
    <row r="114" customFormat="false" ht="3" hidden="true" customHeight="true" outlineLevel="0" collapsed="false">
      <c r="B114" s="77"/>
      <c r="C114" s="190" t="s">
        <v>55</v>
      </c>
      <c r="E114" s="214" t="s">
        <v>47</v>
      </c>
      <c r="G114" s="200" t="n">
        <f aca="false">G98</f>
        <v>0</v>
      </c>
      <c r="I114" s="214" t="s">
        <v>49</v>
      </c>
      <c r="K114" s="206" t="e">
        <f aca="false">O98/O106</f>
        <v>#DIV/0!</v>
      </c>
      <c r="L114" s="206"/>
      <c r="M114" s="206"/>
      <c r="N114" s="206"/>
      <c r="O114" s="206"/>
      <c r="P114" s="206"/>
      <c r="Q114" s="206"/>
      <c r="R114" s="206"/>
      <c r="S114" s="206"/>
      <c r="T114" s="215"/>
      <c r="U114" s="215"/>
      <c r="Y114" s="171"/>
      <c r="AD114" s="190" t="s">
        <v>55</v>
      </c>
      <c r="AF114" s="214" t="s">
        <v>47</v>
      </c>
      <c r="AH114" s="200" t="n">
        <f aca="false">AH98</f>
        <v>0</v>
      </c>
      <c r="AJ114" s="214" t="s">
        <v>49</v>
      </c>
      <c r="AL114" s="206" t="e">
        <f aca="false">AP98/AP106</f>
        <v>#DIV/0!</v>
      </c>
      <c r="AM114" s="206"/>
      <c r="AN114" s="206"/>
      <c r="AO114" s="206"/>
      <c r="AP114" s="206"/>
      <c r="AQ114" s="206"/>
      <c r="AR114" s="206"/>
      <c r="AS114" s="206"/>
      <c r="AT114" s="206"/>
      <c r="AU114" s="215"/>
      <c r="AV114" s="215"/>
      <c r="AZ114" s="171"/>
      <c r="BE114" s="196"/>
      <c r="BL114" s="204"/>
      <c r="BP114" s="208"/>
      <c r="BQ114" s="208"/>
      <c r="BR114" s="208"/>
      <c r="BS114" s="208"/>
      <c r="BT114" s="208"/>
      <c r="BU114" s="208"/>
      <c r="BV114" s="208"/>
      <c r="BW114" s="208"/>
      <c r="BX114" s="208"/>
      <c r="BY114" s="215"/>
      <c r="BZ114" s="215"/>
    </row>
    <row r="115" customFormat="false" ht="3" hidden="true" customHeight="true" outlineLevel="0" collapsed="false">
      <c r="B115" s="77"/>
      <c r="C115" s="190"/>
      <c r="E115" s="214"/>
      <c r="G115" s="200"/>
      <c r="I115" s="214"/>
      <c r="K115" s="206"/>
      <c r="L115" s="206"/>
      <c r="M115" s="206"/>
      <c r="N115" s="206"/>
      <c r="O115" s="206"/>
      <c r="P115" s="206"/>
      <c r="Q115" s="206"/>
      <c r="R115" s="206"/>
      <c r="S115" s="206"/>
      <c r="T115" s="215"/>
      <c r="U115" s="215"/>
      <c r="Y115" s="171"/>
      <c r="AD115" s="190"/>
      <c r="AF115" s="214"/>
      <c r="AH115" s="200"/>
      <c r="AJ115" s="214"/>
      <c r="AL115" s="206"/>
      <c r="AM115" s="206"/>
      <c r="AN115" s="206"/>
      <c r="AO115" s="206"/>
      <c r="AP115" s="206"/>
      <c r="AQ115" s="206"/>
      <c r="AR115" s="206"/>
      <c r="AS115" s="206"/>
      <c r="AT115" s="206"/>
      <c r="AU115" s="215"/>
      <c r="AV115" s="215"/>
      <c r="AZ115" s="171"/>
      <c r="BE115" s="196"/>
      <c r="BL115" s="204"/>
      <c r="BP115" s="208"/>
      <c r="BQ115" s="208"/>
      <c r="BR115" s="208"/>
      <c r="BS115" s="208"/>
      <c r="BT115" s="208"/>
      <c r="BU115" s="208"/>
      <c r="BV115" s="208"/>
      <c r="BW115" s="208"/>
      <c r="BX115" s="208"/>
      <c r="BY115" s="215"/>
      <c r="BZ115" s="215"/>
    </row>
    <row r="116" customFormat="false" ht="3" hidden="true" customHeight="true" outlineLevel="0" collapsed="false">
      <c r="B116" s="77"/>
      <c r="C116" s="190"/>
      <c r="E116" s="214"/>
      <c r="G116" s="200"/>
      <c r="I116" s="214"/>
      <c r="K116" s="206"/>
      <c r="L116" s="206"/>
      <c r="M116" s="206"/>
      <c r="N116" s="206"/>
      <c r="O116" s="206"/>
      <c r="P116" s="206"/>
      <c r="Q116" s="206"/>
      <c r="R116" s="206"/>
      <c r="S116" s="206"/>
      <c r="T116" s="215"/>
      <c r="U116" s="215"/>
      <c r="Y116" s="171"/>
      <c r="AD116" s="190"/>
      <c r="AF116" s="214"/>
      <c r="AH116" s="200"/>
      <c r="AJ116" s="214"/>
      <c r="AL116" s="206"/>
      <c r="AM116" s="206"/>
      <c r="AN116" s="206"/>
      <c r="AO116" s="206"/>
      <c r="AP116" s="206"/>
      <c r="AQ116" s="206"/>
      <c r="AR116" s="206"/>
      <c r="AS116" s="206"/>
      <c r="AT116" s="206"/>
      <c r="AU116" s="215"/>
      <c r="AV116" s="215"/>
      <c r="AZ116" s="171"/>
      <c r="BE116" s="196"/>
      <c r="BL116" s="204"/>
      <c r="BP116" s="208"/>
      <c r="BQ116" s="208"/>
      <c r="BR116" s="208"/>
      <c r="BS116" s="208"/>
      <c r="BT116" s="208"/>
      <c r="BU116" s="208"/>
      <c r="BV116" s="208"/>
      <c r="BW116" s="208"/>
      <c r="BX116" s="208"/>
      <c r="BY116" s="215"/>
      <c r="BZ116" s="215"/>
    </row>
    <row r="117" customFormat="false" ht="3" hidden="true" customHeight="true" outlineLevel="0" collapsed="false">
      <c r="B117" s="77"/>
      <c r="C117" s="190"/>
      <c r="E117" s="214"/>
      <c r="G117" s="200"/>
      <c r="I117" s="214"/>
      <c r="K117" s="206"/>
      <c r="L117" s="206"/>
      <c r="M117" s="206"/>
      <c r="N117" s="206"/>
      <c r="O117" s="206"/>
      <c r="P117" s="206"/>
      <c r="Q117" s="206"/>
      <c r="R117" s="206"/>
      <c r="S117" s="206"/>
      <c r="T117" s="215"/>
      <c r="U117" s="215"/>
      <c r="Y117" s="171"/>
      <c r="AD117" s="190"/>
      <c r="AF117" s="214"/>
      <c r="AH117" s="200"/>
      <c r="AJ117" s="214"/>
      <c r="AL117" s="206"/>
      <c r="AM117" s="206"/>
      <c r="AN117" s="206"/>
      <c r="AO117" s="206"/>
      <c r="AP117" s="206"/>
      <c r="AQ117" s="206"/>
      <c r="AR117" s="206"/>
      <c r="AS117" s="206"/>
      <c r="AT117" s="206"/>
      <c r="AU117" s="215"/>
      <c r="AV117" s="215"/>
      <c r="AZ117" s="171"/>
      <c r="BE117" s="196"/>
      <c r="BL117" s="204"/>
      <c r="BP117" s="208"/>
      <c r="BQ117" s="208"/>
      <c r="BR117" s="208"/>
      <c r="BS117" s="208"/>
      <c r="BT117" s="208"/>
      <c r="BU117" s="208"/>
      <c r="BV117" s="208"/>
      <c r="BW117" s="208"/>
      <c r="BX117" s="208"/>
      <c r="BY117" s="215"/>
      <c r="BZ117" s="215"/>
    </row>
    <row r="118" customFormat="false" ht="3" hidden="true" customHeight="true" outlineLevel="0" collapsed="false">
      <c r="B118" s="77"/>
      <c r="C118" s="190"/>
      <c r="E118" s="214"/>
      <c r="G118" s="200"/>
      <c r="I118" s="214"/>
      <c r="K118" s="206"/>
      <c r="L118" s="206"/>
      <c r="M118" s="206"/>
      <c r="N118" s="206"/>
      <c r="O118" s="206"/>
      <c r="P118" s="206"/>
      <c r="Q118" s="206"/>
      <c r="R118" s="206"/>
      <c r="S118" s="206"/>
      <c r="T118" s="215"/>
      <c r="U118" s="215"/>
      <c r="Y118" s="171"/>
      <c r="AD118" s="190"/>
      <c r="AF118" s="214"/>
      <c r="AH118" s="200"/>
      <c r="AJ118" s="214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15"/>
      <c r="AV118" s="215"/>
      <c r="AZ118" s="171"/>
      <c r="BE118" s="196"/>
      <c r="BL118" s="204"/>
      <c r="BP118" s="208"/>
      <c r="BQ118" s="208"/>
      <c r="BR118" s="208"/>
      <c r="BS118" s="208"/>
      <c r="BT118" s="208"/>
      <c r="BU118" s="208"/>
      <c r="BV118" s="208"/>
      <c r="BW118" s="208"/>
      <c r="BX118" s="208"/>
      <c r="BY118" s="215"/>
      <c r="BZ118" s="215"/>
    </row>
    <row r="119" customFormat="false" ht="3" hidden="true" customHeight="true" outlineLevel="0" collapsed="false">
      <c r="B119" s="77"/>
      <c r="C119" s="190"/>
      <c r="E119" s="214"/>
      <c r="G119" s="200"/>
      <c r="I119" s="214"/>
      <c r="K119" s="206"/>
      <c r="L119" s="206"/>
      <c r="M119" s="206"/>
      <c r="N119" s="206"/>
      <c r="O119" s="206"/>
      <c r="P119" s="206"/>
      <c r="Q119" s="206"/>
      <c r="R119" s="206"/>
      <c r="S119" s="206"/>
      <c r="T119" s="215"/>
      <c r="U119" s="215"/>
      <c r="Y119" s="171"/>
      <c r="AD119" s="190"/>
      <c r="AF119" s="214"/>
      <c r="AH119" s="200"/>
      <c r="AJ119" s="214"/>
      <c r="AL119" s="206"/>
      <c r="AM119" s="206"/>
      <c r="AN119" s="206"/>
      <c r="AO119" s="206"/>
      <c r="AP119" s="206"/>
      <c r="AQ119" s="206"/>
      <c r="AR119" s="206"/>
      <c r="AS119" s="206"/>
      <c r="AT119" s="206"/>
      <c r="AU119" s="215"/>
      <c r="AV119" s="215"/>
      <c r="AZ119" s="171"/>
      <c r="BE119" s="196"/>
      <c r="BL119" s="204"/>
      <c r="BP119" s="208"/>
      <c r="BQ119" s="208"/>
      <c r="BR119" s="208"/>
      <c r="BS119" s="208"/>
      <c r="BT119" s="208"/>
      <c r="BU119" s="208"/>
      <c r="BV119" s="208"/>
      <c r="BW119" s="208"/>
      <c r="BX119" s="208"/>
      <c r="BY119" s="215"/>
      <c r="BZ119" s="215"/>
    </row>
    <row r="120" customFormat="false" ht="3" hidden="true" customHeight="true" outlineLevel="0" collapsed="false">
      <c r="B120" s="77"/>
      <c r="C120" s="190"/>
      <c r="D120" s="77"/>
      <c r="E120" s="214"/>
      <c r="G120" s="200"/>
      <c r="I120" s="214"/>
      <c r="K120" s="206"/>
      <c r="L120" s="206"/>
      <c r="M120" s="206"/>
      <c r="N120" s="206"/>
      <c r="O120" s="206"/>
      <c r="P120" s="206"/>
      <c r="Q120" s="206"/>
      <c r="R120" s="206"/>
      <c r="S120" s="206"/>
      <c r="Y120" s="171"/>
      <c r="AD120" s="190"/>
      <c r="AE120" s="77"/>
      <c r="AF120" s="214"/>
      <c r="AH120" s="200"/>
      <c r="AJ120" s="214"/>
      <c r="AL120" s="206"/>
      <c r="AM120" s="206"/>
      <c r="AN120" s="206"/>
      <c r="AO120" s="206"/>
      <c r="AP120" s="206"/>
      <c r="AQ120" s="206"/>
      <c r="AR120" s="206"/>
      <c r="AS120" s="206"/>
      <c r="AT120" s="206"/>
      <c r="AZ120" s="171"/>
      <c r="BE120" s="196"/>
      <c r="BF120" s="77"/>
      <c r="BL120" s="204"/>
      <c r="BP120" s="208"/>
      <c r="BQ120" s="208"/>
      <c r="BR120" s="208"/>
      <c r="BS120" s="208"/>
      <c r="BT120" s="208"/>
      <c r="BU120" s="208"/>
      <c r="BV120" s="208"/>
      <c r="BW120" s="208"/>
      <c r="BX120" s="208"/>
    </row>
    <row r="121" customFormat="false" ht="9" hidden="true" customHeight="true" outlineLevel="0" collapsed="false">
      <c r="C121" s="170"/>
      <c r="Y121" s="171"/>
      <c r="AD121" s="170"/>
      <c r="AZ121" s="171"/>
    </row>
    <row r="122" customFormat="false" ht="3" hidden="false" customHeight="true" outlineLevel="0" collapsed="false">
      <c r="B122" s="77"/>
      <c r="C122" s="216" t="s">
        <v>46</v>
      </c>
      <c r="E122" s="217" t="s">
        <v>47</v>
      </c>
      <c r="G122" s="218" t="e">
        <f aca="false">(G114*K114)</f>
        <v>#DIV/0!</v>
      </c>
      <c r="I122" s="7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5"/>
      <c r="U122" s="215"/>
      <c r="Y122" s="171"/>
      <c r="AD122" s="216" t="s">
        <v>46</v>
      </c>
      <c r="AF122" s="217" t="s">
        <v>47</v>
      </c>
      <c r="AH122" s="218" t="e">
        <f aca="false">(AH114*AL114)</f>
        <v>#DIV/0!</v>
      </c>
      <c r="AJ122" s="77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5"/>
      <c r="AV122" s="215"/>
      <c r="AZ122" s="171"/>
      <c r="BE122" s="196"/>
      <c r="BG122" s="85"/>
      <c r="BL122" s="204"/>
      <c r="BN122" s="77"/>
      <c r="BP122" s="219"/>
      <c r="BQ122" s="219"/>
      <c r="BR122" s="219"/>
      <c r="BS122" s="219"/>
      <c r="BT122" s="219"/>
      <c r="BU122" s="219"/>
      <c r="BV122" s="219"/>
      <c r="BW122" s="219"/>
      <c r="BX122" s="219"/>
      <c r="BY122" s="215"/>
      <c r="BZ122" s="215"/>
    </row>
    <row r="123" customFormat="false" ht="3" hidden="false" customHeight="true" outlineLevel="0" collapsed="false">
      <c r="B123" s="77"/>
      <c r="C123" s="216"/>
      <c r="E123" s="217"/>
      <c r="G123" s="218"/>
      <c r="I123" s="7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5"/>
      <c r="U123" s="215"/>
      <c r="Y123" s="171"/>
      <c r="AD123" s="216"/>
      <c r="AF123" s="217"/>
      <c r="AH123" s="218"/>
      <c r="AJ123" s="77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5"/>
      <c r="AV123" s="215"/>
      <c r="AZ123" s="171"/>
      <c r="BE123" s="196"/>
      <c r="BG123" s="85"/>
      <c r="BL123" s="204"/>
      <c r="BN123" s="77"/>
      <c r="BP123" s="219"/>
      <c r="BQ123" s="219"/>
      <c r="BR123" s="219"/>
      <c r="BS123" s="219"/>
      <c r="BT123" s="219"/>
      <c r="BU123" s="219"/>
      <c r="BV123" s="219"/>
      <c r="BW123" s="219"/>
      <c r="BX123" s="219"/>
      <c r="BY123" s="215"/>
      <c r="BZ123" s="215"/>
    </row>
    <row r="124" customFormat="false" ht="3" hidden="false" customHeight="true" outlineLevel="0" collapsed="false">
      <c r="B124" s="77"/>
      <c r="C124" s="216"/>
      <c r="E124" s="217"/>
      <c r="G124" s="218"/>
      <c r="I124" s="7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5"/>
      <c r="U124" s="215"/>
      <c r="Y124" s="171"/>
      <c r="AD124" s="216"/>
      <c r="AF124" s="217"/>
      <c r="AH124" s="218"/>
      <c r="AJ124" s="77"/>
      <c r="AL124" s="219"/>
      <c r="AM124" s="219"/>
      <c r="AN124" s="219"/>
      <c r="AO124" s="219"/>
      <c r="AP124" s="219"/>
      <c r="AQ124" s="219"/>
      <c r="AR124" s="219"/>
      <c r="AS124" s="219"/>
      <c r="AT124" s="219"/>
      <c r="AU124" s="215"/>
      <c r="AV124" s="215"/>
      <c r="AZ124" s="171"/>
      <c r="BE124" s="196"/>
      <c r="BG124" s="85"/>
      <c r="BL124" s="204"/>
      <c r="BN124" s="77"/>
      <c r="BP124" s="219"/>
      <c r="BQ124" s="219"/>
      <c r="BR124" s="219"/>
      <c r="BS124" s="219"/>
      <c r="BT124" s="219"/>
      <c r="BU124" s="219"/>
      <c r="BV124" s="219"/>
      <c r="BW124" s="219"/>
      <c r="BX124" s="219"/>
      <c r="BY124" s="215"/>
      <c r="BZ124" s="215"/>
    </row>
    <row r="125" customFormat="false" ht="3" hidden="false" customHeight="true" outlineLevel="0" collapsed="false">
      <c r="B125" s="77"/>
      <c r="C125" s="216"/>
      <c r="E125" s="217"/>
      <c r="G125" s="218"/>
      <c r="I125" s="7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5"/>
      <c r="U125" s="215"/>
      <c r="Y125" s="171"/>
      <c r="AD125" s="216"/>
      <c r="AF125" s="217"/>
      <c r="AH125" s="218"/>
      <c r="AJ125" s="77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5"/>
      <c r="AV125" s="215"/>
      <c r="AZ125" s="171"/>
      <c r="BE125" s="196"/>
      <c r="BG125" s="85"/>
      <c r="BL125" s="204"/>
      <c r="BN125" s="77"/>
      <c r="BP125" s="219"/>
      <c r="BQ125" s="219"/>
      <c r="BR125" s="219"/>
      <c r="BS125" s="219"/>
      <c r="BT125" s="219"/>
      <c r="BU125" s="219"/>
      <c r="BV125" s="219"/>
      <c r="BW125" s="219"/>
      <c r="BX125" s="219"/>
      <c r="BY125" s="215"/>
      <c r="BZ125" s="215"/>
    </row>
    <row r="126" customFormat="false" ht="3" hidden="false" customHeight="true" outlineLevel="0" collapsed="false">
      <c r="B126" s="77"/>
      <c r="C126" s="216"/>
      <c r="E126" s="217"/>
      <c r="G126" s="218"/>
      <c r="I126" s="7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5"/>
      <c r="U126" s="215"/>
      <c r="Y126" s="171"/>
      <c r="AD126" s="216"/>
      <c r="AF126" s="217"/>
      <c r="AH126" s="218"/>
      <c r="AJ126" s="77"/>
      <c r="AL126" s="219"/>
      <c r="AM126" s="219"/>
      <c r="AN126" s="219"/>
      <c r="AO126" s="219"/>
      <c r="AP126" s="219"/>
      <c r="AQ126" s="219"/>
      <c r="AR126" s="219"/>
      <c r="AS126" s="219"/>
      <c r="AT126" s="219"/>
      <c r="AU126" s="215"/>
      <c r="AV126" s="215"/>
      <c r="AZ126" s="171"/>
      <c r="BE126" s="196"/>
      <c r="BG126" s="85"/>
      <c r="BL126" s="204"/>
      <c r="BN126" s="77"/>
      <c r="BP126" s="219"/>
      <c r="BQ126" s="219"/>
      <c r="BR126" s="219"/>
      <c r="BS126" s="219"/>
      <c r="BT126" s="219"/>
      <c r="BU126" s="219"/>
      <c r="BV126" s="219"/>
      <c r="BW126" s="219"/>
      <c r="BX126" s="219"/>
      <c r="BY126" s="215"/>
      <c r="BZ126" s="215"/>
    </row>
    <row r="127" customFormat="false" ht="2.25" hidden="false" customHeight="true" outlineLevel="0" collapsed="false">
      <c r="B127" s="77"/>
      <c r="C127" s="216"/>
      <c r="E127" s="217"/>
      <c r="G127" s="218"/>
      <c r="I127" s="7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5"/>
      <c r="U127" s="215"/>
      <c r="Y127" s="171"/>
      <c r="AD127" s="216"/>
      <c r="AF127" s="217"/>
      <c r="AH127" s="218"/>
      <c r="AJ127" s="77"/>
      <c r="AL127" s="219"/>
      <c r="AM127" s="219"/>
      <c r="AN127" s="219"/>
      <c r="AO127" s="219"/>
      <c r="AP127" s="219"/>
      <c r="AQ127" s="219"/>
      <c r="AR127" s="219"/>
      <c r="AS127" s="219"/>
      <c r="AT127" s="219"/>
      <c r="AU127" s="215"/>
      <c r="AV127" s="215"/>
      <c r="AZ127" s="171"/>
      <c r="BE127" s="196"/>
      <c r="BG127" s="85"/>
      <c r="BL127" s="204"/>
      <c r="BN127" s="77"/>
      <c r="BP127" s="219"/>
      <c r="BQ127" s="219"/>
      <c r="BR127" s="219"/>
      <c r="BS127" s="219"/>
      <c r="BT127" s="219"/>
      <c r="BU127" s="219"/>
      <c r="BV127" s="219"/>
      <c r="BW127" s="219"/>
      <c r="BX127" s="219"/>
      <c r="BY127" s="215"/>
      <c r="BZ127" s="215"/>
    </row>
    <row r="128" customFormat="false" ht="3" hidden="true" customHeight="true" outlineLevel="0" collapsed="false">
      <c r="B128" s="77"/>
      <c r="C128" s="216"/>
      <c r="E128" s="217"/>
      <c r="G128" s="218"/>
      <c r="I128" s="7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5"/>
      <c r="U128" s="215"/>
      <c r="Y128" s="171"/>
      <c r="AD128" s="216"/>
      <c r="AF128" s="217"/>
      <c r="AH128" s="218"/>
      <c r="AJ128" s="77"/>
      <c r="AL128" s="219"/>
      <c r="AM128" s="219"/>
      <c r="AN128" s="219"/>
      <c r="AO128" s="219"/>
      <c r="AP128" s="219"/>
      <c r="AQ128" s="219"/>
      <c r="AR128" s="219"/>
      <c r="AS128" s="219"/>
      <c r="AT128" s="219"/>
      <c r="AU128" s="215"/>
      <c r="AV128" s="215"/>
      <c r="AZ128" s="171"/>
      <c r="BE128" s="196"/>
      <c r="BG128" s="85"/>
      <c r="BL128" s="204"/>
      <c r="BN128" s="77"/>
      <c r="BP128" s="219"/>
      <c r="BQ128" s="219"/>
      <c r="BR128" s="219"/>
      <c r="BS128" s="219"/>
      <c r="BT128" s="219"/>
      <c r="BU128" s="219"/>
      <c r="BV128" s="219"/>
      <c r="BW128" s="219"/>
      <c r="BX128" s="219"/>
      <c r="BY128" s="215"/>
      <c r="BZ128" s="215"/>
    </row>
    <row r="129" customFormat="false" ht="3" hidden="false" customHeight="true" outlineLevel="0" collapsed="false">
      <c r="B129" s="77"/>
      <c r="C129" s="216"/>
      <c r="D129" s="220"/>
      <c r="E129" s="217"/>
      <c r="F129" s="209"/>
      <c r="G129" s="218"/>
      <c r="H129" s="209"/>
      <c r="I129" s="220"/>
      <c r="J129" s="209"/>
      <c r="K129" s="221"/>
      <c r="L129" s="221"/>
      <c r="M129" s="221"/>
      <c r="N129" s="221"/>
      <c r="O129" s="221"/>
      <c r="P129" s="221"/>
      <c r="Q129" s="221"/>
      <c r="R129" s="221"/>
      <c r="S129" s="221"/>
      <c r="T129" s="209"/>
      <c r="U129" s="209"/>
      <c r="V129" s="209"/>
      <c r="W129" s="209"/>
      <c r="X129" s="209"/>
      <c r="Y129" s="222"/>
      <c r="AD129" s="216"/>
      <c r="AE129" s="220"/>
      <c r="AF129" s="217"/>
      <c r="AG129" s="209"/>
      <c r="AH129" s="218"/>
      <c r="AI129" s="209"/>
      <c r="AJ129" s="220"/>
      <c r="AK129" s="209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09"/>
      <c r="AV129" s="209"/>
      <c r="AW129" s="209"/>
      <c r="AX129" s="209"/>
      <c r="AY129" s="209"/>
      <c r="AZ129" s="222"/>
      <c r="BE129" s="196"/>
      <c r="BF129" s="77"/>
      <c r="BG129" s="85"/>
      <c r="BL129" s="204"/>
      <c r="BN129" s="77"/>
      <c r="BP129" s="219"/>
      <c r="BQ129" s="219"/>
      <c r="BR129" s="219"/>
      <c r="BS129" s="219"/>
      <c r="BT129" s="219"/>
      <c r="BU129" s="219"/>
      <c r="BV129" s="219"/>
      <c r="BW129" s="219"/>
      <c r="BX129" s="219"/>
    </row>
    <row r="130" customFormat="false" ht="15" hidden="false" customHeight="true" outlineLevel="0" collapsed="false">
      <c r="B130" s="77"/>
      <c r="C130" s="223"/>
      <c r="D130" s="77"/>
      <c r="E130" s="85"/>
      <c r="G130" s="224"/>
      <c r="I130" s="77"/>
      <c r="K130" s="219"/>
      <c r="L130" s="219"/>
      <c r="M130" s="219"/>
      <c r="N130" s="219"/>
      <c r="O130" s="219"/>
      <c r="P130" s="219"/>
      <c r="Q130" s="219"/>
      <c r="R130" s="219"/>
      <c r="S130" s="219"/>
      <c r="AD130" s="223"/>
      <c r="AE130" s="77"/>
      <c r="AF130" s="85"/>
      <c r="AH130" s="224"/>
      <c r="AJ130" s="77"/>
      <c r="AL130" s="219"/>
      <c r="AM130" s="219"/>
      <c r="AN130" s="219"/>
      <c r="AO130" s="219"/>
      <c r="AP130" s="219"/>
      <c r="AQ130" s="219"/>
      <c r="AR130" s="219"/>
      <c r="AS130" s="219"/>
      <c r="AT130" s="219"/>
      <c r="BE130" s="223"/>
      <c r="BF130" s="77"/>
      <c r="BG130" s="85"/>
      <c r="BL130" s="224"/>
      <c r="BN130" s="77"/>
      <c r="BP130" s="219"/>
      <c r="BQ130" s="219"/>
      <c r="BR130" s="219"/>
      <c r="BS130" s="219"/>
      <c r="BT130" s="219"/>
      <c r="BU130" s="219"/>
      <c r="BV130" s="219"/>
      <c r="BW130" s="219"/>
      <c r="BX130" s="219"/>
    </row>
    <row r="131" customFormat="false" ht="12.75" hidden="false" customHeight="true" outlineLevel="0" collapsed="false">
      <c r="C131" s="225" t="s">
        <v>56</v>
      </c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6"/>
      <c r="AA131" s="226"/>
      <c r="AB131" s="226"/>
      <c r="AC131" s="226"/>
      <c r="AD131" s="227" t="s">
        <v>57</v>
      </c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6"/>
      <c r="BB131" s="226"/>
      <c r="BC131" s="226"/>
      <c r="BD131" s="226"/>
      <c r="BE131" s="227" t="s">
        <v>58</v>
      </c>
      <c r="BF131" s="227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227"/>
      <c r="BR131" s="227"/>
      <c r="BS131" s="227"/>
      <c r="BT131" s="227"/>
      <c r="BU131" s="227"/>
      <c r="BV131" s="227"/>
      <c r="BW131" s="227"/>
      <c r="BX131" s="227"/>
      <c r="BY131" s="227"/>
      <c r="BZ131" s="227"/>
      <c r="CA131" s="227"/>
      <c r="CB131" s="227"/>
      <c r="CC131" s="227"/>
      <c r="CI131" s="46"/>
    </row>
    <row r="132" customFormat="false" ht="12.75" hidden="false" customHeight="true" outlineLevel="0" collapsed="false">
      <c r="C132" s="228" t="s">
        <v>59</v>
      </c>
      <c r="D132" s="229" t="s">
        <v>60</v>
      </c>
      <c r="E132" s="229"/>
      <c r="F132" s="229"/>
      <c r="G132" s="229"/>
      <c r="H132" s="229"/>
      <c r="I132" s="229"/>
      <c r="J132" s="229"/>
      <c r="K132" s="229"/>
      <c r="L132" s="229"/>
      <c r="M132" s="229"/>
      <c r="N132" s="230" t="s">
        <v>61</v>
      </c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26"/>
      <c r="AA132" s="226"/>
      <c r="AB132" s="226"/>
      <c r="AC132" s="226"/>
      <c r="AD132" s="228" t="s">
        <v>59</v>
      </c>
      <c r="AE132" s="229" t="s">
        <v>60</v>
      </c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30" t="s">
        <v>62</v>
      </c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26"/>
      <c r="BB132" s="226"/>
      <c r="BC132" s="226"/>
      <c r="BD132" s="226"/>
      <c r="BE132" s="228" t="s">
        <v>59</v>
      </c>
      <c r="BF132" s="229" t="s">
        <v>60</v>
      </c>
      <c r="BG132" s="229"/>
      <c r="BH132" s="229"/>
      <c r="BI132" s="229"/>
      <c r="BJ132" s="229"/>
      <c r="BK132" s="229"/>
      <c r="BL132" s="229"/>
      <c r="BM132" s="229"/>
      <c r="BN132" s="229"/>
      <c r="BO132" s="229"/>
      <c r="BP132" s="231" t="s">
        <v>63</v>
      </c>
      <c r="BQ132" s="231"/>
      <c r="BR132" s="231"/>
      <c r="BS132" s="231"/>
      <c r="BT132" s="231"/>
      <c r="BU132" s="231"/>
      <c r="BV132" s="231"/>
      <c r="BW132" s="231"/>
      <c r="BX132" s="231"/>
      <c r="BY132" s="231"/>
      <c r="BZ132" s="231"/>
      <c r="CA132" s="231"/>
      <c r="CB132" s="231"/>
      <c r="CC132" s="231"/>
      <c r="CI132" s="46"/>
    </row>
    <row r="133" customFormat="false" ht="12.75" hidden="false" customHeight="true" outlineLevel="0" collapsed="false">
      <c r="C133" s="232" t="n">
        <v>1</v>
      </c>
      <c r="D133" s="233" t="n">
        <f aca="false">IF(C133&lt;=$I$16, $D$6, "")</f>
        <v>0</v>
      </c>
      <c r="E133" s="233"/>
      <c r="F133" s="233"/>
      <c r="G133" s="233"/>
      <c r="H133" s="233"/>
      <c r="I133" s="233"/>
      <c r="J133" s="233"/>
      <c r="K133" s="233"/>
      <c r="L133" s="233"/>
      <c r="M133" s="233"/>
      <c r="N133" s="234" t="n">
        <f aca="false">IF(C133&lt;=$I$16, $I$17, "")</f>
        <v>0</v>
      </c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26"/>
      <c r="AA133" s="226"/>
      <c r="AB133" s="226"/>
      <c r="AC133" s="226"/>
      <c r="AD133" s="232" t="n">
        <v>1</v>
      </c>
      <c r="AE133" s="233" t="n">
        <f aca="false">D133</f>
        <v>0</v>
      </c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4" t="e">
        <f aca="false">AH122</f>
        <v>#DIV/0!</v>
      </c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  <c r="AZ133" s="234"/>
      <c r="BA133" s="226"/>
      <c r="BB133" s="226"/>
      <c r="BC133" s="226"/>
      <c r="BD133" s="226"/>
      <c r="BE133" s="232" t="n">
        <v>1</v>
      </c>
      <c r="BF133" s="233" t="n">
        <f aca="false">AE133</f>
        <v>0</v>
      </c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4" t="n">
        <f aca="false">N133</f>
        <v>0</v>
      </c>
      <c r="BQ133" s="234"/>
      <c r="BR133" s="234"/>
      <c r="BS133" s="234"/>
      <c r="BT133" s="234"/>
      <c r="BU133" s="234"/>
      <c r="BV133" s="234"/>
      <c r="BW133" s="234"/>
      <c r="BX133" s="234"/>
      <c r="BY133" s="234"/>
      <c r="BZ133" s="234"/>
      <c r="CA133" s="234"/>
      <c r="CB133" s="234"/>
      <c r="CC133" s="234"/>
      <c r="CI133" s="46"/>
    </row>
    <row r="134" customFormat="false" ht="12.75" hidden="false" customHeight="true" outlineLevel="0" collapsed="false">
      <c r="C134" s="235" t="n">
        <v>2</v>
      </c>
      <c r="D134" s="236" t="n">
        <f aca="false">IF(C134&lt;=$I$16, EDATE($D$6, C134-1), "")</f>
        <v>31</v>
      </c>
      <c r="E134" s="236"/>
      <c r="F134" s="236"/>
      <c r="G134" s="236"/>
      <c r="H134" s="236"/>
      <c r="I134" s="236"/>
      <c r="J134" s="236"/>
      <c r="K134" s="236"/>
      <c r="L134" s="236"/>
      <c r="M134" s="236"/>
      <c r="N134" s="237" t="n">
        <f aca="false">IF(C134&lt;=$I$16, $I$17, "")</f>
        <v>0</v>
      </c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26"/>
      <c r="AA134" s="226"/>
      <c r="AB134" s="226"/>
      <c r="AC134" s="226"/>
      <c r="AD134" s="235" t="n">
        <v>2</v>
      </c>
      <c r="AE134" s="236" t="n">
        <f aca="false">D134</f>
        <v>31</v>
      </c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7" t="e">
        <f aca="false">AO133</f>
        <v>#DIV/0!</v>
      </c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26"/>
      <c r="BB134" s="226"/>
      <c r="BC134" s="226"/>
      <c r="BD134" s="226"/>
      <c r="BE134" s="235" t="n">
        <v>2</v>
      </c>
      <c r="BF134" s="236" t="n">
        <f aca="false">AE134</f>
        <v>31</v>
      </c>
      <c r="BG134" s="236"/>
      <c r="BH134" s="236"/>
      <c r="BI134" s="236"/>
      <c r="BJ134" s="236"/>
      <c r="BK134" s="236"/>
      <c r="BL134" s="236"/>
      <c r="BM134" s="236"/>
      <c r="BN134" s="236"/>
      <c r="BO134" s="236"/>
      <c r="BP134" s="237" t="n">
        <f aca="false">BP133</f>
        <v>0</v>
      </c>
      <c r="BQ134" s="237"/>
      <c r="BR134" s="237"/>
      <c r="BS134" s="237"/>
      <c r="BT134" s="237"/>
      <c r="BU134" s="237"/>
      <c r="BV134" s="237"/>
      <c r="BW134" s="237"/>
      <c r="BX134" s="237"/>
      <c r="BY134" s="237"/>
      <c r="BZ134" s="237"/>
      <c r="CA134" s="237"/>
      <c r="CB134" s="237"/>
      <c r="CC134" s="237"/>
      <c r="CI134" s="46"/>
    </row>
    <row r="135" customFormat="false" ht="12.75" hidden="false" customHeight="true" outlineLevel="0" collapsed="false">
      <c r="C135" s="235" t="n">
        <v>3</v>
      </c>
      <c r="D135" s="236" t="n">
        <f aca="false">IF(C135&lt;=$I$16, EDATE($D$6, C135-1), "")</f>
        <v>60</v>
      </c>
      <c r="E135" s="236"/>
      <c r="F135" s="236"/>
      <c r="G135" s="236"/>
      <c r="H135" s="236"/>
      <c r="I135" s="236"/>
      <c r="J135" s="236"/>
      <c r="K135" s="236"/>
      <c r="L135" s="236"/>
      <c r="M135" s="236"/>
      <c r="N135" s="237" t="n">
        <f aca="false">IF(C135&lt;=$I$16, $I$17, "")</f>
        <v>0</v>
      </c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26"/>
      <c r="AA135" s="226"/>
      <c r="AB135" s="226"/>
      <c r="AC135" s="226"/>
      <c r="AD135" s="235" t="n">
        <v>3</v>
      </c>
      <c r="AE135" s="236" t="n">
        <f aca="false">D135</f>
        <v>60</v>
      </c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7" t="e">
        <f aca="false">AO134</f>
        <v>#DIV/0!</v>
      </c>
      <c r="AP135" s="237"/>
      <c r="AQ135" s="237"/>
      <c r="AR135" s="237"/>
      <c r="AS135" s="237"/>
      <c r="AT135" s="237"/>
      <c r="AU135" s="237"/>
      <c r="AV135" s="237"/>
      <c r="AW135" s="237"/>
      <c r="AX135" s="237"/>
      <c r="AY135" s="237"/>
      <c r="AZ135" s="237"/>
      <c r="BA135" s="226"/>
      <c r="BB135" s="226"/>
      <c r="BC135" s="226"/>
      <c r="BD135" s="226"/>
      <c r="BE135" s="235" t="n">
        <v>3</v>
      </c>
      <c r="BF135" s="236" t="n">
        <f aca="false">AE135</f>
        <v>60</v>
      </c>
      <c r="BG135" s="236"/>
      <c r="BH135" s="236"/>
      <c r="BI135" s="236"/>
      <c r="BJ135" s="236"/>
      <c r="BK135" s="236"/>
      <c r="BL135" s="236"/>
      <c r="BM135" s="236"/>
      <c r="BN135" s="236"/>
      <c r="BO135" s="236"/>
      <c r="BP135" s="238"/>
      <c r="BQ135" s="238"/>
      <c r="BR135" s="238"/>
      <c r="BS135" s="238"/>
      <c r="BT135" s="238"/>
      <c r="BU135" s="238"/>
      <c r="BV135" s="238"/>
      <c r="BW135" s="238"/>
      <c r="BX135" s="238"/>
      <c r="BY135" s="238"/>
      <c r="BZ135" s="238"/>
      <c r="CA135" s="238"/>
      <c r="CB135" s="238"/>
      <c r="CC135" s="238"/>
      <c r="CI135" s="46"/>
    </row>
    <row r="136" customFormat="false" ht="12.75" hidden="false" customHeight="true" outlineLevel="0" collapsed="false">
      <c r="C136" s="235" t="n">
        <v>4</v>
      </c>
      <c r="D136" s="236" t="n">
        <f aca="false">IF(C136&lt;=$I$16, EDATE($D$6, C136-1), "")</f>
        <v>90</v>
      </c>
      <c r="E136" s="236"/>
      <c r="F136" s="236"/>
      <c r="G136" s="236"/>
      <c r="H136" s="236"/>
      <c r="I136" s="236"/>
      <c r="J136" s="236"/>
      <c r="K136" s="236"/>
      <c r="L136" s="236"/>
      <c r="M136" s="236"/>
      <c r="N136" s="237" t="n">
        <f aca="false">IF(C136&lt;=$I$16, $I$17, "")</f>
        <v>0</v>
      </c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26"/>
      <c r="AA136" s="226"/>
      <c r="AB136" s="226"/>
      <c r="AC136" s="226"/>
      <c r="AD136" s="235" t="n">
        <v>4</v>
      </c>
      <c r="AE136" s="236" t="n">
        <f aca="false">D136</f>
        <v>90</v>
      </c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7" t="e">
        <f aca="false">AO135</f>
        <v>#DIV/0!</v>
      </c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26"/>
      <c r="BB136" s="226"/>
      <c r="BC136" s="226"/>
      <c r="BD136" s="226"/>
      <c r="BE136" s="235" t="n">
        <v>4</v>
      </c>
      <c r="BF136" s="236" t="n">
        <f aca="false">AE136</f>
        <v>90</v>
      </c>
      <c r="BG136" s="236"/>
      <c r="BH136" s="236"/>
      <c r="BI136" s="236"/>
      <c r="BJ136" s="236"/>
      <c r="BK136" s="236"/>
      <c r="BL136" s="236"/>
      <c r="BM136" s="236"/>
      <c r="BN136" s="236"/>
      <c r="BO136" s="236"/>
      <c r="BP136" s="238"/>
      <c r="BQ136" s="238"/>
      <c r="BR136" s="238"/>
      <c r="BS136" s="238"/>
      <c r="BT136" s="238"/>
      <c r="BU136" s="238"/>
      <c r="BV136" s="238"/>
      <c r="BW136" s="238"/>
      <c r="BX136" s="238"/>
      <c r="BY136" s="238"/>
      <c r="BZ136" s="238"/>
      <c r="CA136" s="238"/>
      <c r="CB136" s="238"/>
      <c r="CC136" s="238"/>
      <c r="CI136" s="46"/>
    </row>
    <row r="137" customFormat="false" ht="12.75" hidden="false" customHeight="true" outlineLevel="0" collapsed="false">
      <c r="C137" s="235" t="n">
        <v>5</v>
      </c>
      <c r="D137" s="236" t="n">
        <f aca="false">IF(C137&lt;=$I$16, EDATE($D$6, C137-1), "")</f>
        <v>121</v>
      </c>
      <c r="E137" s="236"/>
      <c r="F137" s="236"/>
      <c r="G137" s="236"/>
      <c r="H137" s="236"/>
      <c r="I137" s="236"/>
      <c r="J137" s="236"/>
      <c r="K137" s="236"/>
      <c r="L137" s="236"/>
      <c r="M137" s="236"/>
      <c r="N137" s="237" t="n">
        <f aca="false">IF(C137&lt;=$I$16, $I$17, "")</f>
        <v>0</v>
      </c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26"/>
      <c r="AA137" s="226"/>
      <c r="AB137" s="226"/>
      <c r="AC137" s="226"/>
      <c r="AD137" s="235" t="n">
        <v>5</v>
      </c>
      <c r="AE137" s="236" t="n">
        <f aca="false">D137</f>
        <v>121</v>
      </c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7" t="e">
        <f aca="false">AO136</f>
        <v>#DIV/0!</v>
      </c>
      <c r="AP137" s="237"/>
      <c r="AQ137" s="237"/>
      <c r="AR137" s="237"/>
      <c r="AS137" s="237"/>
      <c r="AT137" s="237"/>
      <c r="AU137" s="237"/>
      <c r="AV137" s="237"/>
      <c r="AW137" s="237"/>
      <c r="AX137" s="237"/>
      <c r="AY137" s="237"/>
      <c r="AZ137" s="237"/>
      <c r="BA137" s="226"/>
      <c r="BB137" s="226"/>
      <c r="BC137" s="226"/>
      <c r="BD137" s="226"/>
      <c r="BE137" s="235" t="n">
        <v>5</v>
      </c>
      <c r="BF137" s="236" t="n">
        <f aca="false">AE137</f>
        <v>121</v>
      </c>
      <c r="BG137" s="236"/>
      <c r="BH137" s="236"/>
      <c r="BI137" s="236"/>
      <c r="BJ137" s="236"/>
      <c r="BK137" s="236"/>
      <c r="BL137" s="236"/>
      <c r="BM137" s="236"/>
      <c r="BN137" s="236"/>
      <c r="BO137" s="236"/>
      <c r="BP137" s="238"/>
      <c r="BQ137" s="238"/>
      <c r="BR137" s="238"/>
      <c r="BS137" s="238"/>
      <c r="BT137" s="238"/>
      <c r="BU137" s="238"/>
      <c r="BV137" s="238"/>
      <c r="BW137" s="238"/>
      <c r="BX137" s="238"/>
      <c r="BY137" s="238"/>
      <c r="BZ137" s="238"/>
      <c r="CA137" s="238"/>
      <c r="CB137" s="238"/>
      <c r="CC137" s="238"/>
      <c r="CI137" s="46"/>
    </row>
    <row r="138" customFormat="false" ht="12.75" hidden="false" customHeight="true" outlineLevel="0" collapsed="false">
      <c r="C138" s="235" t="n">
        <v>6</v>
      </c>
      <c r="D138" s="236" t="n">
        <f aca="false">IF(C138&lt;=$I$16, EDATE($D$6, C138-1), "")</f>
        <v>151</v>
      </c>
      <c r="E138" s="236"/>
      <c r="F138" s="236"/>
      <c r="G138" s="236"/>
      <c r="H138" s="236"/>
      <c r="I138" s="236"/>
      <c r="J138" s="236"/>
      <c r="K138" s="236"/>
      <c r="L138" s="236"/>
      <c r="M138" s="236"/>
      <c r="N138" s="237" t="n">
        <f aca="false">IF(C138&lt;=$I$16, $I$17, "")</f>
        <v>0</v>
      </c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26"/>
      <c r="AA138" s="226"/>
      <c r="AB138" s="226"/>
      <c r="AC138" s="226"/>
      <c r="AD138" s="235" t="n">
        <v>6</v>
      </c>
      <c r="AE138" s="236" t="n">
        <f aca="false">D138</f>
        <v>151</v>
      </c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7" t="e">
        <f aca="false">AO137</f>
        <v>#DIV/0!</v>
      </c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26"/>
      <c r="BB138" s="226"/>
      <c r="BC138" s="226"/>
      <c r="BD138" s="226"/>
      <c r="BE138" s="235" t="n">
        <v>6</v>
      </c>
      <c r="BF138" s="236" t="n">
        <f aca="false">AE138</f>
        <v>151</v>
      </c>
      <c r="BG138" s="236"/>
      <c r="BH138" s="236"/>
      <c r="BI138" s="236"/>
      <c r="BJ138" s="236"/>
      <c r="BK138" s="236"/>
      <c r="BL138" s="236"/>
      <c r="BM138" s="236"/>
      <c r="BN138" s="236"/>
      <c r="BO138" s="236"/>
      <c r="BP138" s="238"/>
      <c r="BQ138" s="238"/>
      <c r="BR138" s="238"/>
      <c r="BS138" s="238"/>
      <c r="BT138" s="238"/>
      <c r="BU138" s="238"/>
      <c r="BV138" s="238"/>
      <c r="BW138" s="238"/>
      <c r="BX138" s="238"/>
      <c r="BY138" s="238"/>
      <c r="BZ138" s="238"/>
      <c r="CA138" s="238"/>
      <c r="CB138" s="238"/>
      <c r="CC138" s="238"/>
      <c r="CI138" s="46"/>
    </row>
    <row r="139" customFormat="false" ht="12.75" hidden="false" customHeight="true" outlineLevel="0" collapsed="false">
      <c r="C139" s="235" t="n">
        <v>7</v>
      </c>
      <c r="D139" s="236" t="n">
        <f aca="false">IF(C139&lt;=$I$16, EDATE($D$6, C139-1), "")</f>
        <v>182</v>
      </c>
      <c r="E139" s="236"/>
      <c r="F139" s="236"/>
      <c r="G139" s="236"/>
      <c r="H139" s="236"/>
      <c r="I139" s="236"/>
      <c r="J139" s="236"/>
      <c r="K139" s="236"/>
      <c r="L139" s="236"/>
      <c r="M139" s="236"/>
      <c r="N139" s="237" t="n">
        <f aca="false">IF(C139&lt;=$I$16, $I$17, "")</f>
        <v>0</v>
      </c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26"/>
      <c r="AA139" s="226"/>
      <c r="AB139" s="226"/>
      <c r="AC139" s="226"/>
      <c r="AD139" s="235" t="n">
        <v>7</v>
      </c>
      <c r="AE139" s="236" t="n">
        <f aca="false">D139</f>
        <v>182</v>
      </c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7" t="e">
        <f aca="false">AO138</f>
        <v>#DIV/0!</v>
      </c>
      <c r="AP139" s="237"/>
      <c r="AQ139" s="237"/>
      <c r="AR139" s="237"/>
      <c r="AS139" s="237"/>
      <c r="AT139" s="237"/>
      <c r="AU139" s="237"/>
      <c r="AV139" s="237"/>
      <c r="AW139" s="237"/>
      <c r="AX139" s="237"/>
      <c r="AY139" s="237"/>
      <c r="AZ139" s="237"/>
      <c r="BA139" s="226"/>
      <c r="BB139" s="226"/>
      <c r="BC139" s="226"/>
      <c r="BD139" s="226"/>
      <c r="BE139" s="235" t="n">
        <v>7</v>
      </c>
      <c r="BF139" s="236" t="n">
        <f aca="false">AE139</f>
        <v>182</v>
      </c>
      <c r="BG139" s="236"/>
      <c r="BH139" s="236"/>
      <c r="BI139" s="236"/>
      <c r="BJ139" s="236"/>
      <c r="BK139" s="236"/>
      <c r="BL139" s="236"/>
      <c r="BM139" s="236"/>
      <c r="BN139" s="236"/>
      <c r="BO139" s="236"/>
      <c r="BP139" s="238"/>
      <c r="BQ139" s="238"/>
      <c r="BR139" s="238"/>
      <c r="BS139" s="238"/>
      <c r="BT139" s="238"/>
      <c r="BU139" s="238"/>
      <c r="BV139" s="238"/>
      <c r="BW139" s="238"/>
      <c r="BX139" s="238"/>
      <c r="BY139" s="238"/>
      <c r="BZ139" s="238"/>
      <c r="CA139" s="238"/>
      <c r="CB139" s="238"/>
      <c r="CC139" s="238"/>
      <c r="CI139" s="46"/>
    </row>
    <row r="140" customFormat="false" ht="12.75" hidden="false" customHeight="true" outlineLevel="0" collapsed="false">
      <c r="C140" s="235" t="n">
        <v>8</v>
      </c>
      <c r="D140" s="236" t="n">
        <f aca="false">IF(C140&lt;=$I$16, EDATE($D$6, C140-1), "")</f>
        <v>212</v>
      </c>
      <c r="E140" s="236"/>
      <c r="F140" s="236"/>
      <c r="G140" s="236"/>
      <c r="H140" s="236"/>
      <c r="I140" s="236"/>
      <c r="J140" s="236"/>
      <c r="K140" s="236"/>
      <c r="L140" s="236"/>
      <c r="M140" s="236"/>
      <c r="N140" s="237" t="n">
        <f aca="false">IF(C140&lt;=$I$16, $I$17, "")</f>
        <v>0</v>
      </c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26"/>
      <c r="AA140" s="226"/>
      <c r="AB140" s="226"/>
      <c r="AC140" s="226"/>
      <c r="AD140" s="235" t="n">
        <v>8</v>
      </c>
      <c r="AE140" s="236" t="n">
        <f aca="false">D140</f>
        <v>212</v>
      </c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7" t="e">
        <f aca="false">AO139</f>
        <v>#DIV/0!</v>
      </c>
      <c r="AP140" s="237"/>
      <c r="AQ140" s="237"/>
      <c r="AR140" s="237"/>
      <c r="AS140" s="237"/>
      <c r="AT140" s="237"/>
      <c r="AU140" s="237"/>
      <c r="AV140" s="237"/>
      <c r="AW140" s="237"/>
      <c r="AX140" s="237"/>
      <c r="AY140" s="237"/>
      <c r="AZ140" s="237"/>
      <c r="BA140" s="226"/>
      <c r="BB140" s="226"/>
      <c r="BC140" s="226"/>
      <c r="BD140" s="226"/>
      <c r="BE140" s="235" t="n">
        <v>8</v>
      </c>
      <c r="BF140" s="236" t="n">
        <f aca="false">AE140</f>
        <v>212</v>
      </c>
      <c r="BG140" s="236"/>
      <c r="BH140" s="236"/>
      <c r="BI140" s="236"/>
      <c r="BJ140" s="236"/>
      <c r="BK140" s="236"/>
      <c r="BL140" s="236"/>
      <c r="BM140" s="236"/>
      <c r="BN140" s="236"/>
      <c r="BO140" s="236"/>
      <c r="BP140" s="238"/>
      <c r="BQ140" s="238"/>
      <c r="BR140" s="238"/>
      <c r="BS140" s="238"/>
      <c r="BT140" s="238"/>
      <c r="BU140" s="238"/>
      <c r="BV140" s="238"/>
      <c r="BW140" s="238"/>
      <c r="BX140" s="238"/>
      <c r="BY140" s="238"/>
      <c r="BZ140" s="238"/>
      <c r="CA140" s="238"/>
      <c r="CB140" s="238"/>
      <c r="CC140" s="238"/>
      <c r="CI140" s="46"/>
    </row>
    <row r="141" customFormat="false" ht="12.75" hidden="false" customHeight="true" outlineLevel="0" collapsed="false">
      <c r="C141" s="235" t="n">
        <v>9</v>
      </c>
      <c r="D141" s="236" t="n">
        <f aca="false">IF(C141&lt;=$I$16, EDATE($D$6, C141-1), "")</f>
        <v>243</v>
      </c>
      <c r="E141" s="236"/>
      <c r="F141" s="236"/>
      <c r="G141" s="236"/>
      <c r="H141" s="236"/>
      <c r="I141" s="236"/>
      <c r="J141" s="236"/>
      <c r="K141" s="236"/>
      <c r="L141" s="236"/>
      <c r="M141" s="236"/>
      <c r="N141" s="237" t="n">
        <f aca="false">IF(C141&lt;=$I$16, $I$17, "")</f>
        <v>0</v>
      </c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26"/>
      <c r="AA141" s="226"/>
      <c r="AB141" s="226"/>
      <c r="AC141" s="226"/>
      <c r="AD141" s="235" t="n">
        <v>9</v>
      </c>
      <c r="AE141" s="236" t="n">
        <f aca="false">D141</f>
        <v>243</v>
      </c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7" t="e">
        <f aca="false">AO140</f>
        <v>#DIV/0!</v>
      </c>
      <c r="AP141" s="237"/>
      <c r="AQ141" s="237"/>
      <c r="AR141" s="237"/>
      <c r="AS141" s="237"/>
      <c r="AT141" s="237"/>
      <c r="AU141" s="237"/>
      <c r="AV141" s="237"/>
      <c r="AW141" s="237"/>
      <c r="AX141" s="237"/>
      <c r="AY141" s="237"/>
      <c r="AZ141" s="237"/>
      <c r="BA141" s="226"/>
      <c r="BB141" s="226"/>
      <c r="BC141" s="226"/>
      <c r="BD141" s="226"/>
      <c r="BE141" s="235" t="n">
        <v>9</v>
      </c>
      <c r="BF141" s="236" t="n">
        <f aca="false">AE141</f>
        <v>243</v>
      </c>
      <c r="BG141" s="236"/>
      <c r="BH141" s="236"/>
      <c r="BI141" s="236"/>
      <c r="BJ141" s="236"/>
      <c r="BK141" s="236"/>
      <c r="BL141" s="236"/>
      <c r="BM141" s="236"/>
      <c r="BN141" s="236"/>
      <c r="BO141" s="236"/>
      <c r="BP141" s="238"/>
      <c r="BQ141" s="238"/>
      <c r="BR141" s="238"/>
      <c r="BS141" s="238"/>
      <c r="BT141" s="238"/>
      <c r="BU141" s="238"/>
      <c r="BV141" s="238"/>
      <c r="BW141" s="238"/>
      <c r="BX141" s="238"/>
      <c r="BY141" s="238"/>
      <c r="BZ141" s="238"/>
      <c r="CA141" s="238"/>
      <c r="CB141" s="238"/>
      <c r="CC141" s="238"/>
      <c r="CI141" s="46"/>
    </row>
    <row r="142" customFormat="false" ht="12.75" hidden="false" customHeight="true" outlineLevel="0" collapsed="false">
      <c r="C142" s="235" t="n">
        <v>10</v>
      </c>
      <c r="D142" s="236" t="n">
        <f aca="false">IF(C142&lt;=$I$16, EDATE($D$6, C142-1), "")</f>
        <v>274</v>
      </c>
      <c r="E142" s="236"/>
      <c r="F142" s="236"/>
      <c r="G142" s="236"/>
      <c r="H142" s="236"/>
      <c r="I142" s="236"/>
      <c r="J142" s="236"/>
      <c r="K142" s="236"/>
      <c r="L142" s="236"/>
      <c r="M142" s="236"/>
      <c r="N142" s="237" t="n">
        <f aca="false">IF(C142&lt;=$I$16, $I$17, "")</f>
        <v>0</v>
      </c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26"/>
      <c r="AA142" s="226"/>
      <c r="AB142" s="226"/>
      <c r="AC142" s="226"/>
      <c r="AD142" s="235" t="n">
        <v>10</v>
      </c>
      <c r="AE142" s="236" t="n">
        <f aca="false">D142</f>
        <v>274</v>
      </c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7" t="e">
        <f aca="false">AO141</f>
        <v>#DIV/0!</v>
      </c>
      <c r="AP142" s="237"/>
      <c r="AQ142" s="237"/>
      <c r="AR142" s="237"/>
      <c r="AS142" s="237"/>
      <c r="AT142" s="237"/>
      <c r="AU142" s="237"/>
      <c r="AV142" s="237"/>
      <c r="AW142" s="237"/>
      <c r="AX142" s="237"/>
      <c r="AY142" s="237"/>
      <c r="AZ142" s="237"/>
      <c r="BA142" s="226"/>
      <c r="BB142" s="226"/>
      <c r="BC142" s="226"/>
      <c r="BD142" s="226"/>
      <c r="BE142" s="235" t="n">
        <v>10</v>
      </c>
      <c r="BF142" s="236" t="n">
        <f aca="false">AE142</f>
        <v>274</v>
      </c>
      <c r="BG142" s="236"/>
      <c r="BH142" s="236"/>
      <c r="BI142" s="236"/>
      <c r="BJ142" s="236"/>
      <c r="BK142" s="236"/>
      <c r="BL142" s="236"/>
      <c r="BM142" s="236"/>
      <c r="BN142" s="236"/>
      <c r="BO142" s="236"/>
      <c r="BP142" s="238"/>
      <c r="BQ142" s="238"/>
      <c r="BR142" s="238"/>
      <c r="BS142" s="238"/>
      <c r="BT142" s="238"/>
      <c r="BU142" s="238"/>
      <c r="BV142" s="238"/>
      <c r="BW142" s="238"/>
      <c r="BX142" s="238"/>
      <c r="BY142" s="238"/>
      <c r="BZ142" s="238"/>
      <c r="CA142" s="238"/>
      <c r="CB142" s="238"/>
      <c r="CC142" s="238"/>
      <c r="CI142" s="46"/>
    </row>
    <row r="143" customFormat="false" ht="12.75" hidden="false" customHeight="true" outlineLevel="0" collapsed="false">
      <c r="C143" s="235" t="n">
        <v>11</v>
      </c>
      <c r="D143" s="236" t="n">
        <f aca="false">IF(C143&lt;=$I$16, EDATE($D$6, C143-1), "")</f>
        <v>304</v>
      </c>
      <c r="E143" s="236"/>
      <c r="F143" s="236"/>
      <c r="G143" s="236"/>
      <c r="H143" s="236"/>
      <c r="I143" s="236"/>
      <c r="J143" s="236"/>
      <c r="K143" s="236"/>
      <c r="L143" s="236"/>
      <c r="M143" s="236"/>
      <c r="N143" s="237" t="n">
        <f aca="false">IF(C143&lt;=$I$16, $I$17, "")</f>
        <v>0</v>
      </c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26"/>
      <c r="AA143" s="226"/>
      <c r="AB143" s="226"/>
      <c r="AC143" s="226"/>
      <c r="AD143" s="235" t="n">
        <v>11</v>
      </c>
      <c r="AE143" s="236" t="n">
        <f aca="false">D143</f>
        <v>304</v>
      </c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7" t="e">
        <f aca="false">AO142</f>
        <v>#DIV/0!</v>
      </c>
      <c r="AP143" s="237"/>
      <c r="AQ143" s="237"/>
      <c r="AR143" s="237"/>
      <c r="AS143" s="237"/>
      <c r="AT143" s="237"/>
      <c r="AU143" s="237"/>
      <c r="AV143" s="237"/>
      <c r="AW143" s="237"/>
      <c r="AX143" s="237"/>
      <c r="AY143" s="237"/>
      <c r="AZ143" s="237"/>
      <c r="BA143" s="226"/>
      <c r="BB143" s="226"/>
      <c r="BC143" s="226"/>
      <c r="BD143" s="226"/>
      <c r="BE143" s="235" t="n">
        <v>11</v>
      </c>
      <c r="BF143" s="236" t="n">
        <f aca="false">AE143</f>
        <v>304</v>
      </c>
      <c r="BG143" s="236"/>
      <c r="BH143" s="236"/>
      <c r="BI143" s="236"/>
      <c r="BJ143" s="236"/>
      <c r="BK143" s="236"/>
      <c r="BL143" s="236"/>
      <c r="BM143" s="236"/>
      <c r="BN143" s="236"/>
      <c r="BO143" s="236"/>
      <c r="BP143" s="238"/>
      <c r="BQ143" s="238"/>
      <c r="BR143" s="238"/>
      <c r="BS143" s="238"/>
      <c r="BT143" s="238"/>
      <c r="BU143" s="238"/>
      <c r="BV143" s="238"/>
      <c r="BW143" s="238"/>
      <c r="BX143" s="238"/>
      <c r="BY143" s="238"/>
      <c r="BZ143" s="238"/>
      <c r="CA143" s="238"/>
      <c r="CB143" s="238"/>
      <c r="CC143" s="238"/>
      <c r="CI143" s="46"/>
    </row>
    <row r="144" customFormat="false" ht="12.75" hidden="false" customHeight="true" outlineLevel="0" collapsed="false">
      <c r="C144" s="235" t="n">
        <v>12</v>
      </c>
      <c r="D144" s="236" t="n">
        <f aca="false">IF(C144&lt;=$I$16, EDATE($D$6, C144-1), "")</f>
        <v>335</v>
      </c>
      <c r="E144" s="236"/>
      <c r="F144" s="236"/>
      <c r="G144" s="236"/>
      <c r="H144" s="236"/>
      <c r="I144" s="236"/>
      <c r="J144" s="236"/>
      <c r="K144" s="236"/>
      <c r="L144" s="236"/>
      <c r="M144" s="236"/>
      <c r="N144" s="237" t="n">
        <f aca="false">IF(C144&lt;=$I$16, $I$17, "")</f>
        <v>0</v>
      </c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26"/>
      <c r="AA144" s="226"/>
      <c r="AB144" s="226"/>
      <c r="AC144" s="226"/>
      <c r="AD144" s="235" t="n">
        <v>12</v>
      </c>
      <c r="AE144" s="236" t="n">
        <f aca="false">D144</f>
        <v>335</v>
      </c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7" t="e">
        <f aca="false">AO143</f>
        <v>#DIV/0!</v>
      </c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26"/>
      <c r="BB144" s="226"/>
      <c r="BC144" s="226"/>
      <c r="BD144" s="226"/>
      <c r="BE144" s="235" t="n">
        <v>12</v>
      </c>
      <c r="BF144" s="236" t="n">
        <f aca="false">AE144</f>
        <v>335</v>
      </c>
      <c r="BG144" s="236"/>
      <c r="BH144" s="236"/>
      <c r="BI144" s="236"/>
      <c r="BJ144" s="236"/>
      <c r="BK144" s="236"/>
      <c r="BL144" s="236"/>
      <c r="BM144" s="236"/>
      <c r="BN144" s="236"/>
      <c r="BO144" s="236"/>
      <c r="BP144" s="238"/>
      <c r="BQ144" s="238"/>
      <c r="BR144" s="238"/>
      <c r="BS144" s="238"/>
      <c r="BT144" s="238"/>
      <c r="BU144" s="238"/>
      <c r="BV144" s="238"/>
      <c r="BW144" s="238"/>
      <c r="BX144" s="238"/>
      <c r="BY144" s="238"/>
      <c r="BZ144" s="238"/>
      <c r="CA144" s="238"/>
      <c r="CB144" s="238"/>
      <c r="CC144" s="238"/>
      <c r="CI144" s="46"/>
    </row>
    <row r="145" customFormat="false" ht="12.75" hidden="false" customHeight="true" outlineLevel="0" collapsed="false">
      <c r="C145" s="235" t="n">
        <v>13</v>
      </c>
      <c r="D145" s="236" t="n">
        <f aca="false">IF(C145&lt;=$I$16, EDATE($D$6, C145-1), "")</f>
        <v>365</v>
      </c>
      <c r="E145" s="236"/>
      <c r="F145" s="236"/>
      <c r="G145" s="236"/>
      <c r="H145" s="236"/>
      <c r="I145" s="236"/>
      <c r="J145" s="236"/>
      <c r="K145" s="236"/>
      <c r="L145" s="236"/>
      <c r="M145" s="236"/>
      <c r="N145" s="237" t="n">
        <f aca="false">IF(C145&lt;=$I$16, $I$17, "")</f>
        <v>0</v>
      </c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26"/>
      <c r="AA145" s="226"/>
      <c r="AB145" s="226"/>
      <c r="AC145" s="226"/>
      <c r="AD145" s="235" t="n">
        <v>13</v>
      </c>
      <c r="AE145" s="236" t="n">
        <f aca="false">D145</f>
        <v>365</v>
      </c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7" t="e">
        <f aca="false">AO144</f>
        <v>#DIV/0!</v>
      </c>
      <c r="AP145" s="237"/>
      <c r="AQ145" s="237"/>
      <c r="AR145" s="237"/>
      <c r="AS145" s="237"/>
      <c r="AT145" s="237"/>
      <c r="AU145" s="237"/>
      <c r="AV145" s="237"/>
      <c r="AW145" s="237"/>
      <c r="AX145" s="237"/>
      <c r="AY145" s="237"/>
      <c r="AZ145" s="237"/>
      <c r="BA145" s="226"/>
      <c r="BB145" s="226"/>
      <c r="BC145" s="226"/>
      <c r="BD145" s="226"/>
      <c r="BE145" s="235" t="n">
        <v>13</v>
      </c>
      <c r="BF145" s="236" t="n">
        <f aca="false">AE145</f>
        <v>365</v>
      </c>
      <c r="BG145" s="236"/>
      <c r="BH145" s="236"/>
      <c r="BI145" s="236"/>
      <c r="BJ145" s="236"/>
      <c r="BK145" s="236"/>
      <c r="BL145" s="236"/>
      <c r="BM145" s="236"/>
      <c r="BN145" s="236"/>
      <c r="BO145" s="236"/>
      <c r="BP145" s="238"/>
      <c r="BQ145" s="238"/>
      <c r="BR145" s="238"/>
      <c r="BS145" s="238"/>
      <c r="BT145" s="238"/>
      <c r="BU145" s="238"/>
      <c r="BV145" s="238"/>
      <c r="BW145" s="238"/>
      <c r="BX145" s="238"/>
      <c r="BY145" s="238"/>
      <c r="BZ145" s="238"/>
      <c r="CA145" s="238"/>
      <c r="CB145" s="238"/>
      <c r="CC145" s="238"/>
      <c r="CI145" s="46"/>
    </row>
    <row r="146" customFormat="false" ht="12.75" hidden="false" customHeight="true" outlineLevel="0" collapsed="false">
      <c r="C146" s="235" t="n">
        <v>14</v>
      </c>
      <c r="D146" s="236" t="n">
        <f aca="false">IF(C146&lt;=$I$16, EDATE($D$6, C146-1), "")</f>
        <v>396</v>
      </c>
      <c r="E146" s="236"/>
      <c r="F146" s="236"/>
      <c r="G146" s="236"/>
      <c r="H146" s="236"/>
      <c r="I146" s="236"/>
      <c r="J146" s="236"/>
      <c r="K146" s="236"/>
      <c r="L146" s="236"/>
      <c r="M146" s="236"/>
      <c r="N146" s="237" t="n">
        <f aca="false">IF(C146&lt;=$I$16, $I$17, "")</f>
        <v>0</v>
      </c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26"/>
      <c r="AA146" s="226"/>
      <c r="AB146" s="226"/>
      <c r="AC146" s="226"/>
      <c r="AD146" s="235" t="n">
        <v>14</v>
      </c>
      <c r="AE146" s="236" t="n">
        <f aca="false">D146</f>
        <v>396</v>
      </c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7" t="e">
        <f aca="false">AO145</f>
        <v>#DIV/0!</v>
      </c>
      <c r="AP146" s="237"/>
      <c r="AQ146" s="237"/>
      <c r="AR146" s="237"/>
      <c r="AS146" s="237"/>
      <c r="AT146" s="237"/>
      <c r="AU146" s="237"/>
      <c r="AV146" s="237"/>
      <c r="AW146" s="237"/>
      <c r="AX146" s="237"/>
      <c r="AY146" s="237"/>
      <c r="AZ146" s="237"/>
      <c r="BA146" s="226"/>
      <c r="BB146" s="226"/>
      <c r="BC146" s="226"/>
      <c r="BD146" s="226"/>
      <c r="BE146" s="235" t="n">
        <v>14</v>
      </c>
      <c r="BF146" s="236" t="n">
        <f aca="false">AE146</f>
        <v>396</v>
      </c>
      <c r="BG146" s="236"/>
      <c r="BH146" s="236"/>
      <c r="BI146" s="236"/>
      <c r="BJ146" s="236"/>
      <c r="BK146" s="236"/>
      <c r="BL146" s="236"/>
      <c r="BM146" s="236"/>
      <c r="BN146" s="236"/>
      <c r="BO146" s="236"/>
      <c r="BP146" s="238"/>
      <c r="BQ146" s="238"/>
      <c r="BR146" s="238"/>
      <c r="BS146" s="238"/>
      <c r="BT146" s="238"/>
      <c r="BU146" s="238"/>
      <c r="BV146" s="238"/>
      <c r="BW146" s="238"/>
      <c r="BX146" s="238"/>
      <c r="BY146" s="238"/>
      <c r="BZ146" s="238"/>
      <c r="CA146" s="238"/>
      <c r="CB146" s="238"/>
      <c r="CC146" s="238"/>
      <c r="CI146" s="46"/>
    </row>
    <row r="147" customFormat="false" ht="12.75" hidden="false" customHeight="true" outlineLevel="0" collapsed="false">
      <c r="C147" s="235" t="n">
        <v>15</v>
      </c>
      <c r="D147" s="236" t="n">
        <f aca="false">IF(C147&lt;=$I$16, EDATE($D$6, C147-1), "")</f>
        <v>425</v>
      </c>
      <c r="E147" s="236"/>
      <c r="F147" s="236"/>
      <c r="G147" s="236"/>
      <c r="H147" s="236"/>
      <c r="I147" s="236"/>
      <c r="J147" s="236"/>
      <c r="K147" s="236"/>
      <c r="L147" s="236"/>
      <c r="M147" s="236"/>
      <c r="N147" s="237" t="n">
        <f aca="false">IF(C147&lt;=$I$16, $I$17, "")</f>
        <v>0</v>
      </c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26"/>
      <c r="AA147" s="226"/>
      <c r="AB147" s="226"/>
      <c r="AC147" s="226"/>
      <c r="AD147" s="235" t="n">
        <v>15</v>
      </c>
      <c r="AE147" s="236" t="n">
        <f aca="false">D147</f>
        <v>425</v>
      </c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7" t="e">
        <f aca="false">AO146</f>
        <v>#DIV/0!</v>
      </c>
      <c r="AP147" s="237"/>
      <c r="AQ147" s="237"/>
      <c r="AR147" s="237"/>
      <c r="AS147" s="237"/>
      <c r="AT147" s="237"/>
      <c r="AU147" s="237"/>
      <c r="AV147" s="237"/>
      <c r="AW147" s="237"/>
      <c r="AX147" s="237"/>
      <c r="AY147" s="237"/>
      <c r="AZ147" s="237"/>
      <c r="BA147" s="226"/>
      <c r="BB147" s="226"/>
      <c r="BC147" s="226"/>
      <c r="BD147" s="226"/>
      <c r="BE147" s="235" t="n">
        <v>15</v>
      </c>
      <c r="BF147" s="236" t="n">
        <f aca="false">AE147</f>
        <v>425</v>
      </c>
      <c r="BG147" s="236"/>
      <c r="BH147" s="236"/>
      <c r="BI147" s="236"/>
      <c r="BJ147" s="236"/>
      <c r="BK147" s="236"/>
      <c r="BL147" s="236"/>
      <c r="BM147" s="236"/>
      <c r="BN147" s="236"/>
      <c r="BO147" s="236"/>
      <c r="BP147" s="238"/>
      <c r="BQ147" s="238"/>
      <c r="BR147" s="238"/>
      <c r="BS147" s="238"/>
      <c r="BT147" s="238"/>
      <c r="BU147" s="238"/>
      <c r="BV147" s="238"/>
      <c r="BW147" s="238"/>
      <c r="BX147" s="238"/>
      <c r="BY147" s="238"/>
      <c r="BZ147" s="238"/>
      <c r="CA147" s="238"/>
      <c r="CB147" s="238"/>
      <c r="CC147" s="238"/>
      <c r="CI147" s="46"/>
    </row>
    <row r="148" customFormat="false" ht="12.75" hidden="false" customHeight="true" outlineLevel="0" collapsed="false">
      <c r="C148" s="235" t="n">
        <v>16</v>
      </c>
      <c r="D148" s="236" t="n">
        <f aca="false">IF(C148&lt;=$I$16, EDATE($D$6, C148-1), "")</f>
        <v>455</v>
      </c>
      <c r="E148" s="236"/>
      <c r="F148" s="236"/>
      <c r="G148" s="236"/>
      <c r="H148" s="236"/>
      <c r="I148" s="236"/>
      <c r="J148" s="236"/>
      <c r="K148" s="236"/>
      <c r="L148" s="236"/>
      <c r="M148" s="236"/>
      <c r="N148" s="237" t="n">
        <f aca="false">IF(C148&lt;=$I$16, $I$17, "")</f>
        <v>0</v>
      </c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26"/>
      <c r="AA148" s="226"/>
      <c r="AB148" s="226"/>
      <c r="AC148" s="226"/>
      <c r="AD148" s="235" t="n">
        <v>16</v>
      </c>
      <c r="AE148" s="236" t="n">
        <f aca="false">D148</f>
        <v>455</v>
      </c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7" t="e">
        <f aca="false">AO147</f>
        <v>#DIV/0!</v>
      </c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26"/>
      <c r="BB148" s="226"/>
      <c r="BC148" s="226"/>
      <c r="BD148" s="226"/>
      <c r="BE148" s="235" t="n">
        <v>16</v>
      </c>
      <c r="BF148" s="236" t="n">
        <f aca="false">AE148</f>
        <v>455</v>
      </c>
      <c r="BG148" s="236"/>
      <c r="BH148" s="236"/>
      <c r="BI148" s="236"/>
      <c r="BJ148" s="236"/>
      <c r="BK148" s="236"/>
      <c r="BL148" s="236"/>
      <c r="BM148" s="236"/>
      <c r="BN148" s="236"/>
      <c r="BO148" s="236"/>
      <c r="BP148" s="238"/>
      <c r="BQ148" s="238"/>
      <c r="BR148" s="238"/>
      <c r="BS148" s="238"/>
      <c r="BT148" s="238"/>
      <c r="BU148" s="238"/>
      <c r="BV148" s="238"/>
      <c r="BW148" s="238"/>
      <c r="BX148" s="238"/>
      <c r="BY148" s="238"/>
      <c r="BZ148" s="238"/>
      <c r="CA148" s="238"/>
      <c r="CB148" s="238"/>
      <c r="CC148" s="238"/>
      <c r="CI148" s="46"/>
    </row>
    <row r="149" customFormat="false" ht="12.75" hidden="false" customHeight="true" outlineLevel="0" collapsed="false">
      <c r="C149" s="235" t="n">
        <v>17</v>
      </c>
      <c r="D149" s="236" t="n">
        <f aca="false">IF(C149&lt;=$I$16, EDATE($D$6, C149-1), "")</f>
        <v>486</v>
      </c>
      <c r="E149" s="236"/>
      <c r="F149" s="236"/>
      <c r="G149" s="236"/>
      <c r="H149" s="236"/>
      <c r="I149" s="236"/>
      <c r="J149" s="236"/>
      <c r="K149" s="236"/>
      <c r="L149" s="236"/>
      <c r="M149" s="236"/>
      <c r="N149" s="237" t="n">
        <f aca="false">IF(C149&lt;=$I$16, $I$17, "")</f>
        <v>0</v>
      </c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26"/>
      <c r="AA149" s="226"/>
      <c r="AB149" s="226"/>
      <c r="AC149" s="226"/>
      <c r="AD149" s="235" t="n">
        <v>17</v>
      </c>
      <c r="AE149" s="236" t="n">
        <f aca="false">D149</f>
        <v>486</v>
      </c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7" t="e">
        <f aca="false">AO148</f>
        <v>#DIV/0!</v>
      </c>
      <c r="AP149" s="237"/>
      <c r="AQ149" s="237"/>
      <c r="AR149" s="237"/>
      <c r="AS149" s="237"/>
      <c r="AT149" s="237"/>
      <c r="AU149" s="237"/>
      <c r="AV149" s="237"/>
      <c r="AW149" s="237"/>
      <c r="AX149" s="237"/>
      <c r="AY149" s="237"/>
      <c r="AZ149" s="237"/>
      <c r="BA149" s="226"/>
      <c r="BB149" s="226"/>
      <c r="BC149" s="226"/>
      <c r="BD149" s="226"/>
      <c r="BE149" s="235" t="n">
        <v>17</v>
      </c>
      <c r="BF149" s="236" t="n">
        <f aca="false">AE149</f>
        <v>486</v>
      </c>
      <c r="BG149" s="236"/>
      <c r="BH149" s="236"/>
      <c r="BI149" s="236"/>
      <c r="BJ149" s="236"/>
      <c r="BK149" s="236"/>
      <c r="BL149" s="236"/>
      <c r="BM149" s="236"/>
      <c r="BN149" s="236"/>
      <c r="BO149" s="236"/>
      <c r="BP149" s="238"/>
      <c r="BQ149" s="238"/>
      <c r="BR149" s="238"/>
      <c r="BS149" s="238"/>
      <c r="BT149" s="238"/>
      <c r="BU149" s="238"/>
      <c r="BV149" s="238"/>
      <c r="BW149" s="238"/>
      <c r="BX149" s="238"/>
      <c r="BY149" s="238"/>
      <c r="BZ149" s="238"/>
      <c r="CA149" s="238"/>
      <c r="CB149" s="238"/>
      <c r="CC149" s="238"/>
      <c r="CI149" s="46"/>
    </row>
    <row r="150" customFormat="false" ht="12.75" hidden="false" customHeight="true" outlineLevel="0" collapsed="false">
      <c r="C150" s="235" t="n">
        <v>18</v>
      </c>
      <c r="D150" s="236" t="n">
        <f aca="false">IF(C150&lt;=$I$16, EDATE($D$6, C150-1), "")</f>
        <v>516</v>
      </c>
      <c r="E150" s="236"/>
      <c r="F150" s="236"/>
      <c r="G150" s="236"/>
      <c r="H150" s="236"/>
      <c r="I150" s="236"/>
      <c r="J150" s="236"/>
      <c r="K150" s="236"/>
      <c r="L150" s="236"/>
      <c r="M150" s="236"/>
      <c r="N150" s="237" t="n">
        <f aca="false">IF(C150&lt;=$I$16, $I$17, "")</f>
        <v>0</v>
      </c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26"/>
      <c r="AA150" s="226"/>
      <c r="AB150" s="226"/>
      <c r="AC150" s="226"/>
      <c r="AD150" s="235" t="n">
        <v>18</v>
      </c>
      <c r="AE150" s="236" t="n">
        <f aca="false">D150</f>
        <v>516</v>
      </c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7" t="e">
        <f aca="false">AO149</f>
        <v>#DIV/0!</v>
      </c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26"/>
      <c r="BB150" s="226"/>
      <c r="BC150" s="226"/>
      <c r="BD150" s="226"/>
      <c r="BE150" s="235" t="n">
        <v>18</v>
      </c>
      <c r="BF150" s="236" t="n">
        <f aca="false">AE150</f>
        <v>516</v>
      </c>
      <c r="BG150" s="236"/>
      <c r="BH150" s="236"/>
      <c r="BI150" s="236"/>
      <c r="BJ150" s="236"/>
      <c r="BK150" s="236"/>
      <c r="BL150" s="236"/>
      <c r="BM150" s="236"/>
      <c r="BN150" s="236"/>
      <c r="BO150" s="236"/>
      <c r="BP150" s="238"/>
      <c r="BQ150" s="238"/>
      <c r="BR150" s="238"/>
      <c r="BS150" s="238"/>
      <c r="BT150" s="238"/>
      <c r="BU150" s="238"/>
      <c r="BV150" s="238"/>
      <c r="BW150" s="238"/>
      <c r="BX150" s="238"/>
      <c r="BY150" s="238"/>
      <c r="BZ150" s="238"/>
      <c r="CA150" s="238"/>
      <c r="CB150" s="238"/>
      <c r="CC150" s="238"/>
      <c r="CI150" s="46"/>
    </row>
    <row r="151" customFormat="false" ht="12.75" hidden="false" customHeight="true" outlineLevel="0" collapsed="false">
      <c r="C151" s="235" t="n">
        <v>19</v>
      </c>
      <c r="D151" s="236" t="n">
        <f aca="false">IF(C151&lt;=$I$16, EDATE($D$6, C151-1), "")</f>
        <v>547</v>
      </c>
      <c r="E151" s="236"/>
      <c r="F151" s="236"/>
      <c r="G151" s="236"/>
      <c r="H151" s="236"/>
      <c r="I151" s="236"/>
      <c r="J151" s="236"/>
      <c r="K151" s="236"/>
      <c r="L151" s="236"/>
      <c r="M151" s="236"/>
      <c r="N151" s="237" t="n">
        <f aca="false">IF(C151&lt;=$I$16, $I$17, "")</f>
        <v>0</v>
      </c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26"/>
      <c r="AA151" s="226"/>
      <c r="AB151" s="226"/>
      <c r="AC151" s="226"/>
      <c r="AD151" s="235" t="n">
        <v>19</v>
      </c>
      <c r="AE151" s="236" t="n">
        <f aca="false">D151</f>
        <v>547</v>
      </c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7" t="e">
        <f aca="false">AO150</f>
        <v>#DIV/0!</v>
      </c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26"/>
      <c r="BB151" s="226"/>
      <c r="BC151" s="226"/>
      <c r="BD151" s="226"/>
      <c r="BE151" s="235" t="n">
        <v>19</v>
      </c>
      <c r="BF151" s="236" t="n">
        <f aca="false">AE151</f>
        <v>547</v>
      </c>
      <c r="BG151" s="236"/>
      <c r="BH151" s="236"/>
      <c r="BI151" s="236"/>
      <c r="BJ151" s="236"/>
      <c r="BK151" s="236"/>
      <c r="BL151" s="236"/>
      <c r="BM151" s="236"/>
      <c r="BN151" s="236"/>
      <c r="BO151" s="236"/>
      <c r="BP151" s="238"/>
      <c r="BQ151" s="238"/>
      <c r="BR151" s="238"/>
      <c r="BS151" s="238"/>
      <c r="BT151" s="238"/>
      <c r="BU151" s="238"/>
      <c r="BV151" s="238"/>
      <c r="BW151" s="238"/>
      <c r="BX151" s="238"/>
      <c r="BY151" s="238"/>
      <c r="BZ151" s="238"/>
      <c r="CA151" s="238"/>
      <c r="CB151" s="238"/>
      <c r="CC151" s="238"/>
      <c r="CI151" s="46"/>
    </row>
    <row r="152" customFormat="false" ht="12.75" hidden="false" customHeight="true" outlineLevel="0" collapsed="false">
      <c r="C152" s="235" t="n">
        <v>20</v>
      </c>
      <c r="D152" s="236" t="n">
        <f aca="false">IF(C152&lt;=$I$16, EDATE($D$6, C152-1), "")</f>
        <v>577</v>
      </c>
      <c r="E152" s="236"/>
      <c r="F152" s="236"/>
      <c r="G152" s="236"/>
      <c r="H152" s="236"/>
      <c r="I152" s="236"/>
      <c r="J152" s="236"/>
      <c r="K152" s="236"/>
      <c r="L152" s="236"/>
      <c r="M152" s="236"/>
      <c r="N152" s="237" t="n">
        <f aca="false">IF(C152&lt;=$I$16, $I$17, "")</f>
        <v>0</v>
      </c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26"/>
      <c r="AA152" s="226"/>
      <c r="AB152" s="226"/>
      <c r="AC152" s="226"/>
      <c r="AD152" s="235" t="n">
        <v>20</v>
      </c>
      <c r="AE152" s="236" t="n">
        <f aca="false">D152</f>
        <v>577</v>
      </c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7" t="e">
        <f aca="false">AO151</f>
        <v>#DIV/0!</v>
      </c>
      <c r="AP152" s="237"/>
      <c r="AQ152" s="237"/>
      <c r="AR152" s="237"/>
      <c r="AS152" s="237"/>
      <c r="AT152" s="237"/>
      <c r="AU152" s="237"/>
      <c r="AV152" s="237"/>
      <c r="AW152" s="237"/>
      <c r="AX152" s="237"/>
      <c r="AY152" s="237"/>
      <c r="AZ152" s="237"/>
      <c r="BA152" s="226"/>
      <c r="BB152" s="226"/>
      <c r="BC152" s="226"/>
      <c r="BD152" s="226"/>
      <c r="BE152" s="235" t="n">
        <v>20</v>
      </c>
      <c r="BF152" s="236" t="n">
        <f aca="false">AE152</f>
        <v>577</v>
      </c>
      <c r="BG152" s="236"/>
      <c r="BH152" s="236"/>
      <c r="BI152" s="236"/>
      <c r="BJ152" s="236"/>
      <c r="BK152" s="236"/>
      <c r="BL152" s="236"/>
      <c r="BM152" s="236"/>
      <c r="BN152" s="236"/>
      <c r="BO152" s="236"/>
      <c r="BP152" s="238"/>
      <c r="BQ152" s="238"/>
      <c r="BR152" s="238"/>
      <c r="BS152" s="238"/>
      <c r="BT152" s="238"/>
      <c r="BU152" s="238"/>
      <c r="BV152" s="238"/>
      <c r="BW152" s="238"/>
      <c r="BX152" s="238"/>
      <c r="BY152" s="238"/>
      <c r="BZ152" s="238"/>
      <c r="CA152" s="238"/>
      <c r="CB152" s="238"/>
      <c r="CC152" s="238"/>
      <c r="CI152" s="46"/>
    </row>
    <row r="153" customFormat="false" ht="12.75" hidden="false" customHeight="true" outlineLevel="0" collapsed="false">
      <c r="C153" s="235" t="n">
        <v>21</v>
      </c>
      <c r="D153" s="236" t="n">
        <f aca="false">IF(C153&lt;=$I$16, EDATE($D$6, C153-1), "")</f>
        <v>608</v>
      </c>
      <c r="E153" s="236"/>
      <c r="F153" s="236"/>
      <c r="G153" s="236"/>
      <c r="H153" s="236"/>
      <c r="I153" s="236"/>
      <c r="J153" s="236"/>
      <c r="K153" s="236"/>
      <c r="L153" s="236"/>
      <c r="M153" s="236"/>
      <c r="N153" s="237" t="n">
        <f aca="false">IF(C153&lt;=$I$16, $I$17, "")</f>
        <v>0</v>
      </c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26"/>
      <c r="AA153" s="226"/>
      <c r="AB153" s="226"/>
      <c r="AC153" s="226"/>
      <c r="AD153" s="235" t="n">
        <v>21</v>
      </c>
      <c r="AE153" s="236" t="n">
        <f aca="false">D153</f>
        <v>608</v>
      </c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7" t="e">
        <f aca="false">AO152</f>
        <v>#DIV/0!</v>
      </c>
      <c r="AP153" s="237"/>
      <c r="AQ153" s="237"/>
      <c r="AR153" s="237"/>
      <c r="AS153" s="237"/>
      <c r="AT153" s="237"/>
      <c r="AU153" s="237"/>
      <c r="AV153" s="237"/>
      <c r="AW153" s="237"/>
      <c r="AX153" s="237"/>
      <c r="AY153" s="237"/>
      <c r="AZ153" s="237"/>
      <c r="BA153" s="226"/>
      <c r="BB153" s="226"/>
      <c r="BC153" s="226"/>
      <c r="BD153" s="226"/>
      <c r="BE153" s="235" t="n">
        <v>21</v>
      </c>
      <c r="BF153" s="236" t="n">
        <f aca="false">AE153</f>
        <v>608</v>
      </c>
      <c r="BG153" s="236"/>
      <c r="BH153" s="236"/>
      <c r="BI153" s="236"/>
      <c r="BJ153" s="236"/>
      <c r="BK153" s="236"/>
      <c r="BL153" s="236"/>
      <c r="BM153" s="236"/>
      <c r="BN153" s="236"/>
      <c r="BO153" s="236"/>
      <c r="BP153" s="238"/>
      <c r="BQ153" s="238"/>
      <c r="BR153" s="238"/>
      <c r="BS153" s="238"/>
      <c r="BT153" s="238"/>
      <c r="BU153" s="238"/>
      <c r="BV153" s="238"/>
      <c r="BW153" s="238"/>
      <c r="BX153" s="238"/>
      <c r="BY153" s="238"/>
      <c r="BZ153" s="238"/>
      <c r="CA153" s="238"/>
      <c r="CB153" s="238"/>
      <c r="CC153" s="238"/>
      <c r="CI153" s="46"/>
    </row>
    <row r="154" customFormat="false" ht="12.75" hidden="false" customHeight="true" outlineLevel="0" collapsed="false">
      <c r="C154" s="235" t="n">
        <v>22</v>
      </c>
      <c r="D154" s="236" t="n">
        <f aca="false">IF(C154&lt;=$I$16, EDATE($D$6, C154-1), "")</f>
        <v>639</v>
      </c>
      <c r="E154" s="236"/>
      <c r="F154" s="236"/>
      <c r="G154" s="236"/>
      <c r="H154" s="236"/>
      <c r="I154" s="236"/>
      <c r="J154" s="236"/>
      <c r="K154" s="236"/>
      <c r="L154" s="236"/>
      <c r="M154" s="236"/>
      <c r="N154" s="237" t="n">
        <f aca="false">IF(C154&lt;=$I$16, $I$17, "")</f>
        <v>0</v>
      </c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26"/>
      <c r="AA154" s="226"/>
      <c r="AB154" s="226"/>
      <c r="AC154" s="226"/>
      <c r="AD154" s="235" t="n">
        <v>22</v>
      </c>
      <c r="AE154" s="236" t="n">
        <f aca="false">D154</f>
        <v>639</v>
      </c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7" t="e">
        <f aca="false">AO153</f>
        <v>#DIV/0!</v>
      </c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26"/>
      <c r="BB154" s="226"/>
      <c r="BC154" s="226"/>
      <c r="BD154" s="226"/>
      <c r="BE154" s="235" t="n">
        <v>22</v>
      </c>
      <c r="BF154" s="236" t="n">
        <f aca="false">AE154</f>
        <v>639</v>
      </c>
      <c r="BG154" s="236"/>
      <c r="BH154" s="236"/>
      <c r="BI154" s="236"/>
      <c r="BJ154" s="236"/>
      <c r="BK154" s="236"/>
      <c r="BL154" s="236"/>
      <c r="BM154" s="236"/>
      <c r="BN154" s="236"/>
      <c r="BO154" s="236"/>
      <c r="BP154" s="238"/>
      <c r="BQ154" s="238"/>
      <c r="BR154" s="238"/>
      <c r="BS154" s="238"/>
      <c r="BT154" s="238"/>
      <c r="BU154" s="238"/>
      <c r="BV154" s="238"/>
      <c r="BW154" s="238"/>
      <c r="BX154" s="238"/>
      <c r="BY154" s="238"/>
      <c r="BZ154" s="238"/>
      <c r="CA154" s="238"/>
      <c r="CB154" s="238"/>
      <c r="CC154" s="238"/>
      <c r="CI154" s="46"/>
    </row>
    <row r="155" customFormat="false" ht="12.75" hidden="false" customHeight="true" outlineLevel="0" collapsed="false">
      <c r="C155" s="235" t="n">
        <v>23</v>
      </c>
      <c r="D155" s="236" t="n">
        <f aca="false">IF(C155&lt;=$I$16, EDATE($D$6, C155-1), "")</f>
        <v>669</v>
      </c>
      <c r="E155" s="236"/>
      <c r="F155" s="236"/>
      <c r="G155" s="236"/>
      <c r="H155" s="236"/>
      <c r="I155" s="236"/>
      <c r="J155" s="236"/>
      <c r="K155" s="236"/>
      <c r="L155" s="236"/>
      <c r="M155" s="236"/>
      <c r="N155" s="237" t="n">
        <f aca="false">IF(C155&lt;=$I$16, $I$17, "")</f>
        <v>0</v>
      </c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26"/>
      <c r="AA155" s="226"/>
      <c r="AB155" s="226"/>
      <c r="AC155" s="226"/>
      <c r="AD155" s="235" t="n">
        <v>23</v>
      </c>
      <c r="AE155" s="236" t="n">
        <f aca="false">D155</f>
        <v>669</v>
      </c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7" t="e">
        <f aca="false">AO154</f>
        <v>#DIV/0!</v>
      </c>
      <c r="AP155" s="237"/>
      <c r="AQ155" s="237"/>
      <c r="AR155" s="237"/>
      <c r="AS155" s="237"/>
      <c r="AT155" s="237"/>
      <c r="AU155" s="237"/>
      <c r="AV155" s="237"/>
      <c r="AW155" s="237"/>
      <c r="AX155" s="237"/>
      <c r="AY155" s="237"/>
      <c r="AZ155" s="237"/>
      <c r="BA155" s="226"/>
      <c r="BB155" s="226"/>
      <c r="BC155" s="226"/>
      <c r="BD155" s="226"/>
      <c r="BE155" s="235" t="n">
        <v>23</v>
      </c>
      <c r="BF155" s="236" t="n">
        <f aca="false">AE155</f>
        <v>669</v>
      </c>
      <c r="BG155" s="236"/>
      <c r="BH155" s="236"/>
      <c r="BI155" s="236"/>
      <c r="BJ155" s="236"/>
      <c r="BK155" s="236"/>
      <c r="BL155" s="236"/>
      <c r="BM155" s="236"/>
      <c r="BN155" s="236"/>
      <c r="BO155" s="236"/>
      <c r="BP155" s="238"/>
      <c r="BQ155" s="238"/>
      <c r="BR155" s="238"/>
      <c r="BS155" s="238"/>
      <c r="BT155" s="238"/>
      <c r="BU155" s="238"/>
      <c r="BV155" s="238"/>
      <c r="BW155" s="238"/>
      <c r="BX155" s="238"/>
      <c r="BY155" s="238"/>
      <c r="BZ155" s="238"/>
      <c r="CA155" s="238"/>
      <c r="CB155" s="238"/>
      <c r="CC155" s="238"/>
      <c r="CI155" s="46"/>
    </row>
    <row r="156" customFormat="false" ht="12.75" hidden="false" customHeight="true" outlineLevel="0" collapsed="false">
      <c r="C156" s="235" t="n">
        <v>24</v>
      </c>
      <c r="D156" s="236" t="n">
        <f aca="false">IF(C156&lt;=$I$16, EDATE($D$6, C156-1), "")</f>
        <v>700</v>
      </c>
      <c r="E156" s="236"/>
      <c r="F156" s="236"/>
      <c r="G156" s="236"/>
      <c r="H156" s="236"/>
      <c r="I156" s="236"/>
      <c r="J156" s="236"/>
      <c r="K156" s="236"/>
      <c r="L156" s="236"/>
      <c r="M156" s="236"/>
      <c r="N156" s="237" t="n">
        <f aca="false">IF(C156&lt;=$I$16, $I$17, "")</f>
        <v>0</v>
      </c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26"/>
      <c r="AA156" s="226"/>
      <c r="AB156" s="226"/>
      <c r="AC156" s="226"/>
      <c r="AD156" s="235" t="n">
        <v>24</v>
      </c>
      <c r="AE156" s="236" t="n">
        <f aca="false">D156</f>
        <v>700</v>
      </c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7" t="e">
        <f aca="false">AO155</f>
        <v>#DIV/0!</v>
      </c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26"/>
      <c r="BB156" s="226"/>
      <c r="BC156" s="226"/>
      <c r="BD156" s="226"/>
      <c r="BE156" s="235" t="n">
        <v>24</v>
      </c>
      <c r="BF156" s="236" t="n">
        <f aca="false">AE156</f>
        <v>700</v>
      </c>
      <c r="BG156" s="236"/>
      <c r="BH156" s="236"/>
      <c r="BI156" s="236"/>
      <c r="BJ156" s="236"/>
      <c r="BK156" s="236"/>
      <c r="BL156" s="236"/>
      <c r="BM156" s="236"/>
      <c r="BN156" s="236"/>
      <c r="BO156" s="236"/>
      <c r="BP156" s="238"/>
      <c r="BQ156" s="238"/>
      <c r="BR156" s="238"/>
      <c r="BS156" s="238"/>
      <c r="BT156" s="238"/>
      <c r="BU156" s="238"/>
      <c r="BV156" s="238"/>
      <c r="BW156" s="238"/>
      <c r="BX156" s="238"/>
      <c r="BY156" s="238"/>
      <c r="BZ156" s="238"/>
      <c r="CA156" s="238"/>
      <c r="CB156" s="238"/>
      <c r="CC156" s="238"/>
      <c r="CI156" s="46"/>
    </row>
    <row r="157" customFormat="false" ht="13.5" hidden="false" customHeight="false" outlineLevel="0" collapsed="false">
      <c r="C157" s="235" t="n">
        <v>25</v>
      </c>
      <c r="D157" s="236" t="n">
        <f aca="false">IF(C157&lt;=$I$16, EDATE($D$6, C157-1), "")</f>
        <v>730</v>
      </c>
      <c r="E157" s="236"/>
      <c r="F157" s="236"/>
      <c r="G157" s="236"/>
      <c r="H157" s="236"/>
      <c r="I157" s="236"/>
      <c r="J157" s="236"/>
      <c r="K157" s="236"/>
      <c r="L157" s="236"/>
      <c r="M157" s="236"/>
      <c r="N157" s="237" t="n">
        <f aca="false">IF(C157&lt;=$I$16, $I$17, "")</f>
        <v>0</v>
      </c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AD157" s="235" t="n">
        <v>25</v>
      </c>
      <c r="AE157" s="236" t="n">
        <f aca="false">D157</f>
        <v>730</v>
      </c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7" t="e">
        <f aca="false">AO156</f>
        <v>#DIV/0!</v>
      </c>
      <c r="AP157" s="237"/>
      <c r="AQ157" s="237"/>
      <c r="AR157" s="237"/>
      <c r="AS157" s="237"/>
      <c r="AT157" s="237"/>
      <c r="AU157" s="237"/>
      <c r="AV157" s="237"/>
      <c r="AW157" s="237"/>
      <c r="AX157" s="237"/>
      <c r="AY157" s="237"/>
      <c r="AZ157" s="237"/>
      <c r="BE157" s="235" t="n">
        <v>25</v>
      </c>
      <c r="BF157" s="236" t="n">
        <f aca="false">AE157</f>
        <v>730</v>
      </c>
      <c r="BG157" s="236"/>
      <c r="BH157" s="236"/>
      <c r="BI157" s="236"/>
      <c r="BJ157" s="236"/>
      <c r="BK157" s="236"/>
      <c r="BL157" s="236"/>
      <c r="BM157" s="236"/>
      <c r="BN157" s="236"/>
      <c r="BO157" s="236"/>
      <c r="BP157" s="238"/>
      <c r="BQ157" s="238"/>
      <c r="BR157" s="238"/>
      <c r="BS157" s="238"/>
      <c r="BT157" s="238"/>
      <c r="BU157" s="238"/>
      <c r="BV157" s="238"/>
      <c r="BW157" s="238"/>
      <c r="BX157" s="238"/>
      <c r="BY157" s="238"/>
      <c r="BZ157" s="238"/>
      <c r="CA157" s="238"/>
      <c r="CB157" s="238"/>
      <c r="CC157" s="238"/>
      <c r="CI157" s="46"/>
    </row>
    <row r="158" customFormat="false" ht="13.5" hidden="false" customHeight="false" outlineLevel="0" collapsed="false">
      <c r="C158" s="235" t="n">
        <v>26</v>
      </c>
      <c r="D158" s="236" t="n">
        <f aca="false">IF(C158&lt;=$I$16, EDATE($D$6, C158-1), "")</f>
        <v>761</v>
      </c>
      <c r="E158" s="236"/>
      <c r="F158" s="236"/>
      <c r="G158" s="236"/>
      <c r="H158" s="236"/>
      <c r="I158" s="236"/>
      <c r="J158" s="236"/>
      <c r="K158" s="236"/>
      <c r="L158" s="236"/>
      <c r="M158" s="236"/>
      <c r="N158" s="237" t="n">
        <f aca="false">IF(C158&lt;=$I$16, $I$17, "")</f>
        <v>0</v>
      </c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AD158" s="235" t="n">
        <v>26</v>
      </c>
      <c r="AE158" s="236" t="n">
        <f aca="false">D158</f>
        <v>761</v>
      </c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7" t="e">
        <f aca="false">AO157</f>
        <v>#DIV/0!</v>
      </c>
      <c r="AP158" s="237"/>
      <c r="AQ158" s="237"/>
      <c r="AR158" s="237"/>
      <c r="AS158" s="237"/>
      <c r="AT158" s="237"/>
      <c r="AU158" s="237"/>
      <c r="AV158" s="237"/>
      <c r="AW158" s="237"/>
      <c r="AX158" s="237"/>
      <c r="AY158" s="237"/>
      <c r="AZ158" s="237"/>
      <c r="BE158" s="235" t="n">
        <v>26</v>
      </c>
      <c r="BF158" s="236" t="n">
        <f aca="false">AE158</f>
        <v>761</v>
      </c>
      <c r="BG158" s="236"/>
      <c r="BH158" s="236"/>
      <c r="BI158" s="236"/>
      <c r="BJ158" s="236"/>
      <c r="BK158" s="236"/>
      <c r="BL158" s="236"/>
      <c r="BM158" s="236"/>
      <c r="BN158" s="236"/>
      <c r="BO158" s="236"/>
      <c r="BP158" s="238"/>
      <c r="BQ158" s="238"/>
      <c r="BR158" s="238"/>
      <c r="BS158" s="238"/>
      <c r="BT158" s="238"/>
      <c r="BU158" s="238"/>
      <c r="BV158" s="238"/>
      <c r="BW158" s="238"/>
      <c r="BX158" s="238"/>
      <c r="BY158" s="238"/>
      <c r="BZ158" s="238"/>
      <c r="CA158" s="238"/>
      <c r="CB158" s="238"/>
      <c r="CC158" s="238"/>
      <c r="CI158" s="46"/>
    </row>
    <row r="159" customFormat="false" ht="13.5" hidden="false" customHeight="false" outlineLevel="0" collapsed="false">
      <c r="C159" s="235" t="n">
        <v>27</v>
      </c>
      <c r="D159" s="236" t="n">
        <f aca="false">IF(C159&lt;=$I$16, EDATE($D$6, C159-1), "")</f>
        <v>790</v>
      </c>
      <c r="E159" s="236"/>
      <c r="F159" s="236"/>
      <c r="G159" s="236"/>
      <c r="H159" s="236"/>
      <c r="I159" s="236"/>
      <c r="J159" s="236"/>
      <c r="K159" s="236"/>
      <c r="L159" s="236"/>
      <c r="M159" s="236"/>
      <c r="N159" s="237" t="n">
        <f aca="false">IF(C159&lt;=$I$16, $I$17, "")</f>
        <v>0</v>
      </c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AD159" s="235" t="n">
        <v>27</v>
      </c>
      <c r="AE159" s="236" t="n">
        <f aca="false">D159</f>
        <v>790</v>
      </c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7" t="e">
        <f aca="false">AO158</f>
        <v>#DIV/0!</v>
      </c>
      <c r="AP159" s="237"/>
      <c r="AQ159" s="237"/>
      <c r="AR159" s="237"/>
      <c r="AS159" s="237"/>
      <c r="AT159" s="237"/>
      <c r="AU159" s="237"/>
      <c r="AV159" s="237"/>
      <c r="AW159" s="237"/>
      <c r="AX159" s="237"/>
      <c r="AY159" s="237"/>
      <c r="AZ159" s="237"/>
      <c r="BE159" s="235" t="n">
        <v>27</v>
      </c>
      <c r="BF159" s="236" t="n">
        <f aca="false">AE159</f>
        <v>790</v>
      </c>
      <c r="BG159" s="236"/>
      <c r="BH159" s="236"/>
      <c r="BI159" s="236"/>
      <c r="BJ159" s="236"/>
      <c r="BK159" s="236"/>
      <c r="BL159" s="236"/>
      <c r="BM159" s="236"/>
      <c r="BN159" s="236"/>
      <c r="BO159" s="236"/>
      <c r="BP159" s="238"/>
      <c r="BQ159" s="238"/>
      <c r="BR159" s="238"/>
      <c r="BS159" s="238"/>
      <c r="BT159" s="238"/>
      <c r="BU159" s="238"/>
      <c r="BV159" s="238"/>
      <c r="BW159" s="238"/>
      <c r="BX159" s="238"/>
      <c r="BY159" s="238"/>
      <c r="BZ159" s="238"/>
      <c r="CA159" s="238"/>
      <c r="CB159" s="238"/>
      <c r="CC159" s="238"/>
      <c r="CI159" s="46"/>
    </row>
    <row r="160" customFormat="false" ht="13.5" hidden="false" customHeight="false" outlineLevel="0" collapsed="false">
      <c r="C160" s="235" t="n">
        <v>28</v>
      </c>
      <c r="D160" s="236" t="n">
        <f aca="false">IF(C160&lt;=$I$16, EDATE($D$6, C160-1), "")</f>
        <v>820</v>
      </c>
      <c r="E160" s="236"/>
      <c r="F160" s="236"/>
      <c r="G160" s="236"/>
      <c r="H160" s="236"/>
      <c r="I160" s="236"/>
      <c r="J160" s="236"/>
      <c r="K160" s="236"/>
      <c r="L160" s="236"/>
      <c r="M160" s="236"/>
      <c r="N160" s="237" t="n">
        <f aca="false">IF(C160&lt;=$I$16, $I$17, "")</f>
        <v>0</v>
      </c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AD160" s="235" t="n">
        <v>28</v>
      </c>
      <c r="AE160" s="236" t="n">
        <f aca="false">D160</f>
        <v>820</v>
      </c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7" t="e">
        <f aca="false">AO159</f>
        <v>#DIV/0!</v>
      </c>
      <c r="AP160" s="237"/>
      <c r="AQ160" s="237"/>
      <c r="AR160" s="237"/>
      <c r="AS160" s="237"/>
      <c r="AT160" s="237"/>
      <c r="AU160" s="237"/>
      <c r="AV160" s="237"/>
      <c r="AW160" s="237"/>
      <c r="AX160" s="237"/>
      <c r="AY160" s="237"/>
      <c r="AZ160" s="237"/>
      <c r="BE160" s="235" t="n">
        <v>28</v>
      </c>
      <c r="BF160" s="236" t="n">
        <f aca="false">AE160</f>
        <v>820</v>
      </c>
      <c r="BG160" s="236"/>
      <c r="BH160" s="236"/>
      <c r="BI160" s="236"/>
      <c r="BJ160" s="236"/>
      <c r="BK160" s="236"/>
      <c r="BL160" s="236"/>
      <c r="BM160" s="236"/>
      <c r="BN160" s="236"/>
      <c r="BO160" s="236"/>
      <c r="BP160" s="238"/>
      <c r="BQ160" s="238"/>
      <c r="BR160" s="238"/>
      <c r="BS160" s="238"/>
      <c r="BT160" s="238"/>
      <c r="BU160" s="238"/>
      <c r="BV160" s="238"/>
      <c r="BW160" s="238"/>
      <c r="BX160" s="238"/>
      <c r="BY160" s="238"/>
      <c r="BZ160" s="238"/>
      <c r="CA160" s="238"/>
      <c r="CB160" s="238"/>
      <c r="CC160" s="238"/>
      <c r="CI160" s="46"/>
    </row>
    <row r="161" customFormat="false" ht="13.5" hidden="false" customHeight="false" outlineLevel="0" collapsed="false">
      <c r="C161" s="235" t="n">
        <v>29</v>
      </c>
      <c r="D161" s="236" t="n">
        <f aca="false">IF(C161&lt;=$I$16, EDATE($D$6, C161-1), "")</f>
        <v>851</v>
      </c>
      <c r="E161" s="236"/>
      <c r="F161" s="236"/>
      <c r="G161" s="236"/>
      <c r="H161" s="236"/>
      <c r="I161" s="236"/>
      <c r="J161" s="236"/>
      <c r="K161" s="236"/>
      <c r="L161" s="236"/>
      <c r="M161" s="236"/>
      <c r="N161" s="237" t="n">
        <f aca="false">IF(C161&lt;=$I$16, $I$17, "")</f>
        <v>0</v>
      </c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AD161" s="235" t="n">
        <v>29</v>
      </c>
      <c r="AE161" s="236" t="n">
        <f aca="false">D161</f>
        <v>851</v>
      </c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7" t="e">
        <f aca="false">AO160</f>
        <v>#DIV/0!</v>
      </c>
      <c r="AP161" s="237"/>
      <c r="AQ161" s="237"/>
      <c r="AR161" s="237"/>
      <c r="AS161" s="237"/>
      <c r="AT161" s="237"/>
      <c r="AU161" s="237"/>
      <c r="AV161" s="237"/>
      <c r="AW161" s="237"/>
      <c r="AX161" s="237"/>
      <c r="AY161" s="237"/>
      <c r="AZ161" s="237"/>
      <c r="BE161" s="235" t="n">
        <v>29</v>
      </c>
      <c r="BF161" s="236" t="n">
        <f aca="false">AE161</f>
        <v>851</v>
      </c>
      <c r="BG161" s="236"/>
      <c r="BH161" s="236"/>
      <c r="BI161" s="236"/>
      <c r="BJ161" s="236"/>
      <c r="BK161" s="236"/>
      <c r="BL161" s="236"/>
      <c r="BM161" s="236"/>
      <c r="BN161" s="236"/>
      <c r="BO161" s="236"/>
      <c r="BP161" s="238"/>
      <c r="BQ161" s="238"/>
      <c r="BR161" s="238"/>
      <c r="BS161" s="238"/>
      <c r="BT161" s="238"/>
      <c r="BU161" s="238"/>
      <c r="BV161" s="238"/>
      <c r="BW161" s="238"/>
      <c r="BX161" s="238"/>
      <c r="BY161" s="238"/>
      <c r="BZ161" s="238"/>
      <c r="CA161" s="238"/>
      <c r="CB161" s="238"/>
      <c r="CC161" s="238"/>
      <c r="CI161" s="46"/>
    </row>
    <row r="162" customFormat="false" ht="13.5" hidden="false" customHeight="false" outlineLevel="0" collapsed="false">
      <c r="C162" s="235" t="n">
        <v>30</v>
      </c>
      <c r="D162" s="236" t="n">
        <f aca="false">IF(C162&lt;=$I$16, EDATE($D$6, C162-1), "")</f>
        <v>881</v>
      </c>
      <c r="E162" s="236"/>
      <c r="F162" s="236"/>
      <c r="G162" s="236"/>
      <c r="H162" s="236"/>
      <c r="I162" s="236"/>
      <c r="J162" s="236"/>
      <c r="K162" s="236"/>
      <c r="L162" s="236"/>
      <c r="M162" s="236"/>
      <c r="N162" s="237" t="n">
        <f aca="false">IF(C162&lt;=$I$16, $I$17, "")</f>
        <v>0</v>
      </c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AD162" s="235" t="n">
        <v>30</v>
      </c>
      <c r="AE162" s="236" t="n">
        <f aca="false">D162</f>
        <v>881</v>
      </c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7" t="e">
        <f aca="false">AO161</f>
        <v>#DIV/0!</v>
      </c>
      <c r="AP162" s="237"/>
      <c r="AQ162" s="237"/>
      <c r="AR162" s="237"/>
      <c r="AS162" s="237"/>
      <c r="AT162" s="237"/>
      <c r="AU162" s="237"/>
      <c r="AV162" s="237"/>
      <c r="AW162" s="237"/>
      <c r="AX162" s="237"/>
      <c r="AY162" s="237"/>
      <c r="AZ162" s="237"/>
      <c r="BE162" s="235" t="n">
        <v>30</v>
      </c>
      <c r="BF162" s="236" t="n">
        <f aca="false">AE162</f>
        <v>881</v>
      </c>
      <c r="BG162" s="236"/>
      <c r="BH162" s="236"/>
      <c r="BI162" s="236"/>
      <c r="BJ162" s="236"/>
      <c r="BK162" s="236"/>
      <c r="BL162" s="236"/>
      <c r="BM162" s="236"/>
      <c r="BN162" s="236"/>
      <c r="BO162" s="236"/>
      <c r="BP162" s="238"/>
      <c r="BQ162" s="238"/>
      <c r="BR162" s="238"/>
      <c r="BS162" s="238"/>
      <c r="BT162" s="238"/>
      <c r="BU162" s="238"/>
      <c r="BV162" s="238"/>
      <c r="BW162" s="238"/>
      <c r="BX162" s="238"/>
      <c r="BY162" s="238"/>
      <c r="BZ162" s="238"/>
      <c r="CA162" s="238"/>
      <c r="CB162" s="238"/>
      <c r="CC162" s="238"/>
      <c r="CI162" s="46"/>
    </row>
    <row r="163" customFormat="false" ht="13.5" hidden="false" customHeight="false" outlineLevel="0" collapsed="false">
      <c r="C163" s="235" t="n">
        <v>31</v>
      </c>
      <c r="D163" s="236" t="n">
        <f aca="false">IF(C163&lt;=$I$16, EDATE($D$6, C163-1), "")</f>
        <v>912</v>
      </c>
      <c r="E163" s="236"/>
      <c r="F163" s="236"/>
      <c r="G163" s="236"/>
      <c r="H163" s="236"/>
      <c r="I163" s="236"/>
      <c r="J163" s="236"/>
      <c r="K163" s="236"/>
      <c r="L163" s="236"/>
      <c r="M163" s="236"/>
      <c r="N163" s="237" t="n">
        <f aca="false">IF(C163&lt;=$I$16, $I$17, "")</f>
        <v>0</v>
      </c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AD163" s="235" t="n">
        <v>31</v>
      </c>
      <c r="AE163" s="236" t="n">
        <f aca="false">D163</f>
        <v>912</v>
      </c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7" t="e">
        <f aca="false">AO162</f>
        <v>#DIV/0!</v>
      </c>
      <c r="AP163" s="237"/>
      <c r="AQ163" s="237"/>
      <c r="AR163" s="237"/>
      <c r="AS163" s="237"/>
      <c r="AT163" s="237"/>
      <c r="AU163" s="237"/>
      <c r="AV163" s="237"/>
      <c r="AW163" s="237"/>
      <c r="AX163" s="237"/>
      <c r="AY163" s="237"/>
      <c r="AZ163" s="237"/>
      <c r="BE163" s="235" t="n">
        <v>31</v>
      </c>
      <c r="BF163" s="236" t="n">
        <f aca="false">AE163</f>
        <v>912</v>
      </c>
      <c r="BG163" s="236"/>
      <c r="BH163" s="236"/>
      <c r="BI163" s="236"/>
      <c r="BJ163" s="236"/>
      <c r="BK163" s="236"/>
      <c r="BL163" s="236"/>
      <c r="BM163" s="236"/>
      <c r="BN163" s="236"/>
      <c r="BO163" s="236"/>
      <c r="BP163" s="238"/>
      <c r="BQ163" s="238"/>
      <c r="BR163" s="238"/>
      <c r="BS163" s="238"/>
      <c r="BT163" s="238"/>
      <c r="BU163" s="238"/>
      <c r="BV163" s="238"/>
      <c r="BW163" s="238"/>
      <c r="BX163" s="238"/>
      <c r="BY163" s="238"/>
      <c r="BZ163" s="238"/>
      <c r="CA163" s="238"/>
      <c r="CB163" s="238"/>
      <c r="CC163" s="238"/>
      <c r="CI163" s="46"/>
    </row>
    <row r="164" customFormat="false" ht="13.5" hidden="false" customHeight="false" outlineLevel="0" collapsed="false">
      <c r="C164" s="235" t="n">
        <v>32</v>
      </c>
      <c r="D164" s="236" t="n">
        <f aca="false">IF(C164&lt;=$I$16, EDATE($D$6, C164-1), "")</f>
        <v>942</v>
      </c>
      <c r="E164" s="236"/>
      <c r="F164" s="236"/>
      <c r="G164" s="236"/>
      <c r="H164" s="236"/>
      <c r="I164" s="236"/>
      <c r="J164" s="236"/>
      <c r="K164" s="236"/>
      <c r="L164" s="236"/>
      <c r="M164" s="236"/>
      <c r="N164" s="237" t="n">
        <f aca="false">IF(C164&lt;=$I$16, $I$17, "")</f>
        <v>0</v>
      </c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AD164" s="235" t="n">
        <v>32</v>
      </c>
      <c r="AE164" s="236" t="n">
        <f aca="false">D164</f>
        <v>942</v>
      </c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7" t="e">
        <f aca="false">AO163</f>
        <v>#DIV/0!</v>
      </c>
      <c r="AP164" s="237"/>
      <c r="AQ164" s="237"/>
      <c r="AR164" s="237"/>
      <c r="AS164" s="237"/>
      <c r="AT164" s="237"/>
      <c r="AU164" s="237"/>
      <c r="AV164" s="237"/>
      <c r="AW164" s="237"/>
      <c r="AX164" s="237"/>
      <c r="AY164" s="237"/>
      <c r="AZ164" s="237"/>
      <c r="BE164" s="235" t="n">
        <v>32</v>
      </c>
      <c r="BF164" s="236" t="n">
        <f aca="false">AE164</f>
        <v>942</v>
      </c>
      <c r="BG164" s="236"/>
      <c r="BH164" s="236"/>
      <c r="BI164" s="236"/>
      <c r="BJ164" s="236"/>
      <c r="BK164" s="236"/>
      <c r="BL164" s="236"/>
      <c r="BM164" s="236"/>
      <c r="BN164" s="236"/>
      <c r="BO164" s="236"/>
      <c r="BP164" s="238"/>
      <c r="BQ164" s="238"/>
      <c r="BR164" s="238"/>
      <c r="BS164" s="238"/>
      <c r="BT164" s="238"/>
      <c r="BU164" s="238"/>
      <c r="BV164" s="238"/>
      <c r="BW164" s="238"/>
      <c r="BX164" s="238"/>
      <c r="BY164" s="238"/>
      <c r="BZ164" s="238"/>
      <c r="CA164" s="238"/>
      <c r="CB164" s="238"/>
      <c r="CC164" s="238"/>
      <c r="CI164" s="46"/>
    </row>
    <row r="165" customFormat="false" ht="13.5" hidden="false" customHeight="false" outlineLevel="0" collapsed="false">
      <c r="C165" s="235" t="n">
        <v>33</v>
      </c>
      <c r="D165" s="236" t="n">
        <f aca="false">IF(C165&lt;=$I$16, EDATE($D$6, C165-1), "")</f>
        <v>973</v>
      </c>
      <c r="E165" s="236"/>
      <c r="F165" s="236"/>
      <c r="G165" s="236"/>
      <c r="H165" s="236"/>
      <c r="I165" s="236"/>
      <c r="J165" s="236"/>
      <c r="K165" s="236"/>
      <c r="L165" s="236"/>
      <c r="M165" s="236"/>
      <c r="N165" s="237" t="n">
        <f aca="false">IF(C165&lt;=$I$16, $I$17, "")</f>
        <v>0</v>
      </c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AD165" s="235" t="n">
        <v>33</v>
      </c>
      <c r="AE165" s="236" t="n">
        <f aca="false">D165</f>
        <v>973</v>
      </c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7" t="e">
        <f aca="false">AO164</f>
        <v>#DIV/0!</v>
      </c>
      <c r="AP165" s="237"/>
      <c r="AQ165" s="237"/>
      <c r="AR165" s="237"/>
      <c r="AS165" s="237"/>
      <c r="AT165" s="237"/>
      <c r="AU165" s="237"/>
      <c r="AV165" s="237"/>
      <c r="AW165" s="237"/>
      <c r="AX165" s="237"/>
      <c r="AY165" s="237"/>
      <c r="AZ165" s="237"/>
      <c r="BE165" s="235" t="n">
        <v>33</v>
      </c>
      <c r="BF165" s="236" t="n">
        <f aca="false">AE165</f>
        <v>973</v>
      </c>
      <c r="BG165" s="236"/>
      <c r="BH165" s="236"/>
      <c r="BI165" s="236"/>
      <c r="BJ165" s="236"/>
      <c r="BK165" s="236"/>
      <c r="BL165" s="236"/>
      <c r="BM165" s="236"/>
      <c r="BN165" s="236"/>
      <c r="BO165" s="236"/>
      <c r="BP165" s="238"/>
      <c r="BQ165" s="238"/>
      <c r="BR165" s="238"/>
      <c r="BS165" s="238"/>
      <c r="BT165" s="238"/>
      <c r="BU165" s="238"/>
      <c r="BV165" s="238"/>
      <c r="BW165" s="238"/>
      <c r="BX165" s="238"/>
      <c r="BY165" s="238"/>
      <c r="BZ165" s="238"/>
      <c r="CA165" s="238"/>
      <c r="CB165" s="238"/>
      <c r="CC165" s="238"/>
      <c r="CI165" s="46"/>
    </row>
    <row r="166" customFormat="false" ht="13.5" hidden="false" customHeight="false" outlineLevel="0" collapsed="false">
      <c r="C166" s="235" t="n">
        <v>34</v>
      </c>
      <c r="D166" s="236" t="n">
        <f aca="false">IF(C166&lt;=$I$16, EDATE($D$6, C166-1), "")</f>
        <v>1004</v>
      </c>
      <c r="E166" s="236"/>
      <c r="F166" s="236"/>
      <c r="G166" s="236"/>
      <c r="H166" s="236"/>
      <c r="I166" s="236"/>
      <c r="J166" s="236"/>
      <c r="K166" s="236"/>
      <c r="L166" s="236"/>
      <c r="M166" s="236"/>
      <c r="N166" s="237" t="n">
        <f aca="false">IF(C166&lt;=$I$16, $I$17, "")</f>
        <v>0</v>
      </c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AD166" s="235" t="n">
        <v>34</v>
      </c>
      <c r="AE166" s="236" t="n">
        <f aca="false">D166</f>
        <v>1004</v>
      </c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7" t="e">
        <f aca="false">AO165</f>
        <v>#DIV/0!</v>
      </c>
      <c r="AP166" s="237"/>
      <c r="AQ166" s="237"/>
      <c r="AR166" s="237"/>
      <c r="AS166" s="237"/>
      <c r="AT166" s="237"/>
      <c r="AU166" s="237"/>
      <c r="AV166" s="237"/>
      <c r="AW166" s="237"/>
      <c r="AX166" s="237"/>
      <c r="AY166" s="237"/>
      <c r="AZ166" s="237"/>
      <c r="BE166" s="235" t="n">
        <v>34</v>
      </c>
      <c r="BF166" s="236" t="n">
        <f aca="false">AE166</f>
        <v>1004</v>
      </c>
      <c r="BG166" s="236"/>
      <c r="BH166" s="236"/>
      <c r="BI166" s="236"/>
      <c r="BJ166" s="236"/>
      <c r="BK166" s="236"/>
      <c r="BL166" s="236"/>
      <c r="BM166" s="236"/>
      <c r="BN166" s="236"/>
      <c r="BO166" s="236"/>
      <c r="BP166" s="238"/>
      <c r="BQ166" s="238"/>
      <c r="BR166" s="238"/>
      <c r="BS166" s="238"/>
      <c r="BT166" s="238"/>
      <c r="BU166" s="238"/>
      <c r="BV166" s="238"/>
      <c r="BW166" s="238"/>
      <c r="BX166" s="238"/>
      <c r="BY166" s="238"/>
      <c r="BZ166" s="238"/>
      <c r="CA166" s="238"/>
      <c r="CB166" s="238"/>
      <c r="CC166" s="238"/>
      <c r="CI166" s="46"/>
    </row>
    <row r="167" customFormat="false" ht="13.5" hidden="false" customHeight="false" outlineLevel="0" collapsed="false">
      <c r="C167" s="235" t="n">
        <v>35</v>
      </c>
      <c r="D167" s="236" t="n">
        <f aca="false">IF(C167&lt;=$I$16, EDATE($D$6, C167-1), "")</f>
        <v>1034</v>
      </c>
      <c r="E167" s="236"/>
      <c r="F167" s="236"/>
      <c r="G167" s="236"/>
      <c r="H167" s="236"/>
      <c r="I167" s="236"/>
      <c r="J167" s="236"/>
      <c r="K167" s="236"/>
      <c r="L167" s="236"/>
      <c r="M167" s="236"/>
      <c r="N167" s="237" t="n">
        <f aca="false">IF(C167&lt;=$I$16, $I$17, "")</f>
        <v>0</v>
      </c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AD167" s="235" t="n">
        <v>35</v>
      </c>
      <c r="AE167" s="236" t="n">
        <f aca="false">D167</f>
        <v>1034</v>
      </c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7" t="e">
        <f aca="false">AO166</f>
        <v>#DIV/0!</v>
      </c>
      <c r="AP167" s="237"/>
      <c r="AQ167" s="237"/>
      <c r="AR167" s="237"/>
      <c r="AS167" s="237"/>
      <c r="AT167" s="237"/>
      <c r="AU167" s="237"/>
      <c r="AV167" s="237"/>
      <c r="AW167" s="237"/>
      <c r="AX167" s="237"/>
      <c r="AY167" s="237"/>
      <c r="AZ167" s="237"/>
      <c r="BE167" s="235" t="n">
        <v>35</v>
      </c>
      <c r="BF167" s="236" t="n">
        <f aca="false">AE167</f>
        <v>1034</v>
      </c>
      <c r="BG167" s="236"/>
      <c r="BH167" s="236"/>
      <c r="BI167" s="236"/>
      <c r="BJ167" s="236"/>
      <c r="BK167" s="236"/>
      <c r="BL167" s="236"/>
      <c r="BM167" s="236"/>
      <c r="BN167" s="236"/>
      <c r="BO167" s="236"/>
      <c r="BP167" s="238"/>
      <c r="BQ167" s="238"/>
      <c r="BR167" s="238"/>
      <c r="BS167" s="238"/>
      <c r="BT167" s="238"/>
      <c r="BU167" s="238"/>
      <c r="BV167" s="238"/>
      <c r="BW167" s="238"/>
      <c r="BX167" s="238"/>
      <c r="BY167" s="238"/>
      <c r="BZ167" s="238"/>
      <c r="CA167" s="238"/>
      <c r="CB167" s="238"/>
      <c r="CC167" s="238"/>
    </row>
    <row r="168" customFormat="false" ht="13.5" hidden="false" customHeight="false" outlineLevel="0" collapsed="false">
      <c r="C168" s="235" t="n">
        <v>36</v>
      </c>
      <c r="D168" s="236" t="n">
        <f aca="false">IF(C168&lt;=$I$16, EDATE($D$6, C168-1), "")</f>
        <v>1065</v>
      </c>
      <c r="E168" s="236"/>
      <c r="F168" s="236"/>
      <c r="G168" s="236"/>
      <c r="H168" s="236"/>
      <c r="I168" s="236"/>
      <c r="J168" s="236"/>
      <c r="K168" s="236"/>
      <c r="L168" s="236"/>
      <c r="M168" s="236"/>
      <c r="N168" s="237" t="n">
        <f aca="false">IF(C168&lt;=$I$16, $I$17, "")</f>
        <v>0</v>
      </c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AD168" s="235" t="n">
        <v>36</v>
      </c>
      <c r="AE168" s="236" t="n">
        <f aca="false">D168</f>
        <v>1065</v>
      </c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7" t="e">
        <f aca="false">AO167</f>
        <v>#DIV/0!</v>
      </c>
      <c r="AP168" s="237"/>
      <c r="AQ168" s="237"/>
      <c r="AR168" s="237"/>
      <c r="AS168" s="237"/>
      <c r="AT168" s="237"/>
      <c r="AU168" s="237"/>
      <c r="AV168" s="237"/>
      <c r="AW168" s="237"/>
      <c r="AX168" s="237"/>
      <c r="AY168" s="237"/>
      <c r="AZ168" s="237"/>
      <c r="BE168" s="235" t="n">
        <v>36</v>
      </c>
      <c r="BF168" s="236" t="n">
        <f aca="false">AE168</f>
        <v>1065</v>
      </c>
      <c r="BG168" s="236"/>
      <c r="BH168" s="236"/>
      <c r="BI168" s="236"/>
      <c r="BJ168" s="236"/>
      <c r="BK168" s="236"/>
      <c r="BL168" s="236"/>
      <c r="BM168" s="236"/>
      <c r="BN168" s="236"/>
      <c r="BO168" s="236"/>
      <c r="BP168" s="238"/>
      <c r="BQ168" s="238"/>
      <c r="BR168" s="238"/>
      <c r="BS168" s="238"/>
      <c r="BT168" s="238"/>
      <c r="BU168" s="238"/>
      <c r="BV168" s="238"/>
      <c r="BW168" s="238"/>
      <c r="BX168" s="238"/>
      <c r="BY168" s="238"/>
      <c r="BZ168" s="238"/>
      <c r="CA168" s="238"/>
      <c r="CB168" s="238"/>
      <c r="CC168" s="238"/>
    </row>
    <row r="170" customFormat="false" ht="13.5" hidden="false" customHeight="false" outlineLevel="0" collapsed="false"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4"/>
      <c r="BI170" s="214"/>
      <c r="BJ170" s="214"/>
      <c r="BK170" s="214"/>
      <c r="BL170" s="214"/>
      <c r="BM170" s="214"/>
      <c r="BN170" s="214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  <c r="CB170" s="214"/>
      <c r="CC170" s="214"/>
    </row>
    <row r="171" customFormat="false" ht="13.5" hidden="false" customHeight="false" outlineLevel="0" collapsed="false"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4"/>
      <c r="BI171" s="214"/>
      <c r="BJ171" s="214"/>
      <c r="BK171" s="214"/>
      <c r="BL171" s="214"/>
      <c r="BM171" s="214"/>
      <c r="BN171" s="214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  <c r="CB171" s="214"/>
      <c r="CC171" s="214"/>
    </row>
  </sheetData>
  <mergeCells count="456">
    <mergeCell ref="C2:CB2"/>
    <mergeCell ref="D4:L4"/>
    <mergeCell ref="D5:L5"/>
    <mergeCell ref="C7:Y7"/>
    <mergeCell ref="AD7:AZ7"/>
    <mergeCell ref="BE7:CB7"/>
    <mergeCell ref="C8:H8"/>
    <mergeCell ref="I8:Y8"/>
    <mergeCell ref="AD8:AO8"/>
    <mergeCell ref="AP8:AZ8"/>
    <mergeCell ref="BE8:BK8"/>
    <mergeCell ref="BL8:CB8"/>
    <mergeCell ref="C9:H9"/>
    <mergeCell ref="I9:Y9"/>
    <mergeCell ref="AD9:AO9"/>
    <mergeCell ref="AP9:AZ9"/>
    <mergeCell ref="BE9:BK9"/>
    <mergeCell ref="BL9:CB9"/>
    <mergeCell ref="C10:H10"/>
    <mergeCell ref="I10:Y10"/>
    <mergeCell ref="AD10:AO10"/>
    <mergeCell ref="AP10:AZ10"/>
    <mergeCell ref="BE10:BK10"/>
    <mergeCell ref="BL10:CB10"/>
    <mergeCell ref="C11:H11"/>
    <mergeCell ref="I11:Y11"/>
    <mergeCell ref="AD11:AO11"/>
    <mergeCell ref="AP11:AZ11"/>
    <mergeCell ref="BE11:BK11"/>
    <mergeCell ref="BL11:CB11"/>
    <mergeCell ref="C12:H12"/>
    <mergeCell ref="I12:Y12"/>
    <mergeCell ref="AD12:AO12"/>
    <mergeCell ref="AP12:AZ12"/>
    <mergeCell ref="BE12:BK12"/>
    <mergeCell ref="BL12:CB12"/>
    <mergeCell ref="C13:H13"/>
    <mergeCell ref="I13:Y13"/>
    <mergeCell ref="AD13:AO13"/>
    <mergeCell ref="AP13:AZ13"/>
    <mergeCell ref="BE13:BK13"/>
    <mergeCell ref="BL13:CB13"/>
    <mergeCell ref="C14:H14"/>
    <mergeCell ref="I14:Y14"/>
    <mergeCell ref="AD14:AO14"/>
    <mergeCell ref="AP14:AZ14"/>
    <mergeCell ref="BE14:BK15"/>
    <mergeCell ref="BL14:CB15"/>
    <mergeCell ref="C15:H15"/>
    <mergeCell ref="I15:Y15"/>
    <mergeCell ref="AD15:AO15"/>
    <mergeCell ref="AP15:AZ15"/>
    <mergeCell ref="C16:H16"/>
    <mergeCell ref="I16:Y16"/>
    <mergeCell ref="AD16:AO16"/>
    <mergeCell ref="AP16:AZ16"/>
    <mergeCell ref="C17:H17"/>
    <mergeCell ref="I17:Y17"/>
    <mergeCell ref="AD17:AO17"/>
    <mergeCell ref="AP17:AZ17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C19:H19"/>
    <mergeCell ref="I19:Y19"/>
    <mergeCell ref="AD19:AO19"/>
    <mergeCell ref="AP19:AZ19"/>
    <mergeCell ref="BE19:BK19"/>
    <mergeCell ref="BL19:CB19"/>
    <mergeCell ref="AD20:AO20"/>
    <mergeCell ref="AP20:AZ20"/>
    <mergeCell ref="BE20:BK20"/>
    <mergeCell ref="BL20:CB20"/>
    <mergeCell ref="C26:Y26"/>
    <mergeCell ref="AD26:AZ26"/>
    <mergeCell ref="H30:S30"/>
    <mergeCell ref="AD30:AH30"/>
    <mergeCell ref="AI30:AT30"/>
    <mergeCell ref="BE30:BH30"/>
    <mergeCell ref="BK30:CB30"/>
    <mergeCell ref="H31:Q31"/>
    <mergeCell ref="AI31:AR31"/>
    <mergeCell ref="BE31:BH32"/>
    <mergeCell ref="BK31:CB32"/>
    <mergeCell ref="I32:O32"/>
    <mergeCell ref="AJ32:AP32"/>
    <mergeCell ref="C34:C48"/>
    <mergeCell ref="E34:E48"/>
    <mergeCell ref="G34:G48"/>
    <mergeCell ref="I34:I48"/>
    <mergeCell ref="O34:O39"/>
    <mergeCell ref="Q34:Q39"/>
    <mergeCell ref="S34:S39"/>
    <mergeCell ref="U34:U36"/>
    <mergeCell ref="W34:W39"/>
    <mergeCell ref="Y34:Y39"/>
    <mergeCell ref="AD34:AD48"/>
    <mergeCell ref="AF34:AF48"/>
    <mergeCell ref="AH34:AH48"/>
    <mergeCell ref="AJ34:AJ48"/>
    <mergeCell ref="AP34:AP39"/>
    <mergeCell ref="AR34:AR39"/>
    <mergeCell ref="AT34:AT39"/>
    <mergeCell ref="AV34:AV36"/>
    <mergeCell ref="AX34:AX39"/>
    <mergeCell ref="AZ34:AZ39"/>
    <mergeCell ref="BE39:CB45"/>
    <mergeCell ref="O42:O47"/>
    <mergeCell ref="Q42:Q47"/>
    <mergeCell ref="S42:S47"/>
    <mergeCell ref="U42:U44"/>
    <mergeCell ref="W42:W47"/>
    <mergeCell ref="Y42:Y47"/>
    <mergeCell ref="AP42:AP47"/>
    <mergeCell ref="AR42:AR47"/>
    <mergeCell ref="AT42:AT47"/>
    <mergeCell ref="AV42:AV44"/>
    <mergeCell ref="AX42:AX47"/>
    <mergeCell ref="AZ42:AZ47"/>
    <mergeCell ref="BE46:CB49"/>
    <mergeCell ref="C50:C64"/>
    <mergeCell ref="E50:E64"/>
    <mergeCell ref="G50:G64"/>
    <mergeCell ref="I50:I64"/>
    <mergeCell ref="O50:O55"/>
    <mergeCell ref="Q50:Q55"/>
    <mergeCell ref="S50:S55"/>
    <mergeCell ref="U50:U52"/>
    <mergeCell ref="W50:W55"/>
    <mergeCell ref="Y50:Y55"/>
    <mergeCell ref="AD50:AD64"/>
    <mergeCell ref="AF50:AF64"/>
    <mergeCell ref="AH50:AH64"/>
    <mergeCell ref="AJ50:AJ64"/>
    <mergeCell ref="AP50:AP55"/>
    <mergeCell ref="AR50:AR55"/>
    <mergeCell ref="AT50:AT55"/>
    <mergeCell ref="AV50:AV52"/>
    <mergeCell ref="AX50:AX55"/>
    <mergeCell ref="AZ50:AZ55"/>
    <mergeCell ref="O58:O63"/>
    <mergeCell ref="Q58:Q63"/>
    <mergeCell ref="S58:S63"/>
    <mergeCell ref="U58:U60"/>
    <mergeCell ref="W58:W63"/>
    <mergeCell ref="Y58:Y63"/>
    <mergeCell ref="AP58:AP63"/>
    <mergeCell ref="AR58:AR63"/>
    <mergeCell ref="AT58:AT63"/>
    <mergeCell ref="AV58:AV60"/>
    <mergeCell ref="AX58:AX63"/>
    <mergeCell ref="AZ58:AZ63"/>
    <mergeCell ref="C66:C80"/>
    <mergeCell ref="E66:E80"/>
    <mergeCell ref="G66:G80"/>
    <mergeCell ref="I66:I80"/>
    <mergeCell ref="O66:S71"/>
    <mergeCell ref="U66:U68"/>
    <mergeCell ref="W66:W71"/>
    <mergeCell ref="Y66:Y71"/>
    <mergeCell ref="AD66:AD80"/>
    <mergeCell ref="AF66:AF80"/>
    <mergeCell ref="AH66:AH80"/>
    <mergeCell ref="AJ66:AJ80"/>
    <mergeCell ref="AP66:AT71"/>
    <mergeCell ref="AV66:AV68"/>
    <mergeCell ref="AX66:AX71"/>
    <mergeCell ref="AZ66:AZ71"/>
    <mergeCell ref="O74:S79"/>
    <mergeCell ref="U74:U76"/>
    <mergeCell ref="W74:W79"/>
    <mergeCell ref="Y74:Y79"/>
    <mergeCell ref="AP74:AT79"/>
    <mergeCell ref="AV74:AV76"/>
    <mergeCell ref="AX74:AX79"/>
    <mergeCell ref="AZ74:AZ79"/>
    <mergeCell ref="C82:C96"/>
    <mergeCell ref="E82:E96"/>
    <mergeCell ref="G82:G96"/>
    <mergeCell ref="I82:I96"/>
    <mergeCell ref="O82:U87"/>
    <mergeCell ref="W82:W87"/>
    <mergeCell ref="Y82:Y87"/>
    <mergeCell ref="AD82:AD96"/>
    <mergeCell ref="AF82:AF96"/>
    <mergeCell ref="AH82:AH96"/>
    <mergeCell ref="AJ82:AJ96"/>
    <mergeCell ref="AP82:AV87"/>
    <mergeCell ref="AX82:AX87"/>
    <mergeCell ref="AZ82:AZ87"/>
    <mergeCell ref="O90:U95"/>
    <mergeCell ref="W90:W95"/>
    <mergeCell ref="Y90:Y95"/>
    <mergeCell ref="AP90:AV95"/>
    <mergeCell ref="AX90:AX95"/>
    <mergeCell ref="AZ90:AZ95"/>
    <mergeCell ref="C98:C112"/>
    <mergeCell ref="E98:E112"/>
    <mergeCell ref="G98:G112"/>
    <mergeCell ref="I98:I112"/>
    <mergeCell ref="O98:U103"/>
    <mergeCell ref="AD98:AD112"/>
    <mergeCell ref="AF98:AF112"/>
    <mergeCell ref="AH98:AH112"/>
    <mergeCell ref="AJ98:AJ112"/>
    <mergeCell ref="AP98:AV103"/>
    <mergeCell ref="O106:U111"/>
    <mergeCell ref="AP106:AV111"/>
    <mergeCell ref="C114:C120"/>
    <mergeCell ref="E114:E120"/>
    <mergeCell ref="G114:G120"/>
    <mergeCell ref="I114:I120"/>
    <mergeCell ref="K114:S120"/>
    <mergeCell ref="AD114:AD120"/>
    <mergeCell ref="AF114:AF120"/>
    <mergeCell ref="AH114:AH120"/>
    <mergeCell ref="AJ114:AJ120"/>
    <mergeCell ref="AL114:AT120"/>
    <mergeCell ref="C122:C129"/>
    <mergeCell ref="E122:E129"/>
    <mergeCell ref="G122:G129"/>
    <mergeCell ref="AD122:AD129"/>
    <mergeCell ref="AF122:AF129"/>
    <mergeCell ref="AH122:AH129"/>
    <mergeCell ref="C131:Y131"/>
    <mergeCell ref="AD131:AZ131"/>
    <mergeCell ref="BE131:CC131"/>
    <mergeCell ref="D132:M132"/>
    <mergeCell ref="N132:Y132"/>
    <mergeCell ref="AE132:AN132"/>
    <mergeCell ref="AO132:AZ132"/>
    <mergeCell ref="BF132:BO132"/>
    <mergeCell ref="BP132:CC132"/>
    <mergeCell ref="D133:M133"/>
    <mergeCell ref="N133:Y133"/>
    <mergeCell ref="AE133:AN133"/>
    <mergeCell ref="AO133:AZ133"/>
    <mergeCell ref="BF133:BO133"/>
    <mergeCell ref="BP133:CC133"/>
    <mergeCell ref="D134:M134"/>
    <mergeCell ref="N134:Y134"/>
    <mergeCell ref="AE134:AN134"/>
    <mergeCell ref="AO134:AZ134"/>
    <mergeCell ref="BF134:BO134"/>
    <mergeCell ref="BP134:CC134"/>
    <mergeCell ref="D135:M135"/>
    <mergeCell ref="N135:Y135"/>
    <mergeCell ref="AE135:AN135"/>
    <mergeCell ref="AO135:AZ135"/>
    <mergeCell ref="BF135:BO135"/>
    <mergeCell ref="BP135:CC135"/>
    <mergeCell ref="D136:M136"/>
    <mergeCell ref="N136:Y136"/>
    <mergeCell ref="AE136:AN136"/>
    <mergeCell ref="AO136:AZ136"/>
    <mergeCell ref="BF136:BO136"/>
    <mergeCell ref="BP136:CC136"/>
    <mergeCell ref="D137:M137"/>
    <mergeCell ref="N137:Y137"/>
    <mergeCell ref="AE137:AN137"/>
    <mergeCell ref="AO137:AZ137"/>
    <mergeCell ref="BF137:BO137"/>
    <mergeCell ref="BP137:CC137"/>
    <mergeCell ref="D138:M138"/>
    <mergeCell ref="N138:Y138"/>
    <mergeCell ref="AE138:AN138"/>
    <mergeCell ref="AO138:AZ138"/>
    <mergeCell ref="BF138:BO138"/>
    <mergeCell ref="BP138:CC138"/>
    <mergeCell ref="D139:M139"/>
    <mergeCell ref="N139:Y139"/>
    <mergeCell ref="AE139:AN139"/>
    <mergeCell ref="AO139:AZ139"/>
    <mergeCell ref="BF139:BO139"/>
    <mergeCell ref="BP139:CC139"/>
    <mergeCell ref="D140:M140"/>
    <mergeCell ref="N140:Y140"/>
    <mergeCell ref="AE140:AN140"/>
    <mergeCell ref="AO140:AZ140"/>
    <mergeCell ref="BF140:BO140"/>
    <mergeCell ref="BP140:CC140"/>
    <mergeCell ref="D141:M141"/>
    <mergeCell ref="N141:Y141"/>
    <mergeCell ref="AE141:AN141"/>
    <mergeCell ref="AO141:AZ141"/>
    <mergeCell ref="BF141:BO141"/>
    <mergeCell ref="BP141:CC141"/>
    <mergeCell ref="D142:M142"/>
    <mergeCell ref="N142:Y142"/>
    <mergeCell ref="AE142:AN142"/>
    <mergeCell ref="AO142:AZ142"/>
    <mergeCell ref="BF142:BO142"/>
    <mergeCell ref="BP142:CC142"/>
    <mergeCell ref="D143:M143"/>
    <mergeCell ref="N143:Y143"/>
    <mergeCell ref="AE143:AN143"/>
    <mergeCell ref="AO143:AZ143"/>
    <mergeCell ref="BF143:BO143"/>
    <mergeCell ref="BP143:CC143"/>
    <mergeCell ref="D144:M144"/>
    <mergeCell ref="N144:Y144"/>
    <mergeCell ref="AE144:AN144"/>
    <mergeCell ref="AO144:AZ144"/>
    <mergeCell ref="BF144:BO144"/>
    <mergeCell ref="BP144:CC144"/>
    <mergeCell ref="D145:M145"/>
    <mergeCell ref="N145:Y145"/>
    <mergeCell ref="AE145:AN145"/>
    <mergeCell ref="AO145:AZ145"/>
    <mergeCell ref="BF145:BO145"/>
    <mergeCell ref="BP145:CC145"/>
    <mergeCell ref="D146:M146"/>
    <mergeCell ref="N146:Y146"/>
    <mergeCell ref="AE146:AN146"/>
    <mergeCell ref="AO146:AZ146"/>
    <mergeCell ref="BF146:BO146"/>
    <mergeCell ref="BP146:CC146"/>
    <mergeCell ref="D147:M147"/>
    <mergeCell ref="N147:Y147"/>
    <mergeCell ref="AE147:AN147"/>
    <mergeCell ref="AO147:AZ147"/>
    <mergeCell ref="BF147:BO147"/>
    <mergeCell ref="BP147:CC147"/>
    <mergeCell ref="D148:M148"/>
    <mergeCell ref="N148:Y148"/>
    <mergeCell ref="AE148:AN148"/>
    <mergeCell ref="AO148:AZ148"/>
    <mergeCell ref="BF148:BO148"/>
    <mergeCell ref="BP148:CC148"/>
    <mergeCell ref="D149:M149"/>
    <mergeCell ref="N149:Y149"/>
    <mergeCell ref="AE149:AN149"/>
    <mergeCell ref="AO149:AZ149"/>
    <mergeCell ref="BF149:BO149"/>
    <mergeCell ref="BP149:CC149"/>
    <mergeCell ref="D150:M150"/>
    <mergeCell ref="N150:Y150"/>
    <mergeCell ref="AE150:AN150"/>
    <mergeCell ref="AO150:AZ150"/>
    <mergeCell ref="BF150:BO150"/>
    <mergeCell ref="BP150:CC150"/>
    <mergeCell ref="D151:M151"/>
    <mergeCell ref="N151:Y151"/>
    <mergeCell ref="AE151:AN151"/>
    <mergeCell ref="AO151:AZ151"/>
    <mergeCell ref="BF151:BO151"/>
    <mergeCell ref="BP151:CC151"/>
    <mergeCell ref="D152:M152"/>
    <mergeCell ref="N152:Y152"/>
    <mergeCell ref="AE152:AN152"/>
    <mergeCell ref="AO152:AZ152"/>
    <mergeCell ref="BF152:BO152"/>
    <mergeCell ref="BP152:CC152"/>
    <mergeCell ref="D153:M153"/>
    <mergeCell ref="N153:Y153"/>
    <mergeCell ref="AE153:AN153"/>
    <mergeCell ref="AO153:AZ153"/>
    <mergeCell ref="BF153:BO153"/>
    <mergeCell ref="BP153:CC153"/>
    <mergeCell ref="D154:M154"/>
    <mergeCell ref="N154:Y154"/>
    <mergeCell ref="AE154:AN154"/>
    <mergeCell ref="AO154:AZ154"/>
    <mergeCell ref="BF154:BO154"/>
    <mergeCell ref="BP154:CC154"/>
    <mergeCell ref="D155:M155"/>
    <mergeCell ref="N155:Y155"/>
    <mergeCell ref="AE155:AN155"/>
    <mergeCell ref="AO155:AZ155"/>
    <mergeCell ref="BF155:BO155"/>
    <mergeCell ref="BP155:CC155"/>
    <mergeCell ref="D156:M156"/>
    <mergeCell ref="N156:Y156"/>
    <mergeCell ref="AE156:AN156"/>
    <mergeCell ref="AO156:AZ156"/>
    <mergeCell ref="BF156:BO156"/>
    <mergeCell ref="BP156:CC156"/>
    <mergeCell ref="D157:M157"/>
    <mergeCell ref="N157:Y157"/>
    <mergeCell ref="AE157:AN157"/>
    <mergeCell ref="AO157:AZ157"/>
    <mergeCell ref="BF157:BO157"/>
    <mergeCell ref="BP157:CC157"/>
    <mergeCell ref="D158:M158"/>
    <mergeCell ref="N158:Y158"/>
    <mergeCell ref="AE158:AN158"/>
    <mergeCell ref="AO158:AZ158"/>
    <mergeCell ref="BF158:BO158"/>
    <mergeCell ref="BP158:CC158"/>
    <mergeCell ref="D159:M159"/>
    <mergeCell ref="N159:Y159"/>
    <mergeCell ref="AE159:AN159"/>
    <mergeCell ref="AO159:AZ159"/>
    <mergeCell ref="BF159:BO159"/>
    <mergeCell ref="BP159:CC159"/>
    <mergeCell ref="D160:M160"/>
    <mergeCell ref="N160:Y160"/>
    <mergeCell ref="AE160:AN160"/>
    <mergeCell ref="AO160:AZ160"/>
    <mergeCell ref="BF160:BO160"/>
    <mergeCell ref="BP160:CC160"/>
    <mergeCell ref="D161:M161"/>
    <mergeCell ref="N161:Y161"/>
    <mergeCell ref="AE161:AN161"/>
    <mergeCell ref="AO161:AZ161"/>
    <mergeCell ref="BF161:BO161"/>
    <mergeCell ref="BP161:CC161"/>
    <mergeCell ref="D162:M162"/>
    <mergeCell ref="N162:Y162"/>
    <mergeCell ref="AE162:AN162"/>
    <mergeCell ref="AO162:AZ162"/>
    <mergeCell ref="BF162:BO162"/>
    <mergeCell ref="BP162:CC162"/>
    <mergeCell ref="D163:M163"/>
    <mergeCell ref="N163:Y163"/>
    <mergeCell ref="AE163:AN163"/>
    <mergeCell ref="AO163:AZ163"/>
    <mergeCell ref="BF163:BO163"/>
    <mergeCell ref="BP163:CC163"/>
    <mergeCell ref="D164:M164"/>
    <mergeCell ref="N164:Y164"/>
    <mergeCell ref="AE164:AN164"/>
    <mergeCell ref="AO164:AZ164"/>
    <mergeCell ref="BF164:BO164"/>
    <mergeCell ref="BP164:CC164"/>
    <mergeCell ref="D165:M165"/>
    <mergeCell ref="N165:Y165"/>
    <mergeCell ref="AE165:AN165"/>
    <mergeCell ref="AO165:AZ165"/>
    <mergeCell ref="BF165:BO165"/>
    <mergeCell ref="BP165:CC165"/>
    <mergeCell ref="D166:M166"/>
    <mergeCell ref="N166:Y166"/>
    <mergeCell ref="AE166:AN166"/>
    <mergeCell ref="AO166:AZ166"/>
    <mergeCell ref="BF166:BO166"/>
    <mergeCell ref="BP166:CC166"/>
    <mergeCell ref="D167:M167"/>
    <mergeCell ref="N167:Y167"/>
    <mergeCell ref="AE167:AN167"/>
    <mergeCell ref="AO167:AZ167"/>
    <mergeCell ref="BF167:BO167"/>
    <mergeCell ref="BP167:CC167"/>
    <mergeCell ref="D168:M168"/>
    <mergeCell ref="N168:Y168"/>
    <mergeCell ref="AE168:AN168"/>
    <mergeCell ref="AO168:AZ168"/>
    <mergeCell ref="BF168:BO168"/>
    <mergeCell ref="BP168:CC168"/>
    <mergeCell ref="C170:CC170"/>
    <mergeCell ref="C171:CC171"/>
  </mergeCells>
  <printOptions headings="false" gridLines="false" gridLinesSet="true" horizontalCentered="false" verticalCentered="false"/>
  <pageMargins left="0.275694444444444" right="0.275694444444444" top="0.275694444444444" bottom="0.275694444444444" header="0.118055555555556" footer="0.11805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&amp;C&amp;"Calibri,Bold"&amp;14Cálculo de Ação Crefaz</oddHeader>
    <oddFooter>&amp;RPágina &amp;P de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L180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15" workbookViewId="0">
      <selection pane="topLeft" activeCell="BL9" activeCellId="0" sqref="BL9"/>
    </sheetView>
  </sheetViews>
  <sheetFormatPr defaultColWidth="0.71484375" defaultRowHeight="13.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1"/>
    <col collapsed="false" customWidth="true" hidden="false" outlineLevel="0" max="3" min="3" style="1" width="17.42"/>
    <col collapsed="false" customWidth="true" hidden="false" outlineLevel="0" max="6" min="4" style="1" width="1"/>
    <col collapsed="false" customWidth="true" hidden="false" outlineLevel="0" max="7" min="7" style="1" width="10.42"/>
    <col collapsed="false" customWidth="false" hidden="false" outlineLevel="0" max="8" min="8" style="1" width="0.71"/>
    <col collapsed="false" customWidth="true" hidden="false" outlineLevel="0" max="9" min="9" style="1" width="1.57"/>
    <col collapsed="false" customWidth="false" hidden="false" outlineLevel="0" max="11" min="10" style="1" width="0.71"/>
    <col collapsed="false" customWidth="true" hidden="false" outlineLevel="0" max="12" min="12" style="1" width="3.29"/>
    <col collapsed="false" customWidth="false" hidden="false" outlineLevel="0" max="14" min="13" style="1" width="0.71"/>
    <col collapsed="false" customWidth="true" hidden="false" outlineLevel="0" max="15" min="15" style="1" width="2.15"/>
    <col collapsed="false" customWidth="false" hidden="false" outlineLevel="0" max="16" min="16" style="1" width="0.71"/>
    <col collapsed="false" customWidth="true" hidden="false" outlineLevel="0" max="17" min="17" style="1" width="1.57"/>
    <col collapsed="false" customWidth="false" hidden="false" outlineLevel="0" max="18" min="18" style="1" width="0.71"/>
    <col collapsed="false" customWidth="true" hidden="false" outlineLevel="0" max="19" min="19" style="1" width="6"/>
    <col collapsed="false" customWidth="false" hidden="false" outlineLevel="0" max="20" min="20" style="1" width="0.71"/>
    <col collapsed="false" customWidth="true" hidden="false" outlineLevel="0" max="21" min="21" style="1" width="2.42"/>
    <col collapsed="false" customWidth="false" hidden="false" outlineLevel="0" max="22" min="22" style="1" width="0.71"/>
    <col collapsed="false" customWidth="true" hidden="false" outlineLevel="0" max="23" min="23" style="1" width="1.57"/>
    <col collapsed="false" customWidth="false" hidden="false" outlineLevel="0" max="24" min="24" style="1" width="0.71"/>
    <col collapsed="false" customWidth="true" hidden="false" outlineLevel="0" max="25" min="25" style="1" width="6.14"/>
    <col collapsed="false" customWidth="false" hidden="false" outlineLevel="0" max="28" min="26" style="1" width="0.71"/>
    <col collapsed="false" customWidth="true" hidden="false" outlineLevel="0" max="29" min="29" style="1" width="1.57"/>
    <col collapsed="false" customWidth="true" hidden="false" outlineLevel="0" max="30" min="30" style="1" width="12.71"/>
    <col collapsed="false" customWidth="false" hidden="false" outlineLevel="0" max="31" min="31" style="1" width="0.71"/>
    <col collapsed="false" customWidth="true" hidden="false" outlineLevel="0" max="32" min="32" style="1" width="2.29"/>
    <col collapsed="false" customWidth="false" hidden="false" outlineLevel="0" max="33" min="33" style="1" width="0.71"/>
    <col collapsed="false" customWidth="true" hidden="false" outlineLevel="0" max="34" min="34" style="1" width="13.57"/>
    <col collapsed="false" customWidth="false" hidden="false" outlineLevel="0" max="35" min="35" style="1" width="0.71"/>
    <col collapsed="false" customWidth="true" hidden="false" outlineLevel="0" max="36" min="36" style="1" width="1.57"/>
    <col collapsed="false" customWidth="false" hidden="false" outlineLevel="0" max="41" min="37" style="1" width="0.71"/>
    <col collapsed="false" customWidth="true" hidden="false" outlineLevel="0" max="42" min="42" style="1" width="2.15"/>
    <col collapsed="false" customWidth="false" hidden="false" outlineLevel="0" max="43" min="43" style="1" width="0.71"/>
    <col collapsed="false" customWidth="true" hidden="false" outlineLevel="0" max="44" min="44" style="1" width="1.57"/>
    <col collapsed="false" customWidth="false" hidden="false" outlineLevel="0" max="45" min="45" style="1" width="0.71"/>
    <col collapsed="false" customWidth="true" hidden="false" outlineLevel="0" max="46" min="46" style="1" width="5.86"/>
    <col collapsed="false" customWidth="false" hidden="false" outlineLevel="0" max="47" min="47" style="1" width="0.71"/>
    <col collapsed="false" customWidth="true" hidden="false" outlineLevel="0" max="48" min="48" style="1" width="2.29"/>
    <col collapsed="false" customWidth="false" hidden="false" outlineLevel="0" max="49" min="49" style="1" width="0.71"/>
    <col collapsed="false" customWidth="true" hidden="false" outlineLevel="0" max="50" min="50" style="1" width="1.57"/>
    <col collapsed="false" customWidth="false" hidden="false" outlineLevel="0" max="51" min="51" style="1" width="0.71"/>
    <col collapsed="false" customWidth="true" hidden="false" outlineLevel="0" max="52" min="52" style="1" width="5.86"/>
    <col collapsed="false" customWidth="false" hidden="false" outlineLevel="0" max="56" min="53" style="1" width="0.71"/>
    <col collapsed="false" customWidth="true" hidden="false" outlineLevel="0" max="57" min="57" style="1" width="21"/>
    <col collapsed="false" customWidth="false" hidden="true" outlineLevel="0" max="58" min="58" style="1" width="0.71"/>
    <col collapsed="false" customWidth="true" hidden="false" outlineLevel="0" max="59" min="59" style="1" width="2.29"/>
    <col collapsed="false" customWidth="true" hidden="false" outlineLevel="0" max="60" min="60" style="1" width="4.42"/>
    <col collapsed="false" customWidth="true" hidden="false" outlineLevel="0" max="61" min="61" style="1" width="1.71"/>
    <col collapsed="false" customWidth="true" hidden="true" outlineLevel="0" max="62" min="62" style="1" width="7.42"/>
    <col collapsed="false" customWidth="true" hidden="false" outlineLevel="0" max="63" min="63" style="1" width="2.15"/>
    <col collapsed="false" customWidth="true" hidden="false" outlineLevel="0" max="64" min="64" style="1" width="4.57"/>
    <col collapsed="false" customWidth="false" hidden="false" outlineLevel="0" max="65" min="65" style="1" width="0.71"/>
    <col collapsed="false" customWidth="true" hidden="false" outlineLevel="0" max="66" min="66" style="1" width="1.57"/>
    <col collapsed="false" customWidth="false" hidden="false" outlineLevel="0" max="71" min="67" style="1" width="0.71"/>
    <col collapsed="false" customWidth="true" hidden="false" outlineLevel="0" max="72" min="72" style="1" width="2.15"/>
    <col collapsed="false" customWidth="false" hidden="false" outlineLevel="0" max="73" min="73" style="1" width="0.71"/>
    <col collapsed="false" customWidth="true" hidden="false" outlineLevel="0" max="74" min="74" style="1" width="1.57"/>
    <col collapsed="false" customWidth="false" hidden="false" outlineLevel="0" max="75" min="75" style="1" width="0.71"/>
    <col collapsed="false" customWidth="true" hidden="false" outlineLevel="0" max="76" min="76" style="1" width="4.42"/>
    <col collapsed="false" customWidth="false" hidden="false" outlineLevel="0" max="77" min="77" style="1" width="0.71"/>
    <col collapsed="false" customWidth="true" hidden="false" outlineLevel="0" max="78" min="78" style="1" width="4"/>
    <col collapsed="false" customWidth="false" hidden="false" outlineLevel="0" max="79" min="79" style="1" width="0.71"/>
    <col collapsed="false" customWidth="true" hidden="false" outlineLevel="0" max="80" min="80" style="1" width="1.57"/>
    <col collapsed="false" customWidth="false" hidden="false" outlineLevel="0" max="81" min="81" style="1" width="0.71"/>
    <col collapsed="false" customWidth="true" hidden="false" outlineLevel="0" max="82" min="82" style="1" width="10"/>
    <col collapsed="false" customWidth="true" hidden="false" outlineLevel="0" max="83" min="83" style="2" width="12.57"/>
    <col collapsed="false" customWidth="false" hidden="false" outlineLevel="0" max="86" min="84" style="1" width="0.71"/>
    <col collapsed="false" customWidth="true" hidden="false" outlineLevel="0" max="87" min="87" style="3" width="12.42"/>
    <col collapsed="false" customWidth="true" hidden="false" outlineLevel="0" max="88" min="88" style="1" width="6.29"/>
    <col collapsed="false" customWidth="true" hidden="false" outlineLevel="0" max="89" min="89" style="2" width="12.57"/>
    <col collapsed="false" customWidth="true" hidden="false" outlineLevel="0" max="90" min="90" style="3" width="13.29"/>
    <col collapsed="false" customWidth="false" hidden="false" outlineLevel="0" max="303" min="91" style="1" width="0.71"/>
    <col collapsed="false" customWidth="true" hidden="false" outlineLevel="0" max="304" min="304" style="1" width="3.42"/>
    <col collapsed="false" customWidth="true" hidden="false" outlineLevel="0" max="305" min="305" style="1" width="2.42"/>
    <col collapsed="false" customWidth="true" hidden="false" outlineLevel="0" max="306" min="306" style="1" width="7"/>
    <col collapsed="false" customWidth="false" hidden="false" outlineLevel="0" max="307" min="307" style="1" width="0.71"/>
    <col collapsed="false" customWidth="true" hidden="false" outlineLevel="0" max="308" min="308" style="1" width="1.57"/>
    <col collapsed="false" customWidth="false" hidden="false" outlineLevel="0" max="309" min="309" style="1" width="0.71"/>
    <col collapsed="false" customWidth="true" hidden="false" outlineLevel="0" max="310" min="310" style="1" width="11.29"/>
    <col collapsed="false" customWidth="false" hidden="false" outlineLevel="0" max="311" min="311" style="1" width="0.71"/>
    <col collapsed="false" customWidth="true" hidden="false" outlineLevel="0" max="312" min="312" style="1" width="1.57"/>
    <col collapsed="false" customWidth="false" hidden="false" outlineLevel="0" max="317" min="313" style="1" width="0.71"/>
    <col collapsed="false" customWidth="true" hidden="false" outlineLevel="0" max="318" min="318" style="1" width="2.15"/>
    <col collapsed="false" customWidth="false" hidden="false" outlineLevel="0" max="319" min="319" style="1" width="0.71"/>
    <col collapsed="false" customWidth="true" hidden="false" outlineLevel="0" max="320" min="320" style="1" width="1.57"/>
    <col collapsed="false" customWidth="false" hidden="false" outlineLevel="0" max="321" min="321" style="1" width="0.71"/>
    <col collapsed="false" customWidth="true" hidden="false" outlineLevel="0" max="322" min="322" style="1" width="7"/>
    <col collapsed="false" customWidth="false" hidden="false" outlineLevel="0" max="323" min="323" style="1" width="0.71"/>
    <col collapsed="false" customWidth="true" hidden="false" outlineLevel="0" max="324" min="324" style="1" width="4"/>
    <col collapsed="false" customWidth="false" hidden="false" outlineLevel="0" max="325" min="325" style="1" width="0.71"/>
    <col collapsed="false" customWidth="true" hidden="false" outlineLevel="0" max="326" min="326" style="1" width="1.57"/>
    <col collapsed="false" customWidth="false" hidden="false" outlineLevel="0" max="327" min="327" style="1" width="0.71"/>
    <col collapsed="false" customWidth="true" hidden="false" outlineLevel="0" max="328" min="328" style="1" width="7"/>
    <col collapsed="false" customWidth="false" hidden="false" outlineLevel="0" max="331" min="329" style="1" width="0.71"/>
    <col collapsed="false" customWidth="true" hidden="false" outlineLevel="0" max="332" min="332" style="1" width="2.42"/>
    <col collapsed="false" customWidth="false" hidden="false" outlineLevel="0" max="338" min="333" style="1" width="0.71"/>
    <col collapsed="false" customWidth="true" hidden="false" outlineLevel="0" max="339" min="339" style="1" width="16.57"/>
    <col collapsed="false" customWidth="false" hidden="false" outlineLevel="0" max="342" min="340" style="1" width="0.71"/>
    <col collapsed="false" customWidth="true" hidden="false" outlineLevel="0" max="343" min="343" style="1" width="9.86"/>
    <col collapsed="false" customWidth="true" hidden="false" outlineLevel="0" max="346" min="344" style="1" width="9.29"/>
    <col collapsed="false" customWidth="false" hidden="false" outlineLevel="0" max="559" min="347" style="1" width="0.71"/>
    <col collapsed="false" customWidth="true" hidden="false" outlineLevel="0" max="560" min="560" style="1" width="3.42"/>
    <col collapsed="false" customWidth="true" hidden="false" outlineLevel="0" max="561" min="561" style="1" width="2.42"/>
    <col collapsed="false" customWidth="true" hidden="false" outlineLevel="0" max="562" min="562" style="1" width="7"/>
    <col collapsed="false" customWidth="false" hidden="false" outlineLevel="0" max="563" min="563" style="1" width="0.71"/>
    <col collapsed="false" customWidth="true" hidden="false" outlineLevel="0" max="564" min="564" style="1" width="1.57"/>
    <col collapsed="false" customWidth="false" hidden="false" outlineLevel="0" max="565" min="565" style="1" width="0.71"/>
    <col collapsed="false" customWidth="true" hidden="false" outlineLevel="0" max="566" min="566" style="1" width="11.29"/>
    <col collapsed="false" customWidth="false" hidden="false" outlineLevel="0" max="567" min="567" style="1" width="0.71"/>
    <col collapsed="false" customWidth="true" hidden="false" outlineLevel="0" max="568" min="568" style="1" width="1.57"/>
    <col collapsed="false" customWidth="false" hidden="false" outlineLevel="0" max="573" min="569" style="1" width="0.71"/>
    <col collapsed="false" customWidth="true" hidden="false" outlineLevel="0" max="574" min="574" style="1" width="2.15"/>
    <col collapsed="false" customWidth="false" hidden="false" outlineLevel="0" max="575" min="575" style="1" width="0.71"/>
    <col collapsed="false" customWidth="true" hidden="false" outlineLevel="0" max="576" min="576" style="1" width="1.57"/>
    <col collapsed="false" customWidth="false" hidden="false" outlineLevel="0" max="577" min="577" style="1" width="0.71"/>
    <col collapsed="false" customWidth="true" hidden="false" outlineLevel="0" max="578" min="578" style="1" width="7"/>
    <col collapsed="false" customWidth="false" hidden="false" outlineLevel="0" max="579" min="579" style="1" width="0.71"/>
    <col collapsed="false" customWidth="true" hidden="false" outlineLevel="0" max="580" min="580" style="1" width="4"/>
    <col collapsed="false" customWidth="false" hidden="false" outlineLevel="0" max="581" min="581" style="1" width="0.71"/>
    <col collapsed="false" customWidth="true" hidden="false" outlineLevel="0" max="582" min="582" style="1" width="1.57"/>
    <col collapsed="false" customWidth="false" hidden="false" outlineLevel="0" max="583" min="583" style="1" width="0.71"/>
    <col collapsed="false" customWidth="true" hidden="false" outlineLevel="0" max="584" min="584" style="1" width="7"/>
    <col collapsed="false" customWidth="false" hidden="false" outlineLevel="0" max="587" min="585" style="1" width="0.71"/>
    <col collapsed="false" customWidth="true" hidden="false" outlineLevel="0" max="588" min="588" style="1" width="2.42"/>
    <col collapsed="false" customWidth="false" hidden="false" outlineLevel="0" max="594" min="589" style="1" width="0.71"/>
    <col collapsed="false" customWidth="true" hidden="false" outlineLevel="0" max="595" min="595" style="1" width="16.57"/>
    <col collapsed="false" customWidth="false" hidden="false" outlineLevel="0" max="598" min="596" style="1" width="0.71"/>
    <col collapsed="false" customWidth="true" hidden="false" outlineLevel="0" max="599" min="599" style="1" width="9.86"/>
    <col collapsed="false" customWidth="true" hidden="false" outlineLevel="0" max="602" min="600" style="1" width="9.29"/>
    <col collapsed="false" customWidth="false" hidden="false" outlineLevel="0" max="815" min="603" style="1" width="0.71"/>
    <col collapsed="false" customWidth="true" hidden="false" outlineLevel="0" max="816" min="816" style="1" width="3.42"/>
    <col collapsed="false" customWidth="true" hidden="false" outlineLevel="0" max="817" min="817" style="1" width="2.42"/>
    <col collapsed="false" customWidth="true" hidden="false" outlineLevel="0" max="818" min="818" style="1" width="7"/>
    <col collapsed="false" customWidth="false" hidden="false" outlineLevel="0" max="819" min="819" style="1" width="0.71"/>
    <col collapsed="false" customWidth="true" hidden="false" outlineLevel="0" max="820" min="820" style="1" width="1.57"/>
    <col collapsed="false" customWidth="false" hidden="false" outlineLevel="0" max="821" min="821" style="1" width="0.71"/>
    <col collapsed="false" customWidth="true" hidden="false" outlineLevel="0" max="822" min="822" style="1" width="11.29"/>
    <col collapsed="false" customWidth="false" hidden="false" outlineLevel="0" max="823" min="823" style="1" width="0.71"/>
    <col collapsed="false" customWidth="true" hidden="false" outlineLevel="0" max="824" min="824" style="1" width="1.57"/>
    <col collapsed="false" customWidth="false" hidden="false" outlineLevel="0" max="829" min="825" style="1" width="0.71"/>
    <col collapsed="false" customWidth="true" hidden="false" outlineLevel="0" max="830" min="830" style="1" width="2.15"/>
    <col collapsed="false" customWidth="false" hidden="false" outlineLevel="0" max="831" min="831" style="1" width="0.71"/>
    <col collapsed="false" customWidth="true" hidden="false" outlineLevel="0" max="832" min="832" style="1" width="1.57"/>
    <col collapsed="false" customWidth="false" hidden="false" outlineLevel="0" max="833" min="833" style="1" width="0.71"/>
    <col collapsed="false" customWidth="true" hidden="false" outlineLevel="0" max="834" min="834" style="1" width="7"/>
    <col collapsed="false" customWidth="false" hidden="false" outlineLevel="0" max="835" min="835" style="1" width="0.71"/>
    <col collapsed="false" customWidth="true" hidden="false" outlineLevel="0" max="836" min="836" style="1" width="4"/>
    <col collapsed="false" customWidth="false" hidden="false" outlineLevel="0" max="837" min="837" style="1" width="0.71"/>
    <col collapsed="false" customWidth="true" hidden="false" outlineLevel="0" max="838" min="838" style="1" width="1.57"/>
    <col collapsed="false" customWidth="false" hidden="false" outlineLevel="0" max="839" min="839" style="1" width="0.71"/>
    <col collapsed="false" customWidth="true" hidden="false" outlineLevel="0" max="840" min="840" style="1" width="7"/>
    <col collapsed="false" customWidth="false" hidden="false" outlineLevel="0" max="843" min="841" style="1" width="0.71"/>
    <col collapsed="false" customWidth="true" hidden="false" outlineLevel="0" max="844" min="844" style="1" width="2.42"/>
    <col collapsed="false" customWidth="false" hidden="false" outlineLevel="0" max="850" min="845" style="1" width="0.71"/>
    <col collapsed="false" customWidth="true" hidden="false" outlineLevel="0" max="851" min="851" style="1" width="16.57"/>
    <col collapsed="false" customWidth="false" hidden="false" outlineLevel="0" max="854" min="852" style="1" width="0.71"/>
    <col collapsed="false" customWidth="true" hidden="false" outlineLevel="0" max="855" min="855" style="1" width="9.86"/>
    <col collapsed="false" customWidth="true" hidden="false" outlineLevel="0" max="858" min="856" style="1" width="9.29"/>
    <col collapsed="false" customWidth="false" hidden="false" outlineLevel="0" max="1071" min="859" style="1" width="0.71"/>
    <col collapsed="false" customWidth="true" hidden="false" outlineLevel="0" max="1072" min="1072" style="1" width="3.42"/>
    <col collapsed="false" customWidth="true" hidden="false" outlineLevel="0" max="1073" min="1073" style="1" width="2.42"/>
    <col collapsed="false" customWidth="true" hidden="false" outlineLevel="0" max="1074" min="1074" style="1" width="7"/>
    <col collapsed="false" customWidth="false" hidden="false" outlineLevel="0" max="1075" min="1075" style="1" width="0.71"/>
    <col collapsed="false" customWidth="true" hidden="false" outlineLevel="0" max="1076" min="1076" style="1" width="1.57"/>
    <col collapsed="false" customWidth="false" hidden="false" outlineLevel="0" max="1077" min="1077" style="1" width="0.71"/>
    <col collapsed="false" customWidth="true" hidden="false" outlineLevel="0" max="1078" min="1078" style="1" width="11.29"/>
    <col collapsed="false" customWidth="false" hidden="false" outlineLevel="0" max="1079" min="1079" style="1" width="0.71"/>
    <col collapsed="false" customWidth="true" hidden="false" outlineLevel="0" max="1080" min="1080" style="1" width="1.57"/>
    <col collapsed="false" customWidth="false" hidden="false" outlineLevel="0" max="1085" min="1081" style="1" width="0.71"/>
    <col collapsed="false" customWidth="true" hidden="false" outlineLevel="0" max="1086" min="1086" style="1" width="2.15"/>
    <col collapsed="false" customWidth="false" hidden="false" outlineLevel="0" max="1087" min="1087" style="1" width="0.71"/>
    <col collapsed="false" customWidth="true" hidden="false" outlineLevel="0" max="1088" min="1088" style="1" width="1.57"/>
    <col collapsed="false" customWidth="false" hidden="false" outlineLevel="0" max="1089" min="1089" style="1" width="0.71"/>
    <col collapsed="false" customWidth="true" hidden="false" outlineLevel="0" max="1090" min="1090" style="1" width="7"/>
    <col collapsed="false" customWidth="false" hidden="false" outlineLevel="0" max="1091" min="1091" style="1" width="0.71"/>
    <col collapsed="false" customWidth="true" hidden="false" outlineLevel="0" max="1092" min="1092" style="1" width="4"/>
    <col collapsed="false" customWidth="false" hidden="false" outlineLevel="0" max="1093" min="1093" style="1" width="0.71"/>
    <col collapsed="false" customWidth="true" hidden="false" outlineLevel="0" max="1094" min="1094" style="1" width="1.57"/>
    <col collapsed="false" customWidth="false" hidden="false" outlineLevel="0" max="1095" min="1095" style="1" width="0.71"/>
    <col collapsed="false" customWidth="true" hidden="false" outlineLevel="0" max="1096" min="1096" style="1" width="7"/>
    <col collapsed="false" customWidth="false" hidden="false" outlineLevel="0" max="1099" min="1097" style="1" width="0.71"/>
    <col collapsed="false" customWidth="true" hidden="false" outlineLevel="0" max="1100" min="1100" style="1" width="2.42"/>
    <col collapsed="false" customWidth="false" hidden="false" outlineLevel="0" max="1106" min="1101" style="1" width="0.71"/>
    <col collapsed="false" customWidth="true" hidden="false" outlineLevel="0" max="1107" min="1107" style="1" width="16.57"/>
    <col collapsed="false" customWidth="false" hidden="false" outlineLevel="0" max="1110" min="1108" style="1" width="0.71"/>
    <col collapsed="false" customWidth="true" hidden="false" outlineLevel="0" max="1111" min="1111" style="1" width="9.86"/>
    <col collapsed="false" customWidth="true" hidden="false" outlineLevel="0" max="1114" min="1112" style="1" width="9.29"/>
    <col collapsed="false" customWidth="false" hidden="false" outlineLevel="0" max="1327" min="1115" style="1" width="0.71"/>
    <col collapsed="false" customWidth="true" hidden="false" outlineLevel="0" max="1328" min="1328" style="1" width="3.42"/>
    <col collapsed="false" customWidth="true" hidden="false" outlineLevel="0" max="1329" min="1329" style="1" width="2.42"/>
    <col collapsed="false" customWidth="true" hidden="false" outlineLevel="0" max="1330" min="1330" style="1" width="7"/>
    <col collapsed="false" customWidth="false" hidden="false" outlineLevel="0" max="1331" min="1331" style="1" width="0.71"/>
    <col collapsed="false" customWidth="true" hidden="false" outlineLevel="0" max="1332" min="1332" style="1" width="1.57"/>
    <col collapsed="false" customWidth="false" hidden="false" outlineLevel="0" max="1333" min="1333" style="1" width="0.71"/>
    <col collapsed="false" customWidth="true" hidden="false" outlineLevel="0" max="1334" min="1334" style="1" width="11.29"/>
    <col collapsed="false" customWidth="false" hidden="false" outlineLevel="0" max="1335" min="1335" style="1" width="0.71"/>
    <col collapsed="false" customWidth="true" hidden="false" outlineLevel="0" max="1336" min="1336" style="1" width="1.57"/>
    <col collapsed="false" customWidth="false" hidden="false" outlineLevel="0" max="1341" min="1337" style="1" width="0.71"/>
    <col collapsed="false" customWidth="true" hidden="false" outlineLevel="0" max="1342" min="1342" style="1" width="2.15"/>
    <col collapsed="false" customWidth="false" hidden="false" outlineLevel="0" max="1343" min="1343" style="1" width="0.71"/>
    <col collapsed="false" customWidth="true" hidden="false" outlineLevel="0" max="1344" min="1344" style="1" width="1.57"/>
    <col collapsed="false" customWidth="false" hidden="false" outlineLevel="0" max="1345" min="1345" style="1" width="0.71"/>
    <col collapsed="false" customWidth="true" hidden="false" outlineLevel="0" max="1346" min="1346" style="1" width="7"/>
    <col collapsed="false" customWidth="false" hidden="false" outlineLevel="0" max="1347" min="1347" style="1" width="0.71"/>
    <col collapsed="false" customWidth="true" hidden="false" outlineLevel="0" max="1348" min="1348" style="1" width="4"/>
    <col collapsed="false" customWidth="false" hidden="false" outlineLevel="0" max="1349" min="1349" style="1" width="0.71"/>
    <col collapsed="false" customWidth="true" hidden="false" outlineLevel="0" max="1350" min="1350" style="1" width="1.57"/>
    <col collapsed="false" customWidth="false" hidden="false" outlineLevel="0" max="1351" min="1351" style="1" width="0.71"/>
    <col collapsed="false" customWidth="true" hidden="false" outlineLevel="0" max="1352" min="1352" style="1" width="7"/>
    <col collapsed="false" customWidth="false" hidden="false" outlineLevel="0" max="1355" min="1353" style="1" width="0.71"/>
    <col collapsed="false" customWidth="true" hidden="false" outlineLevel="0" max="1356" min="1356" style="1" width="2.42"/>
    <col collapsed="false" customWidth="false" hidden="false" outlineLevel="0" max="1362" min="1357" style="1" width="0.71"/>
    <col collapsed="false" customWidth="true" hidden="false" outlineLevel="0" max="1363" min="1363" style="1" width="16.57"/>
    <col collapsed="false" customWidth="false" hidden="false" outlineLevel="0" max="1366" min="1364" style="1" width="0.71"/>
    <col collapsed="false" customWidth="true" hidden="false" outlineLevel="0" max="1367" min="1367" style="1" width="9.86"/>
    <col collapsed="false" customWidth="true" hidden="false" outlineLevel="0" max="1370" min="1368" style="1" width="9.29"/>
    <col collapsed="false" customWidth="false" hidden="false" outlineLevel="0" max="1583" min="1371" style="1" width="0.71"/>
    <col collapsed="false" customWidth="true" hidden="false" outlineLevel="0" max="1584" min="1584" style="1" width="3.42"/>
    <col collapsed="false" customWidth="true" hidden="false" outlineLevel="0" max="1585" min="1585" style="1" width="2.42"/>
    <col collapsed="false" customWidth="true" hidden="false" outlineLevel="0" max="1586" min="1586" style="1" width="7"/>
    <col collapsed="false" customWidth="false" hidden="false" outlineLevel="0" max="1587" min="1587" style="1" width="0.71"/>
    <col collapsed="false" customWidth="true" hidden="false" outlineLevel="0" max="1588" min="1588" style="1" width="1.57"/>
    <col collapsed="false" customWidth="false" hidden="false" outlineLevel="0" max="1589" min="1589" style="1" width="0.71"/>
    <col collapsed="false" customWidth="true" hidden="false" outlineLevel="0" max="1590" min="1590" style="1" width="11.29"/>
    <col collapsed="false" customWidth="false" hidden="false" outlineLevel="0" max="1591" min="1591" style="1" width="0.71"/>
    <col collapsed="false" customWidth="true" hidden="false" outlineLevel="0" max="1592" min="1592" style="1" width="1.57"/>
    <col collapsed="false" customWidth="false" hidden="false" outlineLevel="0" max="1597" min="1593" style="1" width="0.71"/>
    <col collapsed="false" customWidth="true" hidden="false" outlineLevel="0" max="1598" min="1598" style="1" width="2.15"/>
    <col collapsed="false" customWidth="false" hidden="false" outlineLevel="0" max="1599" min="1599" style="1" width="0.71"/>
    <col collapsed="false" customWidth="true" hidden="false" outlineLevel="0" max="1600" min="1600" style="1" width="1.57"/>
    <col collapsed="false" customWidth="false" hidden="false" outlineLevel="0" max="1601" min="1601" style="1" width="0.71"/>
    <col collapsed="false" customWidth="true" hidden="false" outlineLevel="0" max="1602" min="1602" style="1" width="7"/>
    <col collapsed="false" customWidth="false" hidden="false" outlineLevel="0" max="1603" min="1603" style="1" width="0.71"/>
    <col collapsed="false" customWidth="true" hidden="false" outlineLevel="0" max="1604" min="1604" style="1" width="4"/>
    <col collapsed="false" customWidth="false" hidden="false" outlineLevel="0" max="1605" min="1605" style="1" width="0.71"/>
    <col collapsed="false" customWidth="true" hidden="false" outlineLevel="0" max="1606" min="1606" style="1" width="1.57"/>
    <col collapsed="false" customWidth="false" hidden="false" outlineLevel="0" max="1607" min="1607" style="1" width="0.71"/>
    <col collapsed="false" customWidth="true" hidden="false" outlineLevel="0" max="1608" min="1608" style="1" width="7"/>
    <col collapsed="false" customWidth="false" hidden="false" outlineLevel="0" max="1611" min="1609" style="1" width="0.71"/>
    <col collapsed="false" customWidth="true" hidden="false" outlineLevel="0" max="1612" min="1612" style="1" width="2.42"/>
    <col collapsed="false" customWidth="false" hidden="false" outlineLevel="0" max="1618" min="1613" style="1" width="0.71"/>
    <col collapsed="false" customWidth="true" hidden="false" outlineLevel="0" max="1619" min="1619" style="1" width="16.57"/>
    <col collapsed="false" customWidth="false" hidden="false" outlineLevel="0" max="1622" min="1620" style="1" width="0.71"/>
    <col collapsed="false" customWidth="true" hidden="false" outlineLevel="0" max="1623" min="1623" style="1" width="9.86"/>
    <col collapsed="false" customWidth="true" hidden="false" outlineLevel="0" max="1626" min="1624" style="1" width="9.29"/>
    <col collapsed="false" customWidth="false" hidden="false" outlineLevel="0" max="1839" min="1627" style="1" width="0.71"/>
    <col collapsed="false" customWidth="true" hidden="false" outlineLevel="0" max="1840" min="1840" style="1" width="3.42"/>
    <col collapsed="false" customWidth="true" hidden="false" outlineLevel="0" max="1841" min="1841" style="1" width="2.42"/>
    <col collapsed="false" customWidth="true" hidden="false" outlineLevel="0" max="1842" min="1842" style="1" width="7"/>
    <col collapsed="false" customWidth="false" hidden="false" outlineLevel="0" max="1843" min="1843" style="1" width="0.71"/>
    <col collapsed="false" customWidth="true" hidden="false" outlineLevel="0" max="1844" min="1844" style="1" width="1.57"/>
    <col collapsed="false" customWidth="false" hidden="false" outlineLevel="0" max="1845" min="1845" style="1" width="0.71"/>
    <col collapsed="false" customWidth="true" hidden="false" outlineLevel="0" max="1846" min="1846" style="1" width="11.29"/>
    <col collapsed="false" customWidth="false" hidden="false" outlineLevel="0" max="1847" min="1847" style="1" width="0.71"/>
    <col collapsed="false" customWidth="true" hidden="false" outlineLevel="0" max="1848" min="1848" style="1" width="1.57"/>
    <col collapsed="false" customWidth="false" hidden="false" outlineLevel="0" max="1853" min="1849" style="1" width="0.71"/>
    <col collapsed="false" customWidth="true" hidden="false" outlineLevel="0" max="1854" min="1854" style="1" width="2.15"/>
    <col collapsed="false" customWidth="false" hidden="false" outlineLevel="0" max="1855" min="1855" style="1" width="0.71"/>
    <col collapsed="false" customWidth="true" hidden="false" outlineLevel="0" max="1856" min="1856" style="1" width="1.57"/>
    <col collapsed="false" customWidth="false" hidden="false" outlineLevel="0" max="1857" min="1857" style="1" width="0.71"/>
    <col collapsed="false" customWidth="true" hidden="false" outlineLevel="0" max="1858" min="1858" style="1" width="7"/>
    <col collapsed="false" customWidth="false" hidden="false" outlineLevel="0" max="1859" min="1859" style="1" width="0.71"/>
    <col collapsed="false" customWidth="true" hidden="false" outlineLevel="0" max="1860" min="1860" style="1" width="4"/>
    <col collapsed="false" customWidth="false" hidden="false" outlineLevel="0" max="1861" min="1861" style="1" width="0.71"/>
    <col collapsed="false" customWidth="true" hidden="false" outlineLevel="0" max="1862" min="1862" style="1" width="1.57"/>
    <col collapsed="false" customWidth="false" hidden="false" outlineLevel="0" max="1863" min="1863" style="1" width="0.71"/>
    <col collapsed="false" customWidth="true" hidden="false" outlineLevel="0" max="1864" min="1864" style="1" width="7"/>
    <col collapsed="false" customWidth="false" hidden="false" outlineLevel="0" max="1867" min="1865" style="1" width="0.71"/>
    <col collapsed="false" customWidth="true" hidden="false" outlineLevel="0" max="1868" min="1868" style="1" width="2.42"/>
    <col collapsed="false" customWidth="false" hidden="false" outlineLevel="0" max="1874" min="1869" style="1" width="0.71"/>
    <col collapsed="false" customWidth="true" hidden="false" outlineLevel="0" max="1875" min="1875" style="1" width="16.57"/>
    <col collapsed="false" customWidth="false" hidden="false" outlineLevel="0" max="1878" min="1876" style="1" width="0.71"/>
    <col collapsed="false" customWidth="true" hidden="false" outlineLevel="0" max="1879" min="1879" style="1" width="9.86"/>
    <col collapsed="false" customWidth="true" hidden="false" outlineLevel="0" max="1882" min="1880" style="1" width="9.29"/>
    <col collapsed="false" customWidth="false" hidden="false" outlineLevel="0" max="2095" min="1883" style="1" width="0.71"/>
    <col collapsed="false" customWidth="true" hidden="false" outlineLevel="0" max="2096" min="2096" style="1" width="3.42"/>
    <col collapsed="false" customWidth="true" hidden="false" outlineLevel="0" max="2097" min="2097" style="1" width="2.42"/>
    <col collapsed="false" customWidth="true" hidden="false" outlineLevel="0" max="2098" min="2098" style="1" width="7"/>
    <col collapsed="false" customWidth="false" hidden="false" outlineLevel="0" max="2099" min="2099" style="1" width="0.71"/>
    <col collapsed="false" customWidth="true" hidden="false" outlineLevel="0" max="2100" min="2100" style="1" width="1.57"/>
    <col collapsed="false" customWidth="false" hidden="false" outlineLevel="0" max="2101" min="2101" style="1" width="0.71"/>
    <col collapsed="false" customWidth="true" hidden="false" outlineLevel="0" max="2102" min="2102" style="1" width="11.29"/>
    <col collapsed="false" customWidth="false" hidden="false" outlineLevel="0" max="2103" min="2103" style="1" width="0.71"/>
    <col collapsed="false" customWidth="true" hidden="false" outlineLevel="0" max="2104" min="2104" style="1" width="1.57"/>
    <col collapsed="false" customWidth="false" hidden="false" outlineLevel="0" max="2109" min="2105" style="1" width="0.71"/>
    <col collapsed="false" customWidth="true" hidden="false" outlineLevel="0" max="2110" min="2110" style="1" width="2.15"/>
    <col collapsed="false" customWidth="false" hidden="false" outlineLevel="0" max="2111" min="2111" style="1" width="0.71"/>
    <col collapsed="false" customWidth="true" hidden="false" outlineLevel="0" max="2112" min="2112" style="1" width="1.57"/>
    <col collapsed="false" customWidth="false" hidden="false" outlineLevel="0" max="2113" min="2113" style="1" width="0.71"/>
    <col collapsed="false" customWidth="true" hidden="false" outlineLevel="0" max="2114" min="2114" style="1" width="7"/>
    <col collapsed="false" customWidth="false" hidden="false" outlineLevel="0" max="2115" min="2115" style="1" width="0.71"/>
    <col collapsed="false" customWidth="true" hidden="false" outlineLevel="0" max="2116" min="2116" style="1" width="4"/>
    <col collapsed="false" customWidth="false" hidden="false" outlineLevel="0" max="2117" min="2117" style="1" width="0.71"/>
    <col collapsed="false" customWidth="true" hidden="false" outlineLevel="0" max="2118" min="2118" style="1" width="1.57"/>
    <col collapsed="false" customWidth="false" hidden="false" outlineLevel="0" max="2119" min="2119" style="1" width="0.71"/>
    <col collapsed="false" customWidth="true" hidden="false" outlineLevel="0" max="2120" min="2120" style="1" width="7"/>
    <col collapsed="false" customWidth="false" hidden="false" outlineLevel="0" max="2123" min="2121" style="1" width="0.71"/>
    <col collapsed="false" customWidth="true" hidden="false" outlineLevel="0" max="2124" min="2124" style="1" width="2.42"/>
    <col collapsed="false" customWidth="false" hidden="false" outlineLevel="0" max="2130" min="2125" style="1" width="0.71"/>
    <col collapsed="false" customWidth="true" hidden="false" outlineLevel="0" max="2131" min="2131" style="1" width="16.57"/>
    <col collapsed="false" customWidth="false" hidden="false" outlineLevel="0" max="2134" min="2132" style="1" width="0.71"/>
    <col collapsed="false" customWidth="true" hidden="false" outlineLevel="0" max="2135" min="2135" style="1" width="9.86"/>
    <col collapsed="false" customWidth="true" hidden="false" outlineLevel="0" max="2138" min="2136" style="1" width="9.29"/>
    <col collapsed="false" customWidth="false" hidden="false" outlineLevel="0" max="2351" min="2139" style="1" width="0.71"/>
    <col collapsed="false" customWidth="true" hidden="false" outlineLevel="0" max="2352" min="2352" style="1" width="3.42"/>
    <col collapsed="false" customWidth="true" hidden="false" outlineLevel="0" max="2353" min="2353" style="1" width="2.42"/>
    <col collapsed="false" customWidth="true" hidden="false" outlineLevel="0" max="2354" min="2354" style="1" width="7"/>
    <col collapsed="false" customWidth="false" hidden="false" outlineLevel="0" max="2355" min="2355" style="1" width="0.71"/>
    <col collapsed="false" customWidth="true" hidden="false" outlineLevel="0" max="2356" min="2356" style="1" width="1.57"/>
    <col collapsed="false" customWidth="false" hidden="false" outlineLevel="0" max="2357" min="2357" style="1" width="0.71"/>
    <col collapsed="false" customWidth="true" hidden="false" outlineLevel="0" max="2358" min="2358" style="1" width="11.29"/>
    <col collapsed="false" customWidth="false" hidden="false" outlineLevel="0" max="2359" min="2359" style="1" width="0.71"/>
    <col collapsed="false" customWidth="true" hidden="false" outlineLevel="0" max="2360" min="2360" style="1" width="1.57"/>
    <col collapsed="false" customWidth="false" hidden="false" outlineLevel="0" max="2365" min="2361" style="1" width="0.71"/>
    <col collapsed="false" customWidth="true" hidden="false" outlineLevel="0" max="2366" min="2366" style="1" width="2.15"/>
    <col collapsed="false" customWidth="false" hidden="false" outlineLevel="0" max="2367" min="2367" style="1" width="0.71"/>
    <col collapsed="false" customWidth="true" hidden="false" outlineLevel="0" max="2368" min="2368" style="1" width="1.57"/>
    <col collapsed="false" customWidth="false" hidden="false" outlineLevel="0" max="2369" min="2369" style="1" width="0.71"/>
    <col collapsed="false" customWidth="true" hidden="false" outlineLevel="0" max="2370" min="2370" style="1" width="7"/>
    <col collapsed="false" customWidth="false" hidden="false" outlineLevel="0" max="2371" min="2371" style="1" width="0.71"/>
    <col collapsed="false" customWidth="true" hidden="false" outlineLevel="0" max="2372" min="2372" style="1" width="4"/>
    <col collapsed="false" customWidth="false" hidden="false" outlineLevel="0" max="2373" min="2373" style="1" width="0.71"/>
    <col collapsed="false" customWidth="true" hidden="false" outlineLevel="0" max="2374" min="2374" style="1" width="1.57"/>
    <col collapsed="false" customWidth="false" hidden="false" outlineLevel="0" max="2375" min="2375" style="1" width="0.71"/>
    <col collapsed="false" customWidth="true" hidden="false" outlineLevel="0" max="2376" min="2376" style="1" width="7"/>
    <col collapsed="false" customWidth="false" hidden="false" outlineLevel="0" max="2379" min="2377" style="1" width="0.71"/>
    <col collapsed="false" customWidth="true" hidden="false" outlineLevel="0" max="2380" min="2380" style="1" width="2.42"/>
    <col collapsed="false" customWidth="false" hidden="false" outlineLevel="0" max="2386" min="2381" style="1" width="0.71"/>
    <col collapsed="false" customWidth="true" hidden="false" outlineLevel="0" max="2387" min="2387" style="1" width="16.57"/>
    <col collapsed="false" customWidth="false" hidden="false" outlineLevel="0" max="2390" min="2388" style="1" width="0.71"/>
    <col collapsed="false" customWidth="true" hidden="false" outlineLevel="0" max="2391" min="2391" style="1" width="9.86"/>
    <col collapsed="false" customWidth="true" hidden="false" outlineLevel="0" max="2394" min="2392" style="1" width="9.29"/>
    <col collapsed="false" customWidth="false" hidden="false" outlineLevel="0" max="2607" min="2395" style="1" width="0.71"/>
    <col collapsed="false" customWidth="true" hidden="false" outlineLevel="0" max="2608" min="2608" style="1" width="3.42"/>
    <col collapsed="false" customWidth="true" hidden="false" outlineLevel="0" max="2609" min="2609" style="1" width="2.42"/>
    <col collapsed="false" customWidth="true" hidden="false" outlineLevel="0" max="2610" min="2610" style="1" width="7"/>
    <col collapsed="false" customWidth="false" hidden="false" outlineLevel="0" max="2611" min="2611" style="1" width="0.71"/>
    <col collapsed="false" customWidth="true" hidden="false" outlineLevel="0" max="2612" min="2612" style="1" width="1.57"/>
    <col collapsed="false" customWidth="false" hidden="false" outlineLevel="0" max="2613" min="2613" style="1" width="0.71"/>
    <col collapsed="false" customWidth="true" hidden="false" outlineLevel="0" max="2614" min="2614" style="1" width="11.29"/>
    <col collapsed="false" customWidth="false" hidden="false" outlineLevel="0" max="2615" min="2615" style="1" width="0.71"/>
    <col collapsed="false" customWidth="true" hidden="false" outlineLevel="0" max="2616" min="2616" style="1" width="1.57"/>
    <col collapsed="false" customWidth="false" hidden="false" outlineLevel="0" max="2621" min="2617" style="1" width="0.71"/>
    <col collapsed="false" customWidth="true" hidden="false" outlineLevel="0" max="2622" min="2622" style="1" width="2.15"/>
    <col collapsed="false" customWidth="false" hidden="false" outlineLevel="0" max="2623" min="2623" style="1" width="0.71"/>
    <col collapsed="false" customWidth="true" hidden="false" outlineLevel="0" max="2624" min="2624" style="1" width="1.57"/>
    <col collapsed="false" customWidth="false" hidden="false" outlineLevel="0" max="2625" min="2625" style="1" width="0.71"/>
    <col collapsed="false" customWidth="true" hidden="false" outlineLevel="0" max="2626" min="2626" style="1" width="7"/>
    <col collapsed="false" customWidth="false" hidden="false" outlineLevel="0" max="2627" min="2627" style="1" width="0.71"/>
    <col collapsed="false" customWidth="true" hidden="false" outlineLevel="0" max="2628" min="2628" style="1" width="4"/>
    <col collapsed="false" customWidth="false" hidden="false" outlineLevel="0" max="2629" min="2629" style="1" width="0.71"/>
    <col collapsed="false" customWidth="true" hidden="false" outlineLevel="0" max="2630" min="2630" style="1" width="1.57"/>
    <col collapsed="false" customWidth="false" hidden="false" outlineLevel="0" max="2631" min="2631" style="1" width="0.71"/>
    <col collapsed="false" customWidth="true" hidden="false" outlineLevel="0" max="2632" min="2632" style="1" width="7"/>
    <col collapsed="false" customWidth="false" hidden="false" outlineLevel="0" max="2635" min="2633" style="1" width="0.71"/>
    <col collapsed="false" customWidth="true" hidden="false" outlineLevel="0" max="2636" min="2636" style="1" width="2.42"/>
    <col collapsed="false" customWidth="false" hidden="false" outlineLevel="0" max="2642" min="2637" style="1" width="0.71"/>
    <col collapsed="false" customWidth="true" hidden="false" outlineLevel="0" max="2643" min="2643" style="1" width="16.57"/>
    <col collapsed="false" customWidth="false" hidden="false" outlineLevel="0" max="2646" min="2644" style="1" width="0.71"/>
    <col collapsed="false" customWidth="true" hidden="false" outlineLevel="0" max="2647" min="2647" style="1" width="9.86"/>
    <col collapsed="false" customWidth="true" hidden="false" outlineLevel="0" max="2650" min="2648" style="1" width="9.29"/>
    <col collapsed="false" customWidth="false" hidden="false" outlineLevel="0" max="2863" min="2651" style="1" width="0.71"/>
    <col collapsed="false" customWidth="true" hidden="false" outlineLevel="0" max="2864" min="2864" style="1" width="3.42"/>
    <col collapsed="false" customWidth="true" hidden="false" outlineLevel="0" max="2865" min="2865" style="1" width="2.42"/>
    <col collapsed="false" customWidth="true" hidden="false" outlineLevel="0" max="2866" min="2866" style="1" width="7"/>
    <col collapsed="false" customWidth="false" hidden="false" outlineLevel="0" max="2867" min="2867" style="1" width="0.71"/>
    <col collapsed="false" customWidth="true" hidden="false" outlineLevel="0" max="2868" min="2868" style="1" width="1.57"/>
    <col collapsed="false" customWidth="false" hidden="false" outlineLevel="0" max="2869" min="2869" style="1" width="0.71"/>
    <col collapsed="false" customWidth="true" hidden="false" outlineLevel="0" max="2870" min="2870" style="1" width="11.29"/>
    <col collapsed="false" customWidth="false" hidden="false" outlineLevel="0" max="2871" min="2871" style="1" width="0.71"/>
    <col collapsed="false" customWidth="true" hidden="false" outlineLevel="0" max="2872" min="2872" style="1" width="1.57"/>
    <col collapsed="false" customWidth="false" hidden="false" outlineLevel="0" max="2877" min="2873" style="1" width="0.71"/>
    <col collapsed="false" customWidth="true" hidden="false" outlineLevel="0" max="2878" min="2878" style="1" width="2.15"/>
    <col collapsed="false" customWidth="false" hidden="false" outlineLevel="0" max="2879" min="2879" style="1" width="0.71"/>
    <col collapsed="false" customWidth="true" hidden="false" outlineLevel="0" max="2880" min="2880" style="1" width="1.57"/>
    <col collapsed="false" customWidth="false" hidden="false" outlineLevel="0" max="2881" min="2881" style="1" width="0.71"/>
    <col collapsed="false" customWidth="true" hidden="false" outlineLevel="0" max="2882" min="2882" style="1" width="7"/>
    <col collapsed="false" customWidth="false" hidden="false" outlineLevel="0" max="2883" min="2883" style="1" width="0.71"/>
    <col collapsed="false" customWidth="true" hidden="false" outlineLevel="0" max="2884" min="2884" style="1" width="4"/>
    <col collapsed="false" customWidth="false" hidden="false" outlineLevel="0" max="2885" min="2885" style="1" width="0.71"/>
    <col collapsed="false" customWidth="true" hidden="false" outlineLevel="0" max="2886" min="2886" style="1" width="1.57"/>
    <col collapsed="false" customWidth="false" hidden="false" outlineLevel="0" max="2887" min="2887" style="1" width="0.71"/>
    <col collapsed="false" customWidth="true" hidden="false" outlineLevel="0" max="2888" min="2888" style="1" width="7"/>
    <col collapsed="false" customWidth="false" hidden="false" outlineLevel="0" max="2891" min="2889" style="1" width="0.71"/>
    <col collapsed="false" customWidth="true" hidden="false" outlineLevel="0" max="2892" min="2892" style="1" width="2.42"/>
    <col collapsed="false" customWidth="false" hidden="false" outlineLevel="0" max="2898" min="2893" style="1" width="0.71"/>
    <col collapsed="false" customWidth="true" hidden="false" outlineLevel="0" max="2899" min="2899" style="1" width="16.57"/>
    <col collapsed="false" customWidth="false" hidden="false" outlineLevel="0" max="2902" min="2900" style="1" width="0.71"/>
    <col collapsed="false" customWidth="true" hidden="false" outlineLevel="0" max="2903" min="2903" style="1" width="9.86"/>
    <col collapsed="false" customWidth="true" hidden="false" outlineLevel="0" max="2906" min="2904" style="1" width="9.29"/>
    <col collapsed="false" customWidth="false" hidden="false" outlineLevel="0" max="3119" min="2907" style="1" width="0.71"/>
    <col collapsed="false" customWidth="true" hidden="false" outlineLevel="0" max="3120" min="3120" style="1" width="3.42"/>
    <col collapsed="false" customWidth="true" hidden="false" outlineLevel="0" max="3121" min="3121" style="1" width="2.42"/>
    <col collapsed="false" customWidth="true" hidden="false" outlineLevel="0" max="3122" min="3122" style="1" width="7"/>
    <col collapsed="false" customWidth="false" hidden="false" outlineLevel="0" max="3123" min="3123" style="1" width="0.71"/>
    <col collapsed="false" customWidth="true" hidden="false" outlineLevel="0" max="3124" min="3124" style="1" width="1.57"/>
    <col collapsed="false" customWidth="false" hidden="false" outlineLevel="0" max="3125" min="3125" style="1" width="0.71"/>
    <col collapsed="false" customWidth="true" hidden="false" outlineLevel="0" max="3126" min="3126" style="1" width="11.29"/>
    <col collapsed="false" customWidth="false" hidden="false" outlineLevel="0" max="3127" min="3127" style="1" width="0.71"/>
    <col collapsed="false" customWidth="true" hidden="false" outlineLevel="0" max="3128" min="3128" style="1" width="1.57"/>
    <col collapsed="false" customWidth="false" hidden="false" outlineLevel="0" max="3133" min="3129" style="1" width="0.71"/>
    <col collapsed="false" customWidth="true" hidden="false" outlineLevel="0" max="3134" min="3134" style="1" width="2.15"/>
    <col collapsed="false" customWidth="false" hidden="false" outlineLevel="0" max="3135" min="3135" style="1" width="0.71"/>
    <col collapsed="false" customWidth="true" hidden="false" outlineLevel="0" max="3136" min="3136" style="1" width="1.57"/>
    <col collapsed="false" customWidth="false" hidden="false" outlineLevel="0" max="3137" min="3137" style="1" width="0.71"/>
    <col collapsed="false" customWidth="true" hidden="false" outlineLevel="0" max="3138" min="3138" style="1" width="7"/>
    <col collapsed="false" customWidth="false" hidden="false" outlineLevel="0" max="3139" min="3139" style="1" width="0.71"/>
    <col collapsed="false" customWidth="true" hidden="false" outlineLevel="0" max="3140" min="3140" style="1" width="4"/>
    <col collapsed="false" customWidth="false" hidden="false" outlineLevel="0" max="3141" min="3141" style="1" width="0.71"/>
    <col collapsed="false" customWidth="true" hidden="false" outlineLevel="0" max="3142" min="3142" style="1" width="1.57"/>
    <col collapsed="false" customWidth="false" hidden="false" outlineLevel="0" max="3143" min="3143" style="1" width="0.71"/>
    <col collapsed="false" customWidth="true" hidden="false" outlineLevel="0" max="3144" min="3144" style="1" width="7"/>
    <col collapsed="false" customWidth="false" hidden="false" outlineLevel="0" max="3147" min="3145" style="1" width="0.71"/>
    <col collapsed="false" customWidth="true" hidden="false" outlineLevel="0" max="3148" min="3148" style="1" width="2.42"/>
    <col collapsed="false" customWidth="false" hidden="false" outlineLevel="0" max="3154" min="3149" style="1" width="0.71"/>
    <col collapsed="false" customWidth="true" hidden="false" outlineLevel="0" max="3155" min="3155" style="1" width="16.57"/>
    <col collapsed="false" customWidth="false" hidden="false" outlineLevel="0" max="3158" min="3156" style="1" width="0.71"/>
    <col collapsed="false" customWidth="true" hidden="false" outlineLevel="0" max="3159" min="3159" style="1" width="9.86"/>
    <col collapsed="false" customWidth="true" hidden="false" outlineLevel="0" max="3162" min="3160" style="1" width="9.29"/>
    <col collapsed="false" customWidth="false" hidden="false" outlineLevel="0" max="3375" min="3163" style="1" width="0.71"/>
    <col collapsed="false" customWidth="true" hidden="false" outlineLevel="0" max="3376" min="3376" style="1" width="3.42"/>
    <col collapsed="false" customWidth="true" hidden="false" outlineLevel="0" max="3377" min="3377" style="1" width="2.42"/>
    <col collapsed="false" customWidth="true" hidden="false" outlineLevel="0" max="3378" min="3378" style="1" width="7"/>
    <col collapsed="false" customWidth="false" hidden="false" outlineLevel="0" max="3379" min="3379" style="1" width="0.71"/>
    <col collapsed="false" customWidth="true" hidden="false" outlineLevel="0" max="3380" min="3380" style="1" width="1.57"/>
    <col collapsed="false" customWidth="false" hidden="false" outlineLevel="0" max="3381" min="3381" style="1" width="0.71"/>
    <col collapsed="false" customWidth="true" hidden="false" outlineLevel="0" max="3382" min="3382" style="1" width="11.29"/>
    <col collapsed="false" customWidth="false" hidden="false" outlineLevel="0" max="3383" min="3383" style="1" width="0.71"/>
    <col collapsed="false" customWidth="true" hidden="false" outlineLevel="0" max="3384" min="3384" style="1" width="1.57"/>
    <col collapsed="false" customWidth="false" hidden="false" outlineLevel="0" max="3389" min="3385" style="1" width="0.71"/>
    <col collapsed="false" customWidth="true" hidden="false" outlineLevel="0" max="3390" min="3390" style="1" width="2.15"/>
    <col collapsed="false" customWidth="false" hidden="false" outlineLevel="0" max="3391" min="3391" style="1" width="0.71"/>
    <col collapsed="false" customWidth="true" hidden="false" outlineLevel="0" max="3392" min="3392" style="1" width="1.57"/>
    <col collapsed="false" customWidth="false" hidden="false" outlineLevel="0" max="3393" min="3393" style="1" width="0.71"/>
    <col collapsed="false" customWidth="true" hidden="false" outlineLevel="0" max="3394" min="3394" style="1" width="7"/>
    <col collapsed="false" customWidth="false" hidden="false" outlineLevel="0" max="3395" min="3395" style="1" width="0.71"/>
    <col collapsed="false" customWidth="true" hidden="false" outlineLevel="0" max="3396" min="3396" style="1" width="4"/>
    <col collapsed="false" customWidth="false" hidden="false" outlineLevel="0" max="3397" min="3397" style="1" width="0.71"/>
    <col collapsed="false" customWidth="true" hidden="false" outlineLevel="0" max="3398" min="3398" style="1" width="1.57"/>
    <col collapsed="false" customWidth="false" hidden="false" outlineLevel="0" max="3399" min="3399" style="1" width="0.71"/>
    <col collapsed="false" customWidth="true" hidden="false" outlineLevel="0" max="3400" min="3400" style="1" width="7"/>
    <col collapsed="false" customWidth="false" hidden="false" outlineLevel="0" max="3403" min="3401" style="1" width="0.71"/>
    <col collapsed="false" customWidth="true" hidden="false" outlineLevel="0" max="3404" min="3404" style="1" width="2.42"/>
    <col collapsed="false" customWidth="false" hidden="false" outlineLevel="0" max="3410" min="3405" style="1" width="0.71"/>
    <col collapsed="false" customWidth="true" hidden="false" outlineLevel="0" max="3411" min="3411" style="1" width="16.57"/>
    <col collapsed="false" customWidth="false" hidden="false" outlineLevel="0" max="3414" min="3412" style="1" width="0.71"/>
    <col collapsed="false" customWidth="true" hidden="false" outlineLevel="0" max="3415" min="3415" style="1" width="9.86"/>
    <col collapsed="false" customWidth="true" hidden="false" outlineLevel="0" max="3418" min="3416" style="1" width="9.29"/>
    <col collapsed="false" customWidth="false" hidden="false" outlineLevel="0" max="3631" min="3419" style="1" width="0.71"/>
    <col collapsed="false" customWidth="true" hidden="false" outlineLevel="0" max="3632" min="3632" style="1" width="3.42"/>
    <col collapsed="false" customWidth="true" hidden="false" outlineLevel="0" max="3633" min="3633" style="1" width="2.42"/>
    <col collapsed="false" customWidth="true" hidden="false" outlineLevel="0" max="3634" min="3634" style="1" width="7"/>
    <col collapsed="false" customWidth="false" hidden="false" outlineLevel="0" max="3635" min="3635" style="1" width="0.71"/>
    <col collapsed="false" customWidth="true" hidden="false" outlineLevel="0" max="3636" min="3636" style="1" width="1.57"/>
    <col collapsed="false" customWidth="false" hidden="false" outlineLevel="0" max="3637" min="3637" style="1" width="0.71"/>
    <col collapsed="false" customWidth="true" hidden="false" outlineLevel="0" max="3638" min="3638" style="1" width="11.29"/>
    <col collapsed="false" customWidth="false" hidden="false" outlineLevel="0" max="3639" min="3639" style="1" width="0.71"/>
    <col collapsed="false" customWidth="true" hidden="false" outlineLevel="0" max="3640" min="3640" style="1" width="1.57"/>
    <col collapsed="false" customWidth="false" hidden="false" outlineLevel="0" max="3645" min="3641" style="1" width="0.71"/>
    <col collapsed="false" customWidth="true" hidden="false" outlineLevel="0" max="3646" min="3646" style="1" width="2.15"/>
    <col collapsed="false" customWidth="false" hidden="false" outlineLevel="0" max="3647" min="3647" style="1" width="0.71"/>
    <col collapsed="false" customWidth="true" hidden="false" outlineLevel="0" max="3648" min="3648" style="1" width="1.57"/>
    <col collapsed="false" customWidth="false" hidden="false" outlineLevel="0" max="3649" min="3649" style="1" width="0.71"/>
    <col collapsed="false" customWidth="true" hidden="false" outlineLevel="0" max="3650" min="3650" style="1" width="7"/>
    <col collapsed="false" customWidth="false" hidden="false" outlineLevel="0" max="3651" min="3651" style="1" width="0.71"/>
    <col collapsed="false" customWidth="true" hidden="false" outlineLevel="0" max="3652" min="3652" style="1" width="4"/>
    <col collapsed="false" customWidth="false" hidden="false" outlineLevel="0" max="3653" min="3653" style="1" width="0.71"/>
    <col collapsed="false" customWidth="true" hidden="false" outlineLevel="0" max="3654" min="3654" style="1" width="1.57"/>
    <col collapsed="false" customWidth="false" hidden="false" outlineLevel="0" max="3655" min="3655" style="1" width="0.71"/>
    <col collapsed="false" customWidth="true" hidden="false" outlineLevel="0" max="3656" min="3656" style="1" width="7"/>
    <col collapsed="false" customWidth="false" hidden="false" outlineLevel="0" max="3659" min="3657" style="1" width="0.71"/>
    <col collapsed="false" customWidth="true" hidden="false" outlineLevel="0" max="3660" min="3660" style="1" width="2.42"/>
    <col collapsed="false" customWidth="false" hidden="false" outlineLevel="0" max="3666" min="3661" style="1" width="0.71"/>
    <col collapsed="false" customWidth="true" hidden="false" outlineLevel="0" max="3667" min="3667" style="1" width="16.57"/>
    <col collapsed="false" customWidth="false" hidden="false" outlineLevel="0" max="3670" min="3668" style="1" width="0.71"/>
    <col collapsed="false" customWidth="true" hidden="false" outlineLevel="0" max="3671" min="3671" style="1" width="9.86"/>
    <col collapsed="false" customWidth="true" hidden="false" outlineLevel="0" max="3674" min="3672" style="1" width="9.29"/>
    <col collapsed="false" customWidth="false" hidden="false" outlineLevel="0" max="3887" min="3675" style="1" width="0.71"/>
    <col collapsed="false" customWidth="true" hidden="false" outlineLevel="0" max="3888" min="3888" style="1" width="3.42"/>
    <col collapsed="false" customWidth="true" hidden="false" outlineLevel="0" max="3889" min="3889" style="1" width="2.42"/>
    <col collapsed="false" customWidth="true" hidden="false" outlineLevel="0" max="3890" min="3890" style="1" width="7"/>
    <col collapsed="false" customWidth="false" hidden="false" outlineLevel="0" max="3891" min="3891" style="1" width="0.71"/>
    <col collapsed="false" customWidth="true" hidden="false" outlineLevel="0" max="3892" min="3892" style="1" width="1.57"/>
    <col collapsed="false" customWidth="false" hidden="false" outlineLevel="0" max="3893" min="3893" style="1" width="0.71"/>
    <col collapsed="false" customWidth="true" hidden="false" outlineLevel="0" max="3894" min="3894" style="1" width="11.29"/>
    <col collapsed="false" customWidth="false" hidden="false" outlineLevel="0" max="3895" min="3895" style="1" width="0.71"/>
    <col collapsed="false" customWidth="true" hidden="false" outlineLevel="0" max="3896" min="3896" style="1" width="1.57"/>
    <col collapsed="false" customWidth="false" hidden="false" outlineLevel="0" max="3901" min="3897" style="1" width="0.71"/>
    <col collapsed="false" customWidth="true" hidden="false" outlineLevel="0" max="3902" min="3902" style="1" width="2.15"/>
    <col collapsed="false" customWidth="false" hidden="false" outlineLevel="0" max="3903" min="3903" style="1" width="0.71"/>
    <col collapsed="false" customWidth="true" hidden="false" outlineLevel="0" max="3904" min="3904" style="1" width="1.57"/>
    <col collapsed="false" customWidth="false" hidden="false" outlineLevel="0" max="3905" min="3905" style="1" width="0.71"/>
    <col collapsed="false" customWidth="true" hidden="false" outlineLevel="0" max="3906" min="3906" style="1" width="7"/>
    <col collapsed="false" customWidth="false" hidden="false" outlineLevel="0" max="3907" min="3907" style="1" width="0.71"/>
    <col collapsed="false" customWidth="true" hidden="false" outlineLevel="0" max="3908" min="3908" style="1" width="4"/>
    <col collapsed="false" customWidth="false" hidden="false" outlineLevel="0" max="3909" min="3909" style="1" width="0.71"/>
    <col collapsed="false" customWidth="true" hidden="false" outlineLevel="0" max="3910" min="3910" style="1" width="1.57"/>
    <col collapsed="false" customWidth="false" hidden="false" outlineLevel="0" max="3911" min="3911" style="1" width="0.71"/>
    <col collapsed="false" customWidth="true" hidden="false" outlineLevel="0" max="3912" min="3912" style="1" width="7"/>
    <col collapsed="false" customWidth="false" hidden="false" outlineLevel="0" max="3915" min="3913" style="1" width="0.71"/>
    <col collapsed="false" customWidth="true" hidden="false" outlineLevel="0" max="3916" min="3916" style="1" width="2.42"/>
    <col collapsed="false" customWidth="false" hidden="false" outlineLevel="0" max="3922" min="3917" style="1" width="0.71"/>
    <col collapsed="false" customWidth="true" hidden="false" outlineLevel="0" max="3923" min="3923" style="1" width="16.57"/>
    <col collapsed="false" customWidth="false" hidden="false" outlineLevel="0" max="3926" min="3924" style="1" width="0.71"/>
    <col collapsed="false" customWidth="true" hidden="false" outlineLevel="0" max="3927" min="3927" style="1" width="9.86"/>
    <col collapsed="false" customWidth="true" hidden="false" outlineLevel="0" max="3930" min="3928" style="1" width="9.29"/>
    <col collapsed="false" customWidth="false" hidden="false" outlineLevel="0" max="4143" min="3931" style="1" width="0.71"/>
    <col collapsed="false" customWidth="true" hidden="false" outlineLevel="0" max="4144" min="4144" style="1" width="3.42"/>
    <col collapsed="false" customWidth="true" hidden="false" outlineLevel="0" max="4145" min="4145" style="1" width="2.42"/>
    <col collapsed="false" customWidth="true" hidden="false" outlineLevel="0" max="4146" min="4146" style="1" width="7"/>
    <col collapsed="false" customWidth="false" hidden="false" outlineLevel="0" max="4147" min="4147" style="1" width="0.71"/>
    <col collapsed="false" customWidth="true" hidden="false" outlineLevel="0" max="4148" min="4148" style="1" width="1.57"/>
    <col collapsed="false" customWidth="false" hidden="false" outlineLevel="0" max="4149" min="4149" style="1" width="0.71"/>
    <col collapsed="false" customWidth="true" hidden="false" outlineLevel="0" max="4150" min="4150" style="1" width="11.29"/>
    <col collapsed="false" customWidth="false" hidden="false" outlineLevel="0" max="4151" min="4151" style="1" width="0.71"/>
    <col collapsed="false" customWidth="true" hidden="false" outlineLevel="0" max="4152" min="4152" style="1" width="1.57"/>
    <col collapsed="false" customWidth="false" hidden="false" outlineLevel="0" max="4157" min="4153" style="1" width="0.71"/>
    <col collapsed="false" customWidth="true" hidden="false" outlineLevel="0" max="4158" min="4158" style="1" width="2.15"/>
    <col collapsed="false" customWidth="false" hidden="false" outlineLevel="0" max="4159" min="4159" style="1" width="0.71"/>
    <col collapsed="false" customWidth="true" hidden="false" outlineLevel="0" max="4160" min="4160" style="1" width="1.57"/>
    <col collapsed="false" customWidth="false" hidden="false" outlineLevel="0" max="4161" min="4161" style="1" width="0.71"/>
    <col collapsed="false" customWidth="true" hidden="false" outlineLevel="0" max="4162" min="4162" style="1" width="7"/>
    <col collapsed="false" customWidth="false" hidden="false" outlineLevel="0" max="4163" min="4163" style="1" width="0.71"/>
    <col collapsed="false" customWidth="true" hidden="false" outlineLevel="0" max="4164" min="4164" style="1" width="4"/>
    <col collapsed="false" customWidth="false" hidden="false" outlineLevel="0" max="4165" min="4165" style="1" width="0.71"/>
    <col collapsed="false" customWidth="true" hidden="false" outlineLevel="0" max="4166" min="4166" style="1" width="1.57"/>
    <col collapsed="false" customWidth="false" hidden="false" outlineLevel="0" max="4167" min="4167" style="1" width="0.71"/>
    <col collapsed="false" customWidth="true" hidden="false" outlineLevel="0" max="4168" min="4168" style="1" width="7"/>
    <col collapsed="false" customWidth="false" hidden="false" outlineLevel="0" max="4171" min="4169" style="1" width="0.71"/>
    <col collapsed="false" customWidth="true" hidden="false" outlineLevel="0" max="4172" min="4172" style="1" width="2.42"/>
    <col collapsed="false" customWidth="false" hidden="false" outlineLevel="0" max="4178" min="4173" style="1" width="0.71"/>
    <col collapsed="false" customWidth="true" hidden="false" outlineLevel="0" max="4179" min="4179" style="1" width="16.57"/>
    <col collapsed="false" customWidth="false" hidden="false" outlineLevel="0" max="4182" min="4180" style="1" width="0.71"/>
    <col collapsed="false" customWidth="true" hidden="false" outlineLevel="0" max="4183" min="4183" style="1" width="9.86"/>
    <col collapsed="false" customWidth="true" hidden="false" outlineLevel="0" max="4186" min="4184" style="1" width="9.29"/>
    <col collapsed="false" customWidth="false" hidden="false" outlineLevel="0" max="4399" min="4187" style="1" width="0.71"/>
    <col collapsed="false" customWidth="true" hidden="false" outlineLevel="0" max="4400" min="4400" style="1" width="3.42"/>
    <col collapsed="false" customWidth="true" hidden="false" outlineLevel="0" max="4401" min="4401" style="1" width="2.42"/>
    <col collapsed="false" customWidth="true" hidden="false" outlineLevel="0" max="4402" min="4402" style="1" width="7"/>
    <col collapsed="false" customWidth="false" hidden="false" outlineLevel="0" max="4403" min="4403" style="1" width="0.71"/>
    <col collapsed="false" customWidth="true" hidden="false" outlineLevel="0" max="4404" min="4404" style="1" width="1.57"/>
    <col collapsed="false" customWidth="false" hidden="false" outlineLevel="0" max="4405" min="4405" style="1" width="0.71"/>
    <col collapsed="false" customWidth="true" hidden="false" outlineLevel="0" max="4406" min="4406" style="1" width="11.29"/>
    <col collapsed="false" customWidth="false" hidden="false" outlineLevel="0" max="4407" min="4407" style="1" width="0.71"/>
    <col collapsed="false" customWidth="true" hidden="false" outlineLevel="0" max="4408" min="4408" style="1" width="1.57"/>
    <col collapsed="false" customWidth="false" hidden="false" outlineLevel="0" max="4413" min="4409" style="1" width="0.71"/>
    <col collapsed="false" customWidth="true" hidden="false" outlineLevel="0" max="4414" min="4414" style="1" width="2.15"/>
    <col collapsed="false" customWidth="false" hidden="false" outlineLevel="0" max="4415" min="4415" style="1" width="0.71"/>
    <col collapsed="false" customWidth="true" hidden="false" outlineLevel="0" max="4416" min="4416" style="1" width="1.57"/>
    <col collapsed="false" customWidth="false" hidden="false" outlineLevel="0" max="4417" min="4417" style="1" width="0.71"/>
    <col collapsed="false" customWidth="true" hidden="false" outlineLevel="0" max="4418" min="4418" style="1" width="7"/>
    <col collapsed="false" customWidth="false" hidden="false" outlineLevel="0" max="4419" min="4419" style="1" width="0.71"/>
    <col collapsed="false" customWidth="true" hidden="false" outlineLevel="0" max="4420" min="4420" style="1" width="4"/>
    <col collapsed="false" customWidth="false" hidden="false" outlineLevel="0" max="4421" min="4421" style="1" width="0.71"/>
    <col collapsed="false" customWidth="true" hidden="false" outlineLevel="0" max="4422" min="4422" style="1" width="1.57"/>
    <col collapsed="false" customWidth="false" hidden="false" outlineLevel="0" max="4423" min="4423" style="1" width="0.71"/>
    <col collapsed="false" customWidth="true" hidden="false" outlineLevel="0" max="4424" min="4424" style="1" width="7"/>
    <col collapsed="false" customWidth="false" hidden="false" outlineLevel="0" max="4427" min="4425" style="1" width="0.71"/>
    <col collapsed="false" customWidth="true" hidden="false" outlineLevel="0" max="4428" min="4428" style="1" width="2.42"/>
    <col collapsed="false" customWidth="false" hidden="false" outlineLevel="0" max="4434" min="4429" style="1" width="0.71"/>
    <col collapsed="false" customWidth="true" hidden="false" outlineLevel="0" max="4435" min="4435" style="1" width="16.57"/>
    <col collapsed="false" customWidth="false" hidden="false" outlineLevel="0" max="4438" min="4436" style="1" width="0.71"/>
    <col collapsed="false" customWidth="true" hidden="false" outlineLevel="0" max="4439" min="4439" style="1" width="9.86"/>
    <col collapsed="false" customWidth="true" hidden="false" outlineLevel="0" max="4442" min="4440" style="1" width="9.29"/>
    <col collapsed="false" customWidth="false" hidden="false" outlineLevel="0" max="4655" min="4443" style="1" width="0.71"/>
    <col collapsed="false" customWidth="true" hidden="false" outlineLevel="0" max="4656" min="4656" style="1" width="3.42"/>
    <col collapsed="false" customWidth="true" hidden="false" outlineLevel="0" max="4657" min="4657" style="1" width="2.42"/>
    <col collapsed="false" customWidth="true" hidden="false" outlineLevel="0" max="4658" min="4658" style="1" width="7"/>
    <col collapsed="false" customWidth="false" hidden="false" outlineLevel="0" max="4659" min="4659" style="1" width="0.71"/>
    <col collapsed="false" customWidth="true" hidden="false" outlineLevel="0" max="4660" min="4660" style="1" width="1.57"/>
    <col collapsed="false" customWidth="false" hidden="false" outlineLevel="0" max="4661" min="4661" style="1" width="0.71"/>
    <col collapsed="false" customWidth="true" hidden="false" outlineLevel="0" max="4662" min="4662" style="1" width="11.29"/>
    <col collapsed="false" customWidth="false" hidden="false" outlineLevel="0" max="4663" min="4663" style="1" width="0.71"/>
    <col collapsed="false" customWidth="true" hidden="false" outlineLevel="0" max="4664" min="4664" style="1" width="1.57"/>
    <col collapsed="false" customWidth="false" hidden="false" outlineLevel="0" max="4669" min="4665" style="1" width="0.71"/>
    <col collapsed="false" customWidth="true" hidden="false" outlineLevel="0" max="4670" min="4670" style="1" width="2.15"/>
    <col collapsed="false" customWidth="false" hidden="false" outlineLevel="0" max="4671" min="4671" style="1" width="0.71"/>
    <col collapsed="false" customWidth="true" hidden="false" outlineLevel="0" max="4672" min="4672" style="1" width="1.57"/>
    <col collapsed="false" customWidth="false" hidden="false" outlineLevel="0" max="4673" min="4673" style="1" width="0.71"/>
    <col collapsed="false" customWidth="true" hidden="false" outlineLevel="0" max="4674" min="4674" style="1" width="7"/>
    <col collapsed="false" customWidth="false" hidden="false" outlineLevel="0" max="4675" min="4675" style="1" width="0.71"/>
    <col collapsed="false" customWidth="true" hidden="false" outlineLevel="0" max="4676" min="4676" style="1" width="4"/>
    <col collapsed="false" customWidth="false" hidden="false" outlineLevel="0" max="4677" min="4677" style="1" width="0.71"/>
    <col collapsed="false" customWidth="true" hidden="false" outlineLevel="0" max="4678" min="4678" style="1" width="1.57"/>
    <col collapsed="false" customWidth="false" hidden="false" outlineLevel="0" max="4679" min="4679" style="1" width="0.71"/>
    <col collapsed="false" customWidth="true" hidden="false" outlineLevel="0" max="4680" min="4680" style="1" width="7"/>
    <col collapsed="false" customWidth="false" hidden="false" outlineLevel="0" max="4683" min="4681" style="1" width="0.71"/>
    <col collapsed="false" customWidth="true" hidden="false" outlineLevel="0" max="4684" min="4684" style="1" width="2.42"/>
    <col collapsed="false" customWidth="false" hidden="false" outlineLevel="0" max="4690" min="4685" style="1" width="0.71"/>
    <col collapsed="false" customWidth="true" hidden="false" outlineLevel="0" max="4691" min="4691" style="1" width="16.57"/>
    <col collapsed="false" customWidth="false" hidden="false" outlineLevel="0" max="4694" min="4692" style="1" width="0.71"/>
    <col collapsed="false" customWidth="true" hidden="false" outlineLevel="0" max="4695" min="4695" style="1" width="9.86"/>
    <col collapsed="false" customWidth="true" hidden="false" outlineLevel="0" max="4698" min="4696" style="1" width="9.29"/>
    <col collapsed="false" customWidth="false" hidden="false" outlineLevel="0" max="4911" min="4699" style="1" width="0.71"/>
    <col collapsed="false" customWidth="true" hidden="false" outlineLevel="0" max="4912" min="4912" style="1" width="3.42"/>
    <col collapsed="false" customWidth="true" hidden="false" outlineLevel="0" max="4913" min="4913" style="1" width="2.42"/>
    <col collapsed="false" customWidth="true" hidden="false" outlineLevel="0" max="4914" min="4914" style="1" width="7"/>
    <col collapsed="false" customWidth="false" hidden="false" outlineLevel="0" max="4915" min="4915" style="1" width="0.71"/>
    <col collapsed="false" customWidth="true" hidden="false" outlineLevel="0" max="4916" min="4916" style="1" width="1.57"/>
    <col collapsed="false" customWidth="false" hidden="false" outlineLevel="0" max="4917" min="4917" style="1" width="0.71"/>
    <col collapsed="false" customWidth="true" hidden="false" outlineLevel="0" max="4918" min="4918" style="1" width="11.29"/>
    <col collapsed="false" customWidth="false" hidden="false" outlineLevel="0" max="4919" min="4919" style="1" width="0.71"/>
    <col collapsed="false" customWidth="true" hidden="false" outlineLevel="0" max="4920" min="4920" style="1" width="1.57"/>
    <col collapsed="false" customWidth="false" hidden="false" outlineLevel="0" max="4925" min="4921" style="1" width="0.71"/>
    <col collapsed="false" customWidth="true" hidden="false" outlineLevel="0" max="4926" min="4926" style="1" width="2.15"/>
    <col collapsed="false" customWidth="false" hidden="false" outlineLevel="0" max="4927" min="4927" style="1" width="0.71"/>
    <col collapsed="false" customWidth="true" hidden="false" outlineLevel="0" max="4928" min="4928" style="1" width="1.57"/>
    <col collapsed="false" customWidth="false" hidden="false" outlineLevel="0" max="4929" min="4929" style="1" width="0.71"/>
    <col collapsed="false" customWidth="true" hidden="false" outlineLevel="0" max="4930" min="4930" style="1" width="7"/>
    <col collapsed="false" customWidth="false" hidden="false" outlineLevel="0" max="4931" min="4931" style="1" width="0.71"/>
    <col collapsed="false" customWidth="true" hidden="false" outlineLevel="0" max="4932" min="4932" style="1" width="4"/>
    <col collapsed="false" customWidth="false" hidden="false" outlineLevel="0" max="4933" min="4933" style="1" width="0.71"/>
    <col collapsed="false" customWidth="true" hidden="false" outlineLevel="0" max="4934" min="4934" style="1" width="1.57"/>
    <col collapsed="false" customWidth="false" hidden="false" outlineLevel="0" max="4935" min="4935" style="1" width="0.71"/>
    <col collapsed="false" customWidth="true" hidden="false" outlineLevel="0" max="4936" min="4936" style="1" width="7"/>
    <col collapsed="false" customWidth="false" hidden="false" outlineLevel="0" max="4939" min="4937" style="1" width="0.71"/>
    <col collapsed="false" customWidth="true" hidden="false" outlineLevel="0" max="4940" min="4940" style="1" width="2.42"/>
    <col collapsed="false" customWidth="false" hidden="false" outlineLevel="0" max="4946" min="4941" style="1" width="0.71"/>
    <col collapsed="false" customWidth="true" hidden="false" outlineLevel="0" max="4947" min="4947" style="1" width="16.57"/>
    <col collapsed="false" customWidth="false" hidden="false" outlineLevel="0" max="4950" min="4948" style="1" width="0.71"/>
    <col collapsed="false" customWidth="true" hidden="false" outlineLevel="0" max="4951" min="4951" style="1" width="9.86"/>
    <col collapsed="false" customWidth="true" hidden="false" outlineLevel="0" max="4954" min="4952" style="1" width="9.29"/>
    <col collapsed="false" customWidth="false" hidden="false" outlineLevel="0" max="5167" min="4955" style="1" width="0.71"/>
    <col collapsed="false" customWidth="true" hidden="false" outlineLevel="0" max="5168" min="5168" style="1" width="3.42"/>
    <col collapsed="false" customWidth="true" hidden="false" outlineLevel="0" max="5169" min="5169" style="1" width="2.42"/>
    <col collapsed="false" customWidth="true" hidden="false" outlineLevel="0" max="5170" min="5170" style="1" width="7"/>
    <col collapsed="false" customWidth="false" hidden="false" outlineLevel="0" max="5171" min="5171" style="1" width="0.71"/>
    <col collapsed="false" customWidth="true" hidden="false" outlineLevel="0" max="5172" min="5172" style="1" width="1.57"/>
    <col collapsed="false" customWidth="false" hidden="false" outlineLevel="0" max="5173" min="5173" style="1" width="0.71"/>
    <col collapsed="false" customWidth="true" hidden="false" outlineLevel="0" max="5174" min="5174" style="1" width="11.29"/>
    <col collapsed="false" customWidth="false" hidden="false" outlineLevel="0" max="5175" min="5175" style="1" width="0.71"/>
    <col collapsed="false" customWidth="true" hidden="false" outlineLevel="0" max="5176" min="5176" style="1" width="1.57"/>
    <col collapsed="false" customWidth="false" hidden="false" outlineLevel="0" max="5181" min="5177" style="1" width="0.71"/>
    <col collapsed="false" customWidth="true" hidden="false" outlineLevel="0" max="5182" min="5182" style="1" width="2.15"/>
    <col collapsed="false" customWidth="false" hidden="false" outlineLevel="0" max="5183" min="5183" style="1" width="0.71"/>
    <col collapsed="false" customWidth="true" hidden="false" outlineLevel="0" max="5184" min="5184" style="1" width="1.57"/>
    <col collapsed="false" customWidth="false" hidden="false" outlineLevel="0" max="5185" min="5185" style="1" width="0.71"/>
    <col collapsed="false" customWidth="true" hidden="false" outlineLevel="0" max="5186" min="5186" style="1" width="7"/>
    <col collapsed="false" customWidth="false" hidden="false" outlineLevel="0" max="5187" min="5187" style="1" width="0.71"/>
    <col collapsed="false" customWidth="true" hidden="false" outlineLevel="0" max="5188" min="5188" style="1" width="4"/>
    <col collapsed="false" customWidth="false" hidden="false" outlineLevel="0" max="5189" min="5189" style="1" width="0.71"/>
    <col collapsed="false" customWidth="true" hidden="false" outlineLevel="0" max="5190" min="5190" style="1" width="1.57"/>
    <col collapsed="false" customWidth="false" hidden="false" outlineLevel="0" max="5191" min="5191" style="1" width="0.71"/>
    <col collapsed="false" customWidth="true" hidden="false" outlineLevel="0" max="5192" min="5192" style="1" width="7"/>
    <col collapsed="false" customWidth="false" hidden="false" outlineLevel="0" max="5195" min="5193" style="1" width="0.71"/>
    <col collapsed="false" customWidth="true" hidden="false" outlineLevel="0" max="5196" min="5196" style="1" width="2.42"/>
    <col collapsed="false" customWidth="false" hidden="false" outlineLevel="0" max="5202" min="5197" style="1" width="0.71"/>
    <col collapsed="false" customWidth="true" hidden="false" outlineLevel="0" max="5203" min="5203" style="1" width="16.57"/>
    <col collapsed="false" customWidth="false" hidden="false" outlineLevel="0" max="5206" min="5204" style="1" width="0.71"/>
    <col collapsed="false" customWidth="true" hidden="false" outlineLevel="0" max="5207" min="5207" style="1" width="9.86"/>
    <col collapsed="false" customWidth="true" hidden="false" outlineLevel="0" max="5210" min="5208" style="1" width="9.29"/>
    <col collapsed="false" customWidth="false" hidden="false" outlineLevel="0" max="5423" min="5211" style="1" width="0.71"/>
    <col collapsed="false" customWidth="true" hidden="false" outlineLevel="0" max="5424" min="5424" style="1" width="3.42"/>
    <col collapsed="false" customWidth="true" hidden="false" outlineLevel="0" max="5425" min="5425" style="1" width="2.42"/>
    <col collapsed="false" customWidth="true" hidden="false" outlineLevel="0" max="5426" min="5426" style="1" width="7"/>
    <col collapsed="false" customWidth="false" hidden="false" outlineLevel="0" max="5427" min="5427" style="1" width="0.71"/>
    <col collapsed="false" customWidth="true" hidden="false" outlineLevel="0" max="5428" min="5428" style="1" width="1.57"/>
    <col collapsed="false" customWidth="false" hidden="false" outlineLevel="0" max="5429" min="5429" style="1" width="0.71"/>
    <col collapsed="false" customWidth="true" hidden="false" outlineLevel="0" max="5430" min="5430" style="1" width="11.29"/>
    <col collapsed="false" customWidth="false" hidden="false" outlineLevel="0" max="5431" min="5431" style="1" width="0.71"/>
    <col collapsed="false" customWidth="true" hidden="false" outlineLevel="0" max="5432" min="5432" style="1" width="1.57"/>
    <col collapsed="false" customWidth="false" hidden="false" outlineLevel="0" max="5437" min="5433" style="1" width="0.71"/>
    <col collapsed="false" customWidth="true" hidden="false" outlineLevel="0" max="5438" min="5438" style="1" width="2.15"/>
    <col collapsed="false" customWidth="false" hidden="false" outlineLevel="0" max="5439" min="5439" style="1" width="0.71"/>
    <col collapsed="false" customWidth="true" hidden="false" outlineLevel="0" max="5440" min="5440" style="1" width="1.57"/>
    <col collapsed="false" customWidth="false" hidden="false" outlineLevel="0" max="5441" min="5441" style="1" width="0.71"/>
    <col collapsed="false" customWidth="true" hidden="false" outlineLevel="0" max="5442" min="5442" style="1" width="7"/>
    <col collapsed="false" customWidth="false" hidden="false" outlineLevel="0" max="5443" min="5443" style="1" width="0.71"/>
    <col collapsed="false" customWidth="true" hidden="false" outlineLevel="0" max="5444" min="5444" style="1" width="4"/>
    <col collapsed="false" customWidth="false" hidden="false" outlineLevel="0" max="5445" min="5445" style="1" width="0.71"/>
    <col collapsed="false" customWidth="true" hidden="false" outlineLevel="0" max="5446" min="5446" style="1" width="1.57"/>
    <col collapsed="false" customWidth="false" hidden="false" outlineLevel="0" max="5447" min="5447" style="1" width="0.71"/>
    <col collapsed="false" customWidth="true" hidden="false" outlineLevel="0" max="5448" min="5448" style="1" width="7"/>
    <col collapsed="false" customWidth="false" hidden="false" outlineLevel="0" max="5451" min="5449" style="1" width="0.71"/>
    <col collapsed="false" customWidth="true" hidden="false" outlineLevel="0" max="5452" min="5452" style="1" width="2.42"/>
    <col collapsed="false" customWidth="false" hidden="false" outlineLevel="0" max="5458" min="5453" style="1" width="0.71"/>
    <col collapsed="false" customWidth="true" hidden="false" outlineLevel="0" max="5459" min="5459" style="1" width="16.57"/>
    <col collapsed="false" customWidth="false" hidden="false" outlineLevel="0" max="5462" min="5460" style="1" width="0.71"/>
    <col collapsed="false" customWidth="true" hidden="false" outlineLevel="0" max="5463" min="5463" style="1" width="9.86"/>
    <col collapsed="false" customWidth="true" hidden="false" outlineLevel="0" max="5466" min="5464" style="1" width="9.29"/>
    <col collapsed="false" customWidth="false" hidden="false" outlineLevel="0" max="5679" min="5467" style="1" width="0.71"/>
    <col collapsed="false" customWidth="true" hidden="false" outlineLevel="0" max="5680" min="5680" style="1" width="3.42"/>
    <col collapsed="false" customWidth="true" hidden="false" outlineLevel="0" max="5681" min="5681" style="1" width="2.42"/>
    <col collapsed="false" customWidth="true" hidden="false" outlineLevel="0" max="5682" min="5682" style="1" width="7"/>
    <col collapsed="false" customWidth="false" hidden="false" outlineLevel="0" max="5683" min="5683" style="1" width="0.71"/>
    <col collapsed="false" customWidth="true" hidden="false" outlineLevel="0" max="5684" min="5684" style="1" width="1.57"/>
    <col collapsed="false" customWidth="false" hidden="false" outlineLevel="0" max="5685" min="5685" style="1" width="0.71"/>
    <col collapsed="false" customWidth="true" hidden="false" outlineLevel="0" max="5686" min="5686" style="1" width="11.29"/>
    <col collapsed="false" customWidth="false" hidden="false" outlineLevel="0" max="5687" min="5687" style="1" width="0.71"/>
    <col collapsed="false" customWidth="true" hidden="false" outlineLevel="0" max="5688" min="5688" style="1" width="1.57"/>
    <col collapsed="false" customWidth="false" hidden="false" outlineLevel="0" max="5693" min="5689" style="1" width="0.71"/>
    <col collapsed="false" customWidth="true" hidden="false" outlineLevel="0" max="5694" min="5694" style="1" width="2.15"/>
    <col collapsed="false" customWidth="false" hidden="false" outlineLevel="0" max="5695" min="5695" style="1" width="0.71"/>
    <col collapsed="false" customWidth="true" hidden="false" outlineLevel="0" max="5696" min="5696" style="1" width="1.57"/>
    <col collapsed="false" customWidth="false" hidden="false" outlineLevel="0" max="5697" min="5697" style="1" width="0.71"/>
    <col collapsed="false" customWidth="true" hidden="false" outlineLevel="0" max="5698" min="5698" style="1" width="7"/>
    <col collapsed="false" customWidth="false" hidden="false" outlineLevel="0" max="5699" min="5699" style="1" width="0.71"/>
    <col collapsed="false" customWidth="true" hidden="false" outlineLevel="0" max="5700" min="5700" style="1" width="4"/>
    <col collapsed="false" customWidth="false" hidden="false" outlineLevel="0" max="5701" min="5701" style="1" width="0.71"/>
    <col collapsed="false" customWidth="true" hidden="false" outlineLevel="0" max="5702" min="5702" style="1" width="1.57"/>
    <col collapsed="false" customWidth="false" hidden="false" outlineLevel="0" max="5703" min="5703" style="1" width="0.71"/>
    <col collapsed="false" customWidth="true" hidden="false" outlineLevel="0" max="5704" min="5704" style="1" width="7"/>
    <col collapsed="false" customWidth="false" hidden="false" outlineLevel="0" max="5707" min="5705" style="1" width="0.71"/>
    <col collapsed="false" customWidth="true" hidden="false" outlineLevel="0" max="5708" min="5708" style="1" width="2.42"/>
    <col collapsed="false" customWidth="false" hidden="false" outlineLevel="0" max="5714" min="5709" style="1" width="0.71"/>
    <col collapsed="false" customWidth="true" hidden="false" outlineLevel="0" max="5715" min="5715" style="1" width="16.57"/>
    <col collapsed="false" customWidth="false" hidden="false" outlineLevel="0" max="5718" min="5716" style="1" width="0.71"/>
    <col collapsed="false" customWidth="true" hidden="false" outlineLevel="0" max="5719" min="5719" style="1" width="9.86"/>
    <col collapsed="false" customWidth="true" hidden="false" outlineLevel="0" max="5722" min="5720" style="1" width="9.29"/>
    <col collapsed="false" customWidth="false" hidden="false" outlineLevel="0" max="5935" min="5723" style="1" width="0.71"/>
    <col collapsed="false" customWidth="true" hidden="false" outlineLevel="0" max="5936" min="5936" style="1" width="3.42"/>
    <col collapsed="false" customWidth="true" hidden="false" outlineLevel="0" max="5937" min="5937" style="1" width="2.42"/>
    <col collapsed="false" customWidth="true" hidden="false" outlineLevel="0" max="5938" min="5938" style="1" width="7"/>
    <col collapsed="false" customWidth="false" hidden="false" outlineLevel="0" max="5939" min="5939" style="1" width="0.71"/>
    <col collapsed="false" customWidth="true" hidden="false" outlineLevel="0" max="5940" min="5940" style="1" width="1.57"/>
    <col collapsed="false" customWidth="false" hidden="false" outlineLevel="0" max="5941" min="5941" style="1" width="0.71"/>
    <col collapsed="false" customWidth="true" hidden="false" outlineLevel="0" max="5942" min="5942" style="1" width="11.29"/>
    <col collapsed="false" customWidth="false" hidden="false" outlineLevel="0" max="5943" min="5943" style="1" width="0.71"/>
    <col collapsed="false" customWidth="true" hidden="false" outlineLevel="0" max="5944" min="5944" style="1" width="1.57"/>
    <col collapsed="false" customWidth="false" hidden="false" outlineLevel="0" max="5949" min="5945" style="1" width="0.71"/>
    <col collapsed="false" customWidth="true" hidden="false" outlineLevel="0" max="5950" min="5950" style="1" width="2.15"/>
    <col collapsed="false" customWidth="false" hidden="false" outlineLevel="0" max="5951" min="5951" style="1" width="0.71"/>
    <col collapsed="false" customWidth="true" hidden="false" outlineLevel="0" max="5952" min="5952" style="1" width="1.57"/>
    <col collapsed="false" customWidth="false" hidden="false" outlineLevel="0" max="5953" min="5953" style="1" width="0.71"/>
    <col collapsed="false" customWidth="true" hidden="false" outlineLevel="0" max="5954" min="5954" style="1" width="7"/>
    <col collapsed="false" customWidth="false" hidden="false" outlineLevel="0" max="5955" min="5955" style="1" width="0.71"/>
    <col collapsed="false" customWidth="true" hidden="false" outlineLevel="0" max="5956" min="5956" style="1" width="4"/>
    <col collapsed="false" customWidth="false" hidden="false" outlineLevel="0" max="5957" min="5957" style="1" width="0.71"/>
    <col collapsed="false" customWidth="true" hidden="false" outlineLevel="0" max="5958" min="5958" style="1" width="1.57"/>
    <col collapsed="false" customWidth="false" hidden="false" outlineLevel="0" max="5959" min="5959" style="1" width="0.71"/>
    <col collapsed="false" customWidth="true" hidden="false" outlineLevel="0" max="5960" min="5960" style="1" width="7"/>
    <col collapsed="false" customWidth="false" hidden="false" outlineLevel="0" max="5963" min="5961" style="1" width="0.71"/>
    <col collapsed="false" customWidth="true" hidden="false" outlineLevel="0" max="5964" min="5964" style="1" width="2.42"/>
    <col collapsed="false" customWidth="false" hidden="false" outlineLevel="0" max="5970" min="5965" style="1" width="0.71"/>
    <col collapsed="false" customWidth="true" hidden="false" outlineLevel="0" max="5971" min="5971" style="1" width="16.57"/>
    <col collapsed="false" customWidth="false" hidden="false" outlineLevel="0" max="5974" min="5972" style="1" width="0.71"/>
    <col collapsed="false" customWidth="true" hidden="false" outlineLevel="0" max="5975" min="5975" style="1" width="9.86"/>
    <col collapsed="false" customWidth="true" hidden="false" outlineLevel="0" max="5978" min="5976" style="1" width="9.29"/>
    <col collapsed="false" customWidth="false" hidden="false" outlineLevel="0" max="6191" min="5979" style="1" width="0.71"/>
    <col collapsed="false" customWidth="true" hidden="false" outlineLevel="0" max="6192" min="6192" style="1" width="3.42"/>
    <col collapsed="false" customWidth="true" hidden="false" outlineLevel="0" max="6193" min="6193" style="1" width="2.42"/>
    <col collapsed="false" customWidth="true" hidden="false" outlineLevel="0" max="6194" min="6194" style="1" width="7"/>
    <col collapsed="false" customWidth="false" hidden="false" outlineLevel="0" max="6195" min="6195" style="1" width="0.71"/>
    <col collapsed="false" customWidth="true" hidden="false" outlineLevel="0" max="6196" min="6196" style="1" width="1.57"/>
    <col collapsed="false" customWidth="false" hidden="false" outlineLevel="0" max="6197" min="6197" style="1" width="0.71"/>
    <col collapsed="false" customWidth="true" hidden="false" outlineLevel="0" max="6198" min="6198" style="1" width="11.29"/>
    <col collapsed="false" customWidth="false" hidden="false" outlineLevel="0" max="6199" min="6199" style="1" width="0.71"/>
    <col collapsed="false" customWidth="true" hidden="false" outlineLevel="0" max="6200" min="6200" style="1" width="1.57"/>
    <col collapsed="false" customWidth="false" hidden="false" outlineLevel="0" max="6205" min="6201" style="1" width="0.71"/>
    <col collapsed="false" customWidth="true" hidden="false" outlineLevel="0" max="6206" min="6206" style="1" width="2.15"/>
    <col collapsed="false" customWidth="false" hidden="false" outlineLevel="0" max="6207" min="6207" style="1" width="0.71"/>
    <col collapsed="false" customWidth="true" hidden="false" outlineLevel="0" max="6208" min="6208" style="1" width="1.57"/>
    <col collapsed="false" customWidth="false" hidden="false" outlineLevel="0" max="6209" min="6209" style="1" width="0.71"/>
    <col collapsed="false" customWidth="true" hidden="false" outlineLevel="0" max="6210" min="6210" style="1" width="7"/>
    <col collapsed="false" customWidth="false" hidden="false" outlineLevel="0" max="6211" min="6211" style="1" width="0.71"/>
    <col collapsed="false" customWidth="true" hidden="false" outlineLevel="0" max="6212" min="6212" style="1" width="4"/>
    <col collapsed="false" customWidth="false" hidden="false" outlineLevel="0" max="6213" min="6213" style="1" width="0.71"/>
    <col collapsed="false" customWidth="true" hidden="false" outlineLevel="0" max="6214" min="6214" style="1" width="1.57"/>
    <col collapsed="false" customWidth="false" hidden="false" outlineLevel="0" max="6215" min="6215" style="1" width="0.71"/>
    <col collapsed="false" customWidth="true" hidden="false" outlineLevel="0" max="6216" min="6216" style="1" width="7"/>
    <col collapsed="false" customWidth="false" hidden="false" outlineLevel="0" max="6219" min="6217" style="1" width="0.71"/>
    <col collapsed="false" customWidth="true" hidden="false" outlineLevel="0" max="6220" min="6220" style="1" width="2.42"/>
    <col collapsed="false" customWidth="false" hidden="false" outlineLevel="0" max="6226" min="6221" style="1" width="0.71"/>
    <col collapsed="false" customWidth="true" hidden="false" outlineLevel="0" max="6227" min="6227" style="1" width="16.57"/>
    <col collapsed="false" customWidth="false" hidden="false" outlineLevel="0" max="6230" min="6228" style="1" width="0.71"/>
    <col collapsed="false" customWidth="true" hidden="false" outlineLevel="0" max="6231" min="6231" style="1" width="9.86"/>
    <col collapsed="false" customWidth="true" hidden="false" outlineLevel="0" max="6234" min="6232" style="1" width="9.29"/>
    <col collapsed="false" customWidth="false" hidden="false" outlineLevel="0" max="6447" min="6235" style="1" width="0.71"/>
    <col collapsed="false" customWidth="true" hidden="false" outlineLevel="0" max="6448" min="6448" style="1" width="3.42"/>
    <col collapsed="false" customWidth="true" hidden="false" outlineLevel="0" max="6449" min="6449" style="1" width="2.42"/>
    <col collapsed="false" customWidth="true" hidden="false" outlineLevel="0" max="6450" min="6450" style="1" width="7"/>
    <col collapsed="false" customWidth="false" hidden="false" outlineLevel="0" max="6451" min="6451" style="1" width="0.71"/>
    <col collapsed="false" customWidth="true" hidden="false" outlineLevel="0" max="6452" min="6452" style="1" width="1.57"/>
    <col collapsed="false" customWidth="false" hidden="false" outlineLevel="0" max="6453" min="6453" style="1" width="0.71"/>
    <col collapsed="false" customWidth="true" hidden="false" outlineLevel="0" max="6454" min="6454" style="1" width="11.29"/>
    <col collapsed="false" customWidth="false" hidden="false" outlineLevel="0" max="6455" min="6455" style="1" width="0.71"/>
    <col collapsed="false" customWidth="true" hidden="false" outlineLevel="0" max="6456" min="6456" style="1" width="1.57"/>
    <col collapsed="false" customWidth="false" hidden="false" outlineLevel="0" max="6461" min="6457" style="1" width="0.71"/>
    <col collapsed="false" customWidth="true" hidden="false" outlineLevel="0" max="6462" min="6462" style="1" width="2.15"/>
    <col collapsed="false" customWidth="false" hidden="false" outlineLevel="0" max="6463" min="6463" style="1" width="0.71"/>
    <col collapsed="false" customWidth="true" hidden="false" outlineLevel="0" max="6464" min="6464" style="1" width="1.57"/>
    <col collapsed="false" customWidth="false" hidden="false" outlineLevel="0" max="6465" min="6465" style="1" width="0.71"/>
    <col collapsed="false" customWidth="true" hidden="false" outlineLevel="0" max="6466" min="6466" style="1" width="7"/>
    <col collapsed="false" customWidth="false" hidden="false" outlineLevel="0" max="6467" min="6467" style="1" width="0.71"/>
    <col collapsed="false" customWidth="true" hidden="false" outlineLevel="0" max="6468" min="6468" style="1" width="4"/>
    <col collapsed="false" customWidth="false" hidden="false" outlineLevel="0" max="6469" min="6469" style="1" width="0.71"/>
    <col collapsed="false" customWidth="true" hidden="false" outlineLevel="0" max="6470" min="6470" style="1" width="1.57"/>
    <col collapsed="false" customWidth="false" hidden="false" outlineLevel="0" max="6471" min="6471" style="1" width="0.71"/>
    <col collapsed="false" customWidth="true" hidden="false" outlineLevel="0" max="6472" min="6472" style="1" width="7"/>
    <col collapsed="false" customWidth="false" hidden="false" outlineLevel="0" max="6475" min="6473" style="1" width="0.71"/>
    <col collapsed="false" customWidth="true" hidden="false" outlineLevel="0" max="6476" min="6476" style="1" width="2.42"/>
    <col collapsed="false" customWidth="false" hidden="false" outlineLevel="0" max="6482" min="6477" style="1" width="0.71"/>
    <col collapsed="false" customWidth="true" hidden="false" outlineLevel="0" max="6483" min="6483" style="1" width="16.57"/>
    <col collapsed="false" customWidth="false" hidden="false" outlineLevel="0" max="6486" min="6484" style="1" width="0.71"/>
    <col collapsed="false" customWidth="true" hidden="false" outlineLevel="0" max="6487" min="6487" style="1" width="9.86"/>
    <col collapsed="false" customWidth="true" hidden="false" outlineLevel="0" max="6490" min="6488" style="1" width="9.29"/>
    <col collapsed="false" customWidth="false" hidden="false" outlineLevel="0" max="6703" min="6491" style="1" width="0.71"/>
    <col collapsed="false" customWidth="true" hidden="false" outlineLevel="0" max="6704" min="6704" style="1" width="3.42"/>
    <col collapsed="false" customWidth="true" hidden="false" outlineLevel="0" max="6705" min="6705" style="1" width="2.42"/>
    <col collapsed="false" customWidth="true" hidden="false" outlineLevel="0" max="6706" min="6706" style="1" width="7"/>
    <col collapsed="false" customWidth="false" hidden="false" outlineLevel="0" max="6707" min="6707" style="1" width="0.71"/>
    <col collapsed="false" customWidth="true" hidden="false" outlineLevel="0" max="6708" min="6708" style="1" width="1.57"/>
    <col collapsed="false" customWidth="false" hidden="false" outlineLevel="0" max="6709" min="6709" style="1" width="0.71"/>
    <col collapsed="false" customWidth="true" hidden="false" outlineLevel="0" max="6710" min="6710" style="1" width="11.29"/>
    <col collapsed="false" customWidth="false" hidden="false" outlineLevel="0" max="6711" min="6711" style="1" width="0.71"/>
    <col collapsed="false" customWidth="true" hidden="false" outlineLevel="0" max="6712" min="6712" style="1" width="1.57"/>
    <col collapsed="false" customWidth="false" hidden="false" outlineLevel="0" max="6717" min="6713" style="1" width="0.71"/>
    <col collapsed="false" customWidth="true" hidden="false" outlineLevel="0" max="6718" min="6718" style="1" width="2.15"/>
    <col collapsed="false" customWidth="false" hidden="false" outlineLevel="0" max="6719" min="6719" style="1" width="0.71"/>
    <col collapsed="false" customWidth="true" hidden="false" outlineLevel="0" max="6720" min="6720" style="1" width="1.57"/>
    <col collapsed="false" customWidth="false" hidden="false" outlineLevel="0" max="6721" min="6721" style="1" width="0.71"/>
    <col collapsed="false" customWidth="true" hidden="false" outlineLevel="0" max="6722" min="6722" style="1" width="7"/>
    <col collapsed="false" customWidth="false" hidden="false" outlineLevel="0" max="6723" min="6723" style="1" width="0.71"/>
    <col collapsed="false" customWidth="true" hidden="false" outlineLevel="0" max="6724" min="6724" style="1" width="4"/>
    <col collapsed="false" customWidth="false" hidden="false" outlineLevel="0" max="6725" min="6725" style="1" width="0.71"/>
    <col collapsed="false" customWidth="true" hidden="false" outlineLevel="0" max="6726" min="6726" style="1" width="1.57"/>
    <col collapsed="false" customWidth="false" hidden="false" outlineLevel="0" max="6727" min="6727" style="1" width="0.71"/>
    <col collapsed="false" customWidth="true" hidden="false" outlineLevel="0" max="6728" min="6728" style="1" width="7"/>
    <col collapsed="false" customWidth="false" hidden="false" outlineLevel="0" max="6731" min="6729" style="1" width="0.71"/>
    <col collapsed="false" customWidth="true" hidden="false" outlineLevel="0" max="6732" min="6732" style="1" width="2.42"/>
    <col collapsed="false" customWidth="false" hidden="false" outlineLevel="0" max="6738" min="6733" style="1" width="0.71"/>
    <col collapsed="false" customWidth="true" hidden="false" outlineLevel="0" max="6739" min="6739" style="1" width="16.57"/>
    <col collapsed="false" customWidth="false" hidden="false" outlineLevel="0" max="6742" min="6740" style="1" width="0.71"/>
    <col collapsed="false" customWidth="true" hidden="false" outlineLevel="0" max="6743" min="6743" style="1" width="9.86"/>
    <col collapsed="false" customWidth="true" hidden="false" outlineLevel="0" max="6746" min="6744" style="1" width="9.29"/>
    <col collapsed="false" customWidth="false" hidden="false" outlineLevel="0" max="6959" min="6747" style="1" width="0.71"/>
    <col collapsed="false" customWidth="true" hidden="false" outlineLevel="0" max="6960" min="6960" style="1" width="3.42"/>
    <col collapsed="false" customWidth="true" hidden="false" outlineLevel="0" max="6961" min="6961" style="1" width="2.42"/>
    <col collapsed="false" customWidth="true" hidden="false" outlineLevel="0" max="6962" min="6962" style="1" width="7"/>
    <col collapsed="false" customWidth="false" hidden="false" outlineLevel="0" max="6963" min="6963" style="1" width="0.71"/>
    <col collapsed="false" customWidth="true" hidden="false" outlineLevel="0" max="6964" min="6964" style="1" width="1.57"/>
    <col collapsed="false" customWidth="false" hidden="false" outlineLevel="0" max="6965" min="6965" style="1" width="0.71"/>
    <col collapsed="false" customWidth="true" hidden="false" outlineLevel="0" max="6966" min="6966" style="1" width="11.29"/>
    <col collapsed="false" customWidth="false" hidden="false" outlineLevel="0" max="6967" min="6967" style="1" width="0.71"/>
    <col collapsed="false" customWidth="true" hidden="false" outlineLevel="0" max="6968" min="6968" style="1" width="1.57"/>
    <col collapsed="false" customWidth="false" hidden="false" outlineLevel="0" max="6973" min="6969" style="1" width="0.71"/>
    <col collapsed="false" customWidth="true" hidden="false" outlineLevel="0" max="6974" min="6974" style="1" width="2.15"/>
    <col collapsed="false" customWidth="false" hidden="false" outlineLevel="0" max="6975" min="6975" style="1" width="0.71"/>
    <col collapsed="false" customWidth="true" hidden="false" outlineLevel="0" max="6976" min="6976" style="1" width="1.57"/>
    <col collapsed="false" customWidth="false" hidden="false" outlineLevel="0" max="6977" min="6977" style="1" width="0.71"/>
    <col collapsed="false" customWidth="true" hidden="false" outlineLevel="0" max="6978" min="6978" style="1" width="7"/>
    <col collapsed="false" customWidth="false" hidden="false" outlineLevel="0" max="6979" min="6979" style="1" width="0.71"/>
    <col collapsed="false" customWidth="true" hidden="false" outlineLevel="0" max="6980" min="6980" style="1" width="4"/>
    <col collapsed="false" customWidth="false" hidden="false" outlineLevel="0" max="6981" min="6981" style="1" width="0.71"/>
    <col collapsed="false" customWidth="true" hidden="false" outlineLevel="0" max="6982" min="6982" style="1" width="1.57"/>
    <col collapsed="false" customWidth="false" hidden="false" outlineLevel="0" max="6983" min="6983" style="1" width="0.71"/>
    <col collapsed="false" customWidth="true" hidden="false" outlineLevel="0" max="6984" min="6984" style="1" width="7"/>
    <col collapsed="false" customWidth="false" hidden="false" outlineLevel="0" max="6987" min="6985" style="1" width="0.71"/>
    <col collapsed="false" customWidth="true" hidden="false" outlineLevel="0" max="6988" min="6988" style="1" width="2.42"/>
    <col collapsed="false" customWidth="false" hidden="false" outlineLevel="0" max="6994" min="6989" style="1" width="0.71"/>
    <col collapsed="false" customWidth="true" hidden="false" outlineLevel="0" max="6995" min="6995" style="1" width="16.57"/>
    <col collapsed="false" customWidth="false" hidden="false" outlineLevel="0" max="6998" min="6996" style="1" width="0.71"/>
    <col collapsed="false" customWidth="true" hidden="false" outlineLevel="0" max="6999" min="6999" style="1" width="9.86"/>
    <col collapsed="false" customWidth="true" hidden="false" outlineLevel="0" max="7002" min="7000" style="1" width="9.29"/>
    <col collapsed="false" customWidth="false" hidden="false" outlineLevel="0" max="7215" min="7003" style="1" width="0.71"/>
    <col collapsed="false" customWidth="true" hidden="false" outlineLevel="0" max="7216" min="7216" style="1" width="3.42"/>
    <col collapsed="false" customWidth="true" hidden="false" outlineLevel="0" max="7217" min="7217" style="1" width="2.42"/>
    <col collapsed="false" customWidth="true" hidden="false" outlineLevel="0" max="7218" min="7218" style="1" width="7"/>
    <col collapsed="false" customWidth="false" hidden="false" outlineLevel="0" max="7219" min="7219" style="1" width="0.71"/>
    <col collapsed="false" customWidth="true" hidden="false" outlineLevel="0" max="7220" min="7220" style="1" width="1.57"/>
    <col collapsed="false" customWidth="false" hidden="false" outlineLevel="0" max="7221" min="7221" style="1" width="0.71"/>
    <col collapsed="false" customWidth="true" hidden="false" outlineLevel="0" max="7222" min="7222" style="1" width="11.29"/>
    <col collapsed="false" customWidth="false" hidden="false" outlineLevel="0" max="7223" min="7223" style="1" width="0.71"/>
    <col collapsed="false" customWidth="true" hidden="false" outlineLevel="0" max="7224" min="7224" style="1" width="1.57"/>
    <col collapsed="false" customWidth="false" hidden="false" outlineLevel="0" max="7229" min="7225" style="1" width="0.71"/>
    <col collapsed="false" customWidth="true" hidden="false" outlineLevel="0" max="7230" min="7230" style="1" width="2.15"/>
    <col collapsed="false" customWidth="false" hidden="false" outlineLevel="0" max="7231" min="7231" style="1" width="0.71"/>
    <col collapsed="false" customWidth="true" hidden="false" outlineLevel="0" max="7232" min="7232" style="1" width="1.57"/>
    <col collapsed="false" customWidth="false" hidden="false" outlineLevel="0" max="7233" min="7233" style="1" width="0.71"/>
    <col collapsed="false" customWidth="true" hidden="false" outlineLevel="0" max="7234" min="7234" style="1" width="7"/>
    <col collapsed="false" customWidth="false" hidden="false" outlineLevel="0" max="7235" min="7235" style="1" width="0.71"/>
    <col collapsed="false" customWidth="true" hidden="false" outlineLevel="0" max="7236" min="7236" style="1" width="4"/>
    <col collapsed="false" customWidth="false" hidden="false" outlineLevel="0" max="7237" min="7237" style="1" width="0.71"/>
    <col collapsed="false" customWidth="true" hidden="false" outlineLevel="0" max="7238" min="7238" style="1" width="1.57"/>
    <col collapsed="false" customWidth="false" hidden="false" outlineLevel="0" max="7239" min="7239" style="1" width="0.71"/>
    <col collapsed="false" customWidth="true" hidden="false" outlineLevel="0" max="7240" min="7240" style="1" width="7"/>
    <col collapsed="false" customWidth="false" hidden="false" outlineLevel="0" max="7243" min="7241" style="1" width="0.71"/>
    <col collapsed="false" customWidth="true" hidden="false" outlineLevel="0" max="7244" min="7244" style="1" width="2.42"/>
    <col collapsed="false" customWidth="false" hidden="false" outlineLevel="0" max="7250" min="7245" style="1" width="0.71"/>
    <col collapsed="false" customWidth="true" hidden="false" outlineLevel="0" max="7251" min="7251" style="1" width="16.57"/>
    <col collapsed="false" customWidth="false" hidden="false" outlineLevel="0" max="7254" min="7252" style="1" width="0.71"/>
    <col collapsed="false" customWidth="true" hidden="false" outlineLevel="0" max="7255" min="7255" style="1" width="9.86"/>
    <col collapsed="false" customWidth="true" hidden="false" outlineLevel="0" max="7258" min="7256" style="1" width="9.29"/>
    <col collapsed="false" customWidth="false" hidden="false" outlineLevel="0" max="7471" min="7259" style="1" width="0.71"/>
    <col collapsed="false" customWidth="true" hidden="false" outlineLevel="0" max="7472" min="7472" style="1" width="3.42"/>
    <col collapsed="false" customWidth="true" hidden="false" outlineLevel="0" max="7473" min="7473" style="1" width="2.42"/>
    <col collapsed="false" customWidth="true" hidden="false" outlineLevel="0" max="7474" min="7474" style="1" width="7"/>
    <col collapsed="false" customWidth="false" hidden="false" outlineLevel="0" max="7475" min="7475" style="1" width="0.71"/>
    <col collapsed="false" customWidth="true" hidden="false" outlineLevel="0" max="7476" min="7476" style="1" width="1.57"/>
    <col collapsed="false" customWidth="false" hidden="false" outlineLevel="0" max="7477" min="7477" style="1" width="0.71"/>
    <col collapsed="false" customWidth="true" hidden="false" outlineLevel="0" max="7478" min="7478" style="1" width="11.29"/>
    <col collapsed="false" customWidth="false" hidden="false" outlineLevel="0" max="7479" min="7479" style="1" width="0.71"/>
    <col collapsed="false" customWidth="true" hidden="false" outlineLevel="0" max="7480" min="7480" style="1" width="1.57"/>
    <col collapsed="false" customWidth="false" hidden="false" outlineLevel="0" max="7485" min="7481" style="1" width="0.71"/>
    <col collapsed="false" customWidth="true" hidden="false" outlineLevel="0" max="7486" min="7486" style="1" width="2.15"/>
    <col collapsed="false" customWidth="false" hidden="false" outlineLevel="0" max="7487" min="7487" style="1" width="0.71"/>
    <col collapsed="false" customWidth="true" hidden="false" outlineLevel="0" max="7488" min="7488" style="1" width="1.57"/>
    <col collapsed="false" customWidth="false" hidden="false" outlineLevel="0" max="7489" min="7489" style="1" width="0.71"/>
    <col collapsed="false" customWidth="true" hidden="false" outlineLevel="0" max="7490" min="7490" style="1" width="7"/>
    <col collapsed="false" customWidth="false" hidden="false" outlineLevel="0" max="7491" min="7491" style="1" width="0.71"/>
    <col collapsed="false" customWidth="true" hidden="false" outlineLevel="0" max="7492" min="7492" style="1" width="4"/>
    <col collapsed="false" customWidth="false" hidden="false" outlineLevel="0" max="7493" min="7493" style="1" width="0.71"/>
    <col collapsed="false" customWidth="true" hidden="false" outlineLevel="0" max="7494" min="7494" style="1" width="1.57"/>
    <col collapsed="false" customWidth="false" hidden="false" outlineLevel="0" max="7495" min="7495" style="1" width="0.71"/>
    <col collapsed="false" customWidth="true" hidden="false" outlineLevel="0" max="7496" min="7496" style="1" width="7"/>
    <col collapsed="false" customWidth="false" hidden="false" outlineLevel="0" max="7499" min="7497" style="1" width="0.71"/>
    <col collapsed="false" customWidth="true" hidden="false" outlineLevel="0" max="7500" min="7500" style="1" width="2.42"/>
    <col collapsed="false" customWidth="false" hidden="false" outlineLevel="0" max="7506" min="7501" style="1" width="0.71"/>
    <col collapsed="false" customWidth="true" hidden="false" outlineLevel="0" max="7507" min="7507" style="1" width="16.57"/>
    <col collapsed="false" customWidth="false" hidden="false" outlineLevel="0" max="7510" min="7508" style="1" width="0.71"/>
    <col collapsed="false" customWidth="true" hidden="false" outlineLevel="0" max="7511" min="7511" style="1" width="9.86"/>
    <col collapsed="false" customWidth="true" hidden="false" outlineLevel="0" max="7514" min="7512" style="1" width="9.29"/>
    <col collapsed="false" customWidth="false" hidden="false" outlineLevel="0" max="7727" min="7515" style="1" width="0.71"/>
    <col collapsed="false" customWidth="true" hidden="false" outlineLevel="0" max="7728" min="7728" style="1" width="3.42"/>
    <col collapsed="false" customWidth="true" hidden="false" outlineLevel="0" max="7729" min="7729" style="1" width="2.42"/>
    <col collapsed="false" customWidth="true" hidden="false" outlineLevel="0" max="7730" min="7730" style="1" width="7"/>
    <col collapsed="false" customWidth="false" hidden="false" outlineLevel="0" max="7731" min="7731" style="1" width="0.71"/>
    <col collapsed="false" customWidth="true" hidden="false" outlineLevel="0" max="7732" min="7732" style="1" width="1.57"/>
    <col collapsed="false" customWidth="false" hidden="false" outlineLevel="0" max="7733" min="7733" style="1" width="0.71"/>
    <col collapsed="false" customWidth="true" hidden="false" outlineLevel="0" max="7734" min="7734" style="1" width="11.29"/>
    <col collapsed="false" customWidth="false" hidden="false" outlineLevel="0" max="7735" min="7735" style="1" width="0.71"/>
    <col collapsed="false" customWidth="true" hidden="false" outlineLevel="0" max="7736" min="7736" style="1" width="1.57"/>
    <col collapsed="false" customWidth="false" hidden="false" outlineLevel="0" max="7741" min="7737" style="1" width="0.71"/>
    <col collapsed="false" customWidth="true" hidden="false" outlineLevel="0" max="7742" min="7742" style="1" width="2.15"/>
    <col collapsed="false" customWidth="false" hidden="false" outlineLevel="0" max="7743" min="7743" style="1" width="0.71"/>
    <col collapsed="false" customWidth="true" hidden="false" outlineLevel="0" max="7744" min="7744" style="1" width="1.57"/>
    <col collapsed="false" customWidth="false" hidden="false" outlineLevel="0" max="7745" min="7745" style="1" width="0.71"/>
    <col collapsed="false" customWidth="true" hidden="false" outlineLevel="0" max="7746" min="7746" style="1" width="7"/>
    <col collapsed="false" customWidth="false" hidden="false" outlineLevel="0" max="7747" min="7747" style="1" width="0.71"/>
    <col collapsed="false" customWidth="true" hidden="false" outlineLevel="0" max="7748" min="7748" style="1" width="4"/>
    <col collapsed="false" customWidth="false" hidden="false" outlineLevel="0" max="7749" min="7749" style="1" width="0.71"/>
    <col collapsed="false" customWidth="true" hidden="false" outlineLevel="0" max="7750" min="7750" style="1" width="1.57"/>
    <col collapsed="false" customWidth="false" hidden="false" outlineLevel="0" max="7751" min="7751" style="1" width="0.71"/>
    <col collapsed="false" customWidth="true" hidden="false" outlineLevel="0" max="7752" min="7752" style="1" width="7"/>
    <col collapsed="false" customWidth="false" hidden="false" outlineLevel="0" max="7755" min="7753" style="1" width="0.71"/>
    <col collapsed="false" customWidth="true" hidden="false" outlineLevel="0" max="7756" min="7756" style="1" width="2.42"/>
    <col collapsed="false" customWidth="false" hidden="false" outlineLevel="0" max="7762" min="7757" style="1" width="0.71"/>
    <col collapsed="false" customWidth="true" hidden="false" outlineLevel="0" max="7763" min="7763" style="1" width="16.57"/>
    <col collapsed="false" customWidth="false" hidden="false" outlineLevel="0" max="7766" min="7764" style="1" width="0.71"/>
    <col collapsed="false" customWidth="true" hidden="false" outlineLevel="0" max="7767" min="7767" style="1" width="9.86"/>
    <col collapsed="false" customWidth="true" hidden="false" outlineLevel="0" max="7770" min="7768" style="1" width="9.29"/>
    <col collapsed="false" customWidth="false" hidden="false" outlineLevel="0" max="7983" min="7771" style="1" width="0.71"/>
    <col collapsed="false" customWidth="true" hidden="false" outlineLevel="0" max="7984" min="7984" style="1" width="3.42"/>
    <col collapsed="false" customWidth="true" hidden="false" outlineLevel="0" max="7985" min="7985" style="1" width="2.42"/>
    <col collapsed="false" customWidth="true" hidden="false" outlineLevel="0" max="7986" min="7986" style="1" width="7"/>
    <col collapsed="false" customWidth="false" hidden="false" outlineLevel="0" max="7987" min="7987" style="1" width="0.71"/>
    <col collapsed="false" customWidth="true" hidden="false" outlineLevel="0" max="7988" min="7988" style="1" width="1.57"/>
    <col collapsed="false" customWidth="false" hidden="false" outlineLevel="0" max="7989" min="7989" style="1" width="0.71"/>
    <col collapsed="false" customWidth="true" hidden="false" outlineLevel="0" max="7990" min="7990" style="1" width="11.29"/>
    <col collapsed="false" customWidth="false" hidden="false" outlineLevel="0" max="7991" min="7991" style="1" width="0.71"/>
    <col collapsed="false" customWidth="true" hidden="false" outlineLevel="0" max="7992" min="7992" style="1" width="1.57"/>
    <col collapsed="false" customWidth="false" hidden="false" outlineLevel="0" max="7997" min="7993" style="1" width="0.71"/>
    <col collapsed="false" customWidth="true" hidden="false" outlineLevel="0" max="7998" min="7998" style="1" width="2.15"/>
    <col collapsed="false" customWidth="false" hidden="false" outlineLevel="0" max="7999" min="7999" style="1" width="0.71"/>
    <col collapsed="false" customWidth="true" hidden="false" outlineLevel="0" max="8000" min="8000" style="1" width="1.57"/>
    <col collapsed="false" customWidth="false" hidden="false" outlineLevel="0" max="8001" min="8001" style="1" width="0.71"/>
    <col collapsed="false" customWidth="true" hidden="false" outlineLevel="0" max="8002" min="8002" style="1" width="7"/>
    <col collapsed="false" customWidth="false" hidden="false" outlineLevel="0" max="8003" min="8003" style="1" width="0.71"/>
    <col collapsed="false" customWidth="true" hidden="false" outlineLevel="0" max="8004" min="8004" style="1" width="4"/>
    <col collapsed="false" customWidth="false" hidden="false" outlineLevel="0" max="8005" min="8005" style="1" width="0.71"/>
    <col collapsed="false" customWidth="true" hidden="false" outlineLevel="0" max="8006" min="8006" style="1" width="1.57"/>
    <col collapsed="false" customWidth="false" hidden="false" outlineLevel="0" max="8007" min="8007" style="1" width="0.71"/>
    <col collapsed="false" customWidth="true" hidden="false" outlineLevel="0" max="8008" min="8008" style="1" width="7"/>
    <col collapsed="false" customWidth="false" hidden="false" outlineLevel="0" max="8011" min="8009" style="1" width="0.71"/>
    <col collapsed="false" customWidth="true" hidden="false" outlineLevel="0" max="8012" min="8012" style="1" width="2.42"/>
    <col collapsed="false" customWidth="false" hidden="false" outlineLevel="0" max="8018" min="8013" style="1" width="0.71"/>
    <col collapsed="false" customWidth="true" hidden="false" outlineLevel="0" max="8019" min="8019" style="1" width="16.57"/>
    <col collapsed="false" customWidth="false" hidden="false" outlineLevel="0" max="8022" min="8020" style="1" width="0.71"/>
    <col collapsed="false" customWidth="true" hidden="false" outlineLevel="0" max="8023" min="8023" style="1" width="9.86"/>
    <col collapsed="false" customWidth="true" hidden="false" outlineLevel="0" max="8026" min="8024" style="1" width="9.29"/>
    <col collapsed="false" customWidth="false" hidden="false" outlineLevel="0" max="8239" min="8027" style="1" width="0.71"/>
    <col collapsed="false" customWidth="true" hidden="false" outlineLevel="0" max="8240" min="8240" style="1" width="3.42"/>
    <col collapsed="false" customWidth="true" hidden="false" outlineLevel="0" max="8241" min="8241" style="1" width="2.42"/>
    <col collapsed="false" customWidth="true" hidden="false" outlineLevel="0" max="8242" min="8242" style="1" width="7"/>
    <col collapsed="false" customWidth="false" hidden="false" outlineLevel="0" max="8243" min="8243" style="1" width="0.71"/>
    <col collapsed="false" customWidth="true" hidden="false" outlineLevel="0" max="8244" min="8244" style="1" width="1.57"/>
    <col collapsed="false" customWidth="false" hidden="false" outlineLevel="0" max="8245" min="8245" style="1" width="0.71"/>
    <col collapsed="false" customWidth="true" hidden="false" outlineLevel="0" max="8246" min="8246" style="1" width="11.29"/>
    <col collapsed="false" customWidth="false" hidden="false" outlineLevel="0" max="8247" min="8247" style="1" width="0.71"/>
    <col collapsed="false" customWidth="true" hidden="false" outlineLevel="0" max="8248" min="8248" style="1" width="1.57"/>
    <col collapsed="false" customWidth="false" hidden="false" outlineLevel="0" max="8253" min="8249" style="1" width="0.71"/>
    <col collapsed="false" customWidth="true" hidden="false" outlineLevel="0" max="8254" min="8254" style="1" width="2.15"/>
    <col collapsed="false" customWidth="false" hidden="false" outlineLevel="0" max="8255" min="8255" style="1" width="0.71"/>
    <col collapsed="false" customWidth="true" hidden="false" outlineLevel="0" max="8256" min="8256" style="1" width="1.57"/>
    <col collapsed="false" customWidth="false" hidden="false" outlineLevel="0" max="8257" min="8257" style="1" width="0.71"/>
    <col collapsed="false" customWidth="true" hidden="false" outlineLevel="0" max="8258" min="8258" style="1" width="7"/>
    <col collapsed="false" customWidth="false" hidden="false" outlineLevel="0" max="8259" min="8259" style="1" width="0.71"/>
    <col collapsed="false" customWidth="true" hidden="false" outlineLevel="0" max="8260" min="8260" style="1" width="4"/>
    <col collapsed="false" customWidth="false" hidden="false" outlineLevel="0" max="8261" min="8261" style="1" width="0.71"/>
    <col collapsed="false" customWidth="true" hidden="false" outlineLevel="0" max="8262" min="8262" style="1" width="1.57"/>
    <col collapsed="false" customWidth="false" hidden="false" outlineLevel="0" max="8263" min="8263" style="1" width="0.71"/>
    <col collapsed="false" customWidth="true" hidden="false" outlineLevel="0" max="8264" min="8264" style="1" width="7"/>
    <col collapsed="false" customWidth="false" hidden="false" outlineLevel="0" max="8267" min="8265" style="1" width="0.71"/>
    <col collapsed="false" customWidth="true" hidden="false" outlineLevel="0" max="8268" min="8268" style="1" width="2.42"/>
    <col collapsed="false" customWidth="false" hidden="false" outlineLevel="0" max="8274" min="8269" style="1" width="0.71"/>
    <col collapsed="false" customWidth="true" hidden="false" outlineLevel="0" max="8275" min="8275" style="1" width="16.57"/>
    <col collapsed="false" customWidth="false" hidden="false" outlineLevel="0" max="8278" min="8276" style="1" width="0.71"/>
    <col collapsed="false" customWidth="true" hidden="false" outlineLevel="0" max="8279" min="8279" style="1" width="9.86"/>
    <col collapsed="false" customWidth="true" hidden="false" outlineLevel="0" max="8282" min="8280" style="1" width="9.29"/>
    <col collapsed="false" customWidth="false" hidden="false" outlineLevel="0" max="8495" min="8283" style="1" width="0.71"/>
    <col collapsed="false" customWidth="true" hidden="false" outlineLevel="0" max="8496" min="8496" style="1" width="3.42"/>
    <col collapsed="false" customWidth="true" hidden="false" outlineLevel="0" max="8497" min="8497" style="1" width="2.42"/>
    <col collapsed="false" customWidth="true" hidden="false" outlineLevel="0" max="8498" min="8498" style="1" width="7"/>
    <col collapsed="false" customWidth="false" hidden="false" outlineLevel="0" max="8499" min="8499" style="1" width="0.71"/>
    <col collapsed="false" customWidth="true" hidden="false" outlineLevel="0" max="8500" min="8500" style="1" width="1.57"/>
    <col collapsed="false" customWidth="false" hidden="false" outlineLevel="0" max="8501" min="8501" style="1" width="0.71"/>
    <col collapsed="false" customWidth="true" hidden="false" outlineLevel="0" max="8502" min="8502" style="1" width="11.29"/>
    <col collapsed="false" customWidth="false" hidden="false" outlineLevel="0" max="8503" min="8503" style="1" width="0.71"/>
    <col collapsed="false" customWidth="true" hidden="false" outlineLevel="0" max="8504" min="8504" style="1" width="1.57"/>
    <col collapsed="false" customWidth="false" hidden="false" outlineLevel="0" max="8509" min="8505" style="1" width="0.71"/>
    <col collapsed="false" customWidth="true" hidden="false" outlineLevel="0" max="8510" min="8510" style="1" width="2.15"/>
    <col collapsed="false" customWidth="false" hidden="false" outlineLevel="0" max="8511" min="8511" style="1" width="0.71"/>
    <col collapsed="false" customWidth="true" hidden="false" outlineLevel="0" max="8512" min="8512" style="1" width="1.57"/>
    <col collapsed="false" customWidth="false" hidden="false" outlineLevel="0" max="8513" min="8513" style="1" width="0.71"/>
    <col collapsed="false" customWidth="true" hidden="false" outlineLevel="0" max="8514" min="8514" style="1" width="7"/>
    <col collapsed="false" customWidth="false" hidden="false" outlineLevel="0" max="8515" min="8515" style="1" width="0.71"/>
    <col collapsed="false" customWidth="true" hidden="false" outlineLevel="0" max="8516" min="8516" style="1" width="4"/>
    <col collapsed="false" customWidth="false" hidden="false" outlineLevel="0" max="8517" min="8517" style="1" width="0.71"/>
    <col collapsed="false" customWidth="true" hidden="false" outlineLevel="0" max="8518" min="8518" style="1" width="1.57"/>
    <col collapsed="false" customWidth="false" hidden="false" outlineLevel="0" max="8519" min="8519" style="1" width="0.71"/>
    <col collapsed="false" customWidth="true" hidden="false" outlineLevel="0" max="8520" min="8520" style="1" width="7"/>
    <col collapsed="false" customWidth="false" hidden="false" outlineLevel="0" max="8523" min="8521" style="1" width="0.71"/>
    <col collapsed="false" customWidth="true" hidden="false" outlineLevel="0" max="8524" min="8524" style="1" width="2.42"/>
    <col collapsed="false" customWidth="false" hidden="false" outlineLevel="0" max="8530" min="8525" style="1" width="0.71"/>
    <col collapsed="false" customWidth="true" hidden="false" outlineLevel="0" max="8531" min="8531" style="1" width="16.57"/>
    <col collapsed="false" customWidth="false" hidden="false" outlineLevel="0" max="8534" min="8532" style="1" width="0.71"/>
    <col collapsed="false" customWidth="true" hidden="false" outlineLevel="0" max="8535" min="8535" style="1" width="9.86"/>
    <col collapsed="false" customWidth="true" hidden="false" outlineLevel="0" max="8538" min="8536" style="1" width="9.29"/>
    <col collapsed="false" customWidth="false" hidden="false" outlineLevel="0" max="8751" min="8539" style="1" width="0.71"/>
    <col collapsed="false" customWidth="true" hidden="false" outlineLevel="0" max="8752" min="8752" style="1" width="3.42"/>
    <col collapsed="false" customWidth="true" hidden="false" outlineLevel="0" max="8753" min="8753" style="1" width="2.42"/>
    <col collapsed="false" customWidth="true" hidden="false" outlineLevel="0" max="8754" min="8754" style="1" width="7"/>
    <col collapsed="false" customWidth="false" hidden="false" outlineLevel="0" max="8755" min="8755" style="1" width="0.71"/>
    <col collapsed="false" customWidth="true" hidden="false" outlineLevel="0" max="8756" min="8756" style="1" width="1.57"/>
    <col collapsed="false" customWidth="false" hidden="false" outlineLevel="0" max="8757" min="8757" style="1" width="0.71"/>
    <col collapsed="false" customWidth="true" hidden="false" outlineLevel="0" max="8758" min="8758" style="1" width="11.29"/>
    <col collapsed="false" customWidth="false" hidden="false" outlineLevel="0" max="8759" min="8759" style="1" width="0.71"/>
    <col collapsed="false" customWidth="true" hidden="false" outlineLevel="0" max="8760" min="8760" style="1" width="1.57"/>
    <col collapsed="false" customWidth="false" hidden="false" outlineLevel="0" max="8765" min="8761" style="1" width="0.71"/>
    <col collapsed="false" customWidth="true" hidden="false" outlineLevel="0" max="8766" min="8766" style="1" width="2.15"/>
    <col collapsed="false" customWidth="false" hidden="false" outlineLevel="0" max="8767" min="8767" style="1" width="0.71"/>
    <col collapsed="false" customWidth="true" hidden="false" outlineLevel="0" max="8768" min="8768" style="1" width="1.57"/>
    <col collapsed="false" customWidth="false" hidden="false" outlineLevel="0" max="8769" min="8769" style="1" width="0.71"/>
    <col collapsed="false" customWidth="true" hidden="false" outlineLevel="0" max="8770" min="8770" style="1" width="7"/>
    <col collapsed="false" customWidth="false" hidden="false" outlineLevel="0" max="8771" min="8771" style="1" width="0.71"/>
    <col collapsed="false" customWidth="true" hidden="false" outlineLevel="0" max="8772" min="8772" style="1" width="4"/>
    <col collapsed="false" customWidth="false" hidden="false" outlineLevel="0" max="8773" min="8773" style="1" width="0.71"/>
    <col collapsed="false" customWidth="true" hidden="false" outlineLevel="0" max="8774" min="8774" style="1" width="1.57"/>
    <col collapsed="false" customWidth="false" hidden="false" outlineLevel="0" max="8775" min="8775" style="1" width="0.71"/>
    <col collapsed="false" customWidth="true" hidden="false" outlineLevel="0" max="8776" min="8776" style="1" width="7"/>
    <col collapsed="false" customWidth="false" hidden="false" outlineLevel="0" max="8779" min="8777" style="1" width="0.71"/>
    <col collapsed="false" customWidth="true" hidden="false" outlineLevel="0" max="8780" min="8780" style="1" width="2.42"/>
    <col collapsed="false" customWidth="false" hidden="false" outlineLevel="0" max="8786" min="8781" style="1" width="0.71"/>
    <col collapsed="false" customWidth="true" hidden="false" outlineLevel="0" max="8787" min="8787" style="1" width="16.57"/>
    <col collapsed="false" customWidth="false" hidden="false" outlineLevel="0" max="8790" min="8788" style="1" width="0.71"/>
    <col collapsed="false" customWidth="true" hidden="false" outlineLevel="0" max="8791" min="8791" style="1" width="9.86"/>
    <col collapsed="false" customWidth="true" hidden="false" outlineLevel="0" max="8794" min="8792" style="1" width="9.29"/>
    <col collapsed="false" customWidth="false" hidden="false" outlineLevel="0" max="9007" min="8795" style="1" width="0.71"/>
    <col collapsed="false" customWidth="true" hidden="false" outlineLevel="0" max="9008" min="9008" style="1" width="3.42"/>
    <col collapsed="false" customWidth="true" hidden="false" outlineLevel="0" max="9009" min="9009" style="1" width="2.42"/>
    <col collapsed="false" customWidth="true" hidden="false" outlineLevel="0" max="9010" min="9010" style="1" width="7"/>
    <col collapsed="false" customWidth="false" hidden="false" outlineLevel="0" max="9011" min="9011" style="1" width="0.71"/>
    <col collapsed="false" customWidth="true" hidden="false" outlineLevel="0" max="9012" min="9012" style="1" width="1.57"/>
    <col collapsed="false" customWidth="false" hidden="false" outlineLevel="0" max="9013" min="9013" style="1" width="0.71"/>
    <col collapsed="false" customWidth="true" hidden="false" outlineLevel="0" max="9014" min="9014" style="1" width="11.29"/>
    <col collapsed="false" customWidth="false" hidden="false" outlineLevel="0" max="9015" min="9015" style="1" width="0.71"/>
    <col collapsed="false" customWidth="true" hidden="false" outlineLevel="0" max="9016" min="9016" style="1" width="1.57"/>
    <col collapsed="false" customWidth="false" hidden="false" outlineLevel="0" max="9021" min="9017" style="1" width="0.71"/>
    <col collapsed="false" customWidth="true" hidden="false" outlineLevel="0" max="9022" min="9022" style="1" width="2.15"/>
    <col collapsed="false" customWidth="false" hidden="false" outlineLevel="0" max="9023" min="9023" style="1" width="0.71"/>
    <col collapsed="false" customWidth="true" hidden="false" outlineLevel="0" max="9024" min="9024" style="1" width="1.57"/>
    <col collapsed="false" customWidth="false" hidden="false" outlineLevel="0" max="9025" min="9025" style="1" width="0.71"/>
    <col collapsed="false" customWidth="true" hidden="false" outlineLevel="0" max="9026" min="9026" style="1" width="7"/>
    <col collapsed="false" customWidth="false" hidden="false" outlineLevel="0" max="9027" min="9027" style="1" width="0.71"/>
    <col collapsed="false" customWidth="true" hidden="false" outlineLevel="0" max="9028" min="9028" style="1" width="4"/>
    <col collapsed="false" customWidth="false" hidden="false" outlineLevel="0" max="9029" min="9029" style="1" width="0.71"/>
    <col collapsed="false" customWidth="true" hidden="false" outlineLevel="0" max="9030" min="9030" style="1" width="1.57"/>
    <col collapsed="false" customWidth="false" hidden="false" outlineLevel="0" max="9031" min="9031" style="1" width="0.71"/>
    <col collapsed="false" customWidth="true" hidden="false" outlineLevel="0" max="9032" min="9032" style="1" width="7"/>
    <col collapsed="false" customWidth="false" hidden="false" outlineLevel="0" max="9035" min="9033" style="1" width="0.71"/>
    <col collapsed="false" customWidth="true" hidden="false" outlineLevel="0" max="9036" min="9036" style="1" width="2.42"/>
    <col collapsed="false" customWidth="false" hidden="false" outlineLevel="0" max="9042" min="9037" style="1" width="0.71"/>
    <col collapsed="false" customWidth="true" hidden="false" outlineLevel="0" max="9043" min="9043" style="1" width="16.57"/>
    <col collapsed="false" customWidth="false" hidden="false" outlineLevel="0" max="9046" min="9044" style="1" width="0.71"/>
    <col collapsed="false" customWidth="true" hidden="false" outlineLevel="0" max="9047" min="9047" style="1" width="9.86"/>
    <col collapsed="false" customWidth="true" hidden="false" outlineLevel="0" max="9050" min="9048" style="1" width="9.29"/>
    <col collapsed="false" customWidth="false" hidden="false" outlineLevel="0" max="9263" min="9051" style="1" width="0.71"/>
    <col collapsed="false" customWidth="true" hidden="false" outlineLevel="0" max="9264" min="9264" style="1" width="3.42"/>
    <col collapsed="false" customWidth="true" hidden="false" outlineLevel="0" max="9265" min="9265" style="1" width="2.42"/>
    <col collapsed="false" customWidth="true" hidden="false" outlineLevel="0" max="9266" min="9266" style="1" width="7"/>
    <col collapsed="false" customWidth="false" hidden="false" outlineLevel="0" max="9267" min="9267" style="1" width="0.71"/>
    <col collapsed="false" customWidth="true" hidden="false" outlineLevel="0" max="9268" min="9268" style="1" width="1.57"/>
    <col collapsed="false" customWidth="false" hidden="false" outlineLevel="0" max="9269" min="9269" style="1" width="0.71"/>
    <col collapsed="false" customWidth="true" hidden="false" outlineLevel="0" max="9270" min="9270" style="1" width="11.29"/>
    <col collapsed="false" customWidth="false" hidden="false" outlineLevel="0" max="9271" min="9271" style="1" width="0.71"/>
    <col collapsed="false" customWidth="true" hidden="false" outlineLevel="0" max="9272" min="9272" style="1" width="1.57"/>
    <col collapsed="false" customWidth="false" hidden="false" outlineLevel="0" max="9277" min="9273" style="1" width="0.71"/>
    <col collapsed="false" customWidth="true" hidden="false" outlineLevel="0" max="9278" min="9278" style="1" width="2.15"/>
    <col collapsed="false" customWidth="false" hidden="false" outlineLevel="0" max="9279" min="9279" style="1" width="0.71"/>
    <col collapsed="false" customWidth="true" hidden="false" outlineLevel="0" max="9280" min="9280" style="1" width="1.57"/>
    <col collapsed="false" customWidth="false" hidden="false" outlineLevel="0" max="9281" min="9281" style="1" width="0.71"/>
    <col collapsed="false" customWidth="true" hidden="false" outlineLevel="0" max="9282" min="9282" style="1" width="7"/>
    <col collapsed="false" customWidth="false" hidden="false" outlineLevel="0" max="9283" min="9283" style="1" width="0.71"/>
    <col collapsed="false" customWidth="true" hidden="false" outlineLevel="0" max="9284" min="9284" style="1" width="4"/>
    <col collapsed="false" customWidth="false" hidden="false" outlineLevel="0" max="9285" min="9285" style="1" width="0.71"/>
    <col collapsed="false" customWidth="true" hidden="false" outlineLevel="0" max="9286" min="9286" style="1" width="1.57"/>
    <col collapsed="false" customWidth="false" hidden="false" outlineLevel="0" max="9287" min="9287" style="1" width="0.71"/>
    <col collapsed="false" customWidth="true" hidden="false" outlineLevel="0" max="9288" min="9288" style="1" width="7"/>
    <col collapsed="false" customWidth="false" hidden="false" outlineLevel="0" max="9291" min="9289" style="1" width="0.71"/>
    <col collapsed="false" customWidth="true" hidden="false" outlineLevel="0" max="9292" min="9292" style="1" width="2.42"/>
    <col collapsed="false" customWidth="false" hidden="false" outlineLevel="0" max="9298" min="9293" style="1" width="0.71"/>
    <col collapsed="false" customWidth="true" hidden="false" outlineLevel="0" max="9299" min="9299" style="1" width="16.57"/>
    <col collapsed="false" customWidth="false" hidden="false" outlineLevel="0" max="9302" min="9300" style="1" width="0.71"/>
    <col collapsed="false" customWidth="true" hidden="false" outlineLevel="0" max="9303" min="9303" style="1" width="9.86"/>
    <col collapsed="false" customWidth="true" hidden="false" outlineLevel="0" max="9306" min="9304" style="1" width="9.29"/>
    <col collapsed="false" customWidth="false" hidden="false" outlineLevel="0" max="9519" min="9307" style="1" width="0.71"/>
    <col collapsed="false" customWidth="true" hidden="false" outlineLevel="0" max="9520" min="9520" style="1" width="3.42"/>
    <col collapsed="false" customWidth="true" hidden="false" outlineLevel="0" max="9521" min="9521" style="1" width="2.42"/>
    <col collapsed="false" customWidth="true" hidden="false" outlineLevel="0" max="9522" min="9522" style="1" width="7"/>
    <col collapsed="false" customWidth="false" hidden="false" outlineLevel="0" max="9523" min="9523" style="1" width="0.71"/>
    <col collapsed="false" customWidth="true" hidden="false" outlineLevel="0" max="9524" min="9524" style="1" width="1.57"/>
    <col collapsed="false" customWidth="false" hidden="false" outlineLevel="0" max="9525" min="9525" style="1" width="0.71"/>
    <col collapsed="false" customWidth="true" hidden="false" outlineLevel="0" max="9526" min="9526" style="1" width="11.29"/>
    <col collapsed="false" customWidth="false" hidden="false" outlineLevel="0" max="9527" min="9527" style="1" width="0.71"/>
    <col collapsed="false" customWidth="true" hidden="false" outlineLevel="0" max="9528" min="9528" style="1" width="1.57"/>
    <col collapsed="false" customWidth="false" hidden="false" outlineLevel="0" max="9533" min="9529" style="1" width="0.71"/>
    <col collapsed="false" customWidth="true" hidden="false" outlineLevel="0" max="9534" min="9534" style="1" width="2.15"/>
    <col collapsed="false" customWidth="false" hidden="false" outlineLevel="0" max="9535" min="9535" style="1" width="0.71"/>
    <col collapsed="false" customWidth="true" hidden="false" outlineLevel="0" max="9536" min="9536" style="1" width="1.57"/>
    <col collapsed="false" customWidth="false" hidden="false" outlineLevel="0" max="9537" min="9537" style="1" width="0.71"/>
    <col collapsed="false" customWidth="true" hidden="false" outlineLevel="0" max="9538" min="9538" style="1" width="7"/>
    <col collapsed="false" customWidth="false" hidden="false" outlineLevel="0" max="9539" min="9539" style="1" width="0.71"/>
    <col collapsed="false" customWidth="true" hidden="false" outlineLevel="0" max="9540" min="9540" style="1" width="4"/>
    <col collapsed="false" customWidth="false" hidden="false" outlineLevel="0" max="9541" min="9541" style="1" width="0.71"/>
    <col collapsed="false" customWidth="true" hidden="false" outlineLevel="0" max="9542" min="9542" style="1" width="1.57"/>
    <col collapsed="false" customWidth="false" hidden="false" outlineLevel="0" max="9543" min="9543" style="1" width="0.71"/>
    <col collapsed="false" customWidth="true" hidden="false" outlineLevel="0" max="9544" min="9544" style="1" width="7"/>
    <col collapsed="false" customWidth="false" hidden="false" outlineLevel="0" max="9547" min="9545" style="1" width="0.71"/>
    <col collapsed="false" customWidth="true" hidden="false" outlineLevel="0" max="9548" min="9548" style="1" width="2.42"/>
    <col collapsed="false" customWidth="false" hidden="false" outlineLevel="0" max="9554" min="9549" style="1" width="0.71"/>
    <col collapsed="false" customWidth="true" hidden="false" outlineLevel="0" max="9555" min="9555" style="1" width="16.57"/>
    <col collapsed="false" customWidth="false" hidden="false" outlineLevel="0" max="9558" min="9556" style="1" width="0.71"/>
    <col collapsed="false" customWidth="true" hidden="false" outlineLevel="0" max="9559" min="9559" style="1" width="9.86"/>
    <col collapsed="false" customWidth="true" hidden="false" outlineLevel="0" max="9562" min="9560" style="1" width="9.29"/>
    <col collapsed="false" customWidth="false" hidden="false" outlineLevel="0" max="9775" min="9563" style="1" width="0.71"/>
    <col collapsed="false" customWidth="true" hidden="false" outlineLevel="0" max="9776" min="9776" style="1" width="3.42"/>
    <col collapsed="false" customWidth="true" hidden="false" outlineLevel="0" max="9777" min="9777" style="1" width="2.42"/>
    <col collapsed="false" customWidth="true" hidden="false" outlineLevel="0" max="9778" min="9778" style="1" width="7"/>
    <col collapsed="false" customWidth="false" hidden="false" outlineLevel="0" max="9779" min="9779" style="1" width="0.71"/>
    <col collapsed="false" customWidth="true" hidden="false" outlineLevel="0" max="9780" min="9780" style="1" width="1.57"/>
    <col collapsed="false" customWidth="false" hidden="false" outlineLevel="0" max="9781" min="9781" style="1" width="0.71"/>
    <col collapsed="false" customWidth="true" hidden="false" outlineLevel="0" max="9782" min="9782" style="1" width="11.29"/>
    <col collapsed="false" customWidth="false" hidden="false" outlineLevel="0" max="9783" min="9783" style="1" width="0.71"/>
    <col collapsed="false" customWidth="true" hidden="false" outlineLevel="0" max="9784" min="9784" style="1" width="1.57"/>
    <col collapsed="false" customWidth="false" hidden="false" outlineLevel="0" max="9789" min="9785" style="1" width="0.71"/>
    <col collapsed="false" customWidth="true" hidden="false" outlineLevel="0" max="9790" min="9790" style="1" width="2.15"/>
    <col collapsed="false" customWidth="false" hidden="false" outlineLevel="0" max="9791" min="9791" style="1" width="0.71"/>
    <col collapsed="false" customWidth="true" hidden="false" outlineLevel="0" max="9792" min="9792" style="1" width="1.57"/>
    <col collapsed="false" customWidth="false" hidden="false" outlineLevel="0" max="9793" min="9793" style="1" width="0.71"/>
    <col collapsed="false" customWidth="true" hidden="false" outlineLevel="0" max="9794" min="9794" style="1" width="7"/>
    <col collapsed="false" customWidth="false" hidden="false" outlineLevel="0" max="9795" min="9795" style="1" width="0.71"/>
    <col collapsed="false" customWidth="true" hidden="false" outlineLevel="0" max="9796" min="9796" style="1" width="4"/>
    <col collapsed="false" customWidth="false" hidden="false" outlineLevel="0" max="9797" min="9797" style="1" width="0.71"/>
    <col collapsed="false" customWidth="true" hidden="false" outlineLevel="0" max="9798" min="9798" style="1" width="1.57"/>
    <col collapsed="false" customWidth="false" hidden="false" outlineLevel="0" max="9799" min="9799" style="1" width="0.71"/>
    <col collapsed="false" customWidth="true" hidden="false" outlineLevel="0" max="9800" min="9800" style="1" width="7"/>
    <col collapsed="false" customWidth="false" hidden="false" outlineLevel="0" max="9803" min="9801" style="1" width="0.71"/>
    <col collapsed="false" customWidth="true" hidden="false" outlineLevel="0" max="9804" min="9804" style="1" width="2.42"/>
    <col collapsed="false" customWidth="false" hidden="false" outlineLevel="0" max="9810" min="9805" style="1" width="0.71"/>
    <col collapsed="false" customWidth="true" hidden="false" outlineLevel="0" max="9811" min="9811" style="1" width="16.57"/>
    <col collapsed="false" customWidth="false" hidden="false" outlineLevel="0" max="9814" min="9812" style="1" width="0.71"/>
    <col collapsed="false" customWidth="true" hidden="false" outlineLevel="0" max="9815" min="9815" style="1" width="9.86"/>
    <col collapsed="false" customWidth="true" hidden="false" outlineLevel="0" max="9818" min="9816" style="1" width="9.29"/>
    <col collapsed="false" customWidth="false" hidden="false" outlineLevel="0" max="10031" min="9819" style="1" width="0.71"/>
    <col collapsed="false" customWidth="true" hidden="false" outlineLevel="0" max="10032" min="10032" style="1" width="3.42"/>
    <col collapsed="false" customWidth="true" hidden="false" outlineLevel="0" max="10033" min="10033" style="1" width="2.42"/>
    <col collapsed="false" customWidth="true" hidden="false" outlineLevel="0" max="10034" min="10034" style="1" width="7"/>
    <col collapsed="false" customWidth="false" hidden="false" outlineLevel="0" max="10035" min="10035" style="1" width="0.71"/>
    <col collapsed="false" customWidth="true" hidden="false" outlineLevel="0" max="10036" min="10036" style="1" width="1.57"/>
    <col collapsed="false" customWidth="false" hidden="false" outlineLevel="0" max="10037" min="10037" style="1" width="0.71"/>
    <col collapsed="false" customWidth="true" hidden="false" outlineLevel="0" max="10038" min="10038" style="1" width="11.29"/>
    <col collapsed="false" customWidth="false" hidden="false" outlineLevel="0" max="10039" min="10039" style="1" width="0.71"/>
    <col collapsed="false" customWidth="true" hidden="false" outlineLevel="0" max="10040" min="10040" style="1" width="1.57"/>
    <col collapsed="false" customWidth="false" hidden="false" outlineLevel="0" max="10045" min="10041" style="1" width="0.71"/>
    <col collapsed="false" customWidth="true" hidden="false" outlineLevel="0" max="10046" min="10046" style="1" width="2.15"/>
    <col collapsed="false" customWidth="false" hidden="false" outlineLevel="0" max="10047" min="10047" style="1" width="0.71"/>
    <col collapsed="false" customWidth="true" hidden="false" outlineLevel="0" max="10048" min="10048" style="1" width="1.57"/>
    <col collapsed="false" customWidth="false" hidden="false" outlineLevel="0" max="10049" min="10049" style="1" width="0.71"/>
    <col collapsed="false" customWidth="true" hidden="false" outlineLevel="0" max="10050" min="10050" style="1" width="7"/>
    <col collapsed="false" customWidth="false" hidden="false" outlineLevel="0" max="10051" min="10051" style="1" width="0.71"/>
    <col collapsed="false" customWidth="true" hidden="false" outlineLevel="0" max="10052" min="10052" style="1" width="4"/>
    <col collapsed="false" customWidth="false" hidden="false" outlineLevel="0" max="10053" min="10053" style="1" width="0.71"/>
    <col collapsed="false" customWidth="true" hidden="false" outlineLevel="0" max="10054" min="10054" style="1" width="1.57"/>
    <col collapsed="false" customWidth="false" hidden="false" outlineLevel="0" max="10055" min="10055" style="1" width="0.71"/>
    <col collapsed="false" customWidth="true" hidden="false" outlineLevel="0" max="10056" min="10056" style="1" width="7"/>
    <col collapsed="false" customWidth="false" hidden="false" outlineLevel="0" max="10059" min="10057" style="1" width="0.71"/>
    <col collapsed="false" customWidth="true" hidden="false" outlineLevel="0" max="10060" min="10060" style="1" width="2.42"/>
    <col collapsed="false" customWidth="false" hidden="false" outlineLevel="0" max="10066" min="10061" style="1" width="0.71"/>
    <col collapsed="false" customWidth="true" hidden="false" outlineLevel="0" max="10067" min="10067" style="1" width="16.57"/>
    <col collapsed="false" customWidth="false" hidden="false" outlineLevel="0" max="10070" min="10068" style="1" width="0.71"/>
    <col collapsed="false" customWidth="true" hidden="false" outlineLevel="0" max="10071" min="10071" style="1" width="9.86"/>
    <col collapsed="false" customWidth="true" hidden="false" outlineLevel="0" max="10074" min="10072" style="1" width="9.29"/>
    <col collapsed="false" customWidth="false" hidden="false" outlineLevel="0" max="10287" min="10075" style="1" width="0.71"/>
    <col collapsed="false" customWidth="true" hidden="false" outlineLevel="0" max="10288" min="10288" style="1" width="3.42"/>
    <col collapsed="false" customWidth="true" hidden="false" outlineLevel="0" max="10289" min="10289" style="1" width="2.42"/>
    <col collapsed="false" customWidth="true" hidden="false" outlineLevel="0" max="10290" min="10290" style="1" width="7"/>
    <col collapsed="false" customWidth="false" hidden="false" outlineLevel="0" max="10291" min="10291" style="1" width="0.71"/>
    <col collapsed="false" customWidth="true" hidden="false" outlineLevel="0" max="10292" min="10292" style="1" width="1.57"/>
    <col collapsed="false" customWidth="false" hidden="false" outlineLevel="0" max="10293" min="10293" style="1" width="0.71"/>
    <col collapsed="false" customWidth="true" hidden="false" outlineLevel="0" max="10294" min="10294" style="1" width="11.29"/>
    <col collapsed="false" customWidth="false" hidden="false" outlineLevel="0" max="10295" min="10295" style="1" width="0.71"/>
    <col collapsed="false" customWidth="true" hidden="false" outlineLevel="0" max="10296" min="10296" style="1" width="1.57"/>
    <col collapsed="false" customWidth="false" hidden="false" outlineLevel="0" max="10301" min="10297" style="1" width="0.71"/>
    <col collapsed="false" customWidth="true" hidden="false" outlineLevel="0" max="10302" min="10302" style="1" width="2.15"/>
    <col collapsed="false" customWidth="false" hidden="false" outlineLevel="0" max="10303" min="10303" style="1" width="0.71"/>
    <col collapsed="false" customWidth="true" hidden="false" outlineLevel="0" max="10304" min="10304" style="1" width="1.57"/>
    <col collapsed="false" customWidth="false" hidden="false" outlineLevel="0" max="10305" min="10305" style="1" width="0.71"/>
    <col collapsed="false" customWidth="true" hidden="false" outlineLevel="0" max="10306" min="10306" style="1" width="7"/>
    <col collapsed="false" customWidth="false" hidden="false" outlineLevel="0" max="10307" min="10307" style="1" width="0.71"/>
    <col collapsed="false" customWidth="true" hidden="false" outlineLevel="0" max="10308" min="10308" style="1" width="4"/>
    <col collapsed="false" customWidth="false" hidden="false" outlineLevel="0" max="10309" min="10309" style="1" width="0.71"/>
    <col collapsed="false" customWidth="true" hidden="false" outlineLevel="0" max="10310" min="10310" style="1" width="1.57"/>
    <col collapsed="false" customWidth="false" hidden="false" outlineLevel="0" max="10311" min="10311" style="1" width="0.71"/>
    <col collapsed="false" customWidth="true" hidden="false" outlineLevel="0" max="10312" min="10312" style="1" width="7"/>
    <col collapsed="false" customWidth="false" hidden="false" outlineLevel="0" max="10315" min="10313" style="1" width="0.71"/>
    <col collapsed="false" customWidth="true" hidden="false" outlineLevel="0" max="10316" min="10316" style="1" width="2.42"/>
    <col collapsed="false" customWidth="false" hidden="false" outlineLevel="0" max="10322" min="10317" style="1" width="0.71"/>
    <col collapsed="false" customWidth="true" hidden="false" outlineLevel="0" max="10323" min="10323" style="1" width="16.57"/>
    <col collapsed="false" customWidth="false" hidden="false" outlineLevel="0" max="10326" min="10324" style="1" width="0.71"/>
    <col collapsed="false" customWidth="true" hidden="false" outlineLevel="0" max="10327" min="10327" style="1" width="9.86"/>
    <col collapsed="false" customWidth="true" hidden="false" outlineLevel="0" max="10330" min="10328" style="1" width="9.29"/>
    <col collapsed="false" customWidth="false" hidden="false" outlineLevel="0" max="10543" min="10331" style="1" width="0.71"/>
    <col collapsed="false" customWidth="true" hidden="false" outlineLevel="0" max="10544" min="10544" style="1" width="3.42"/>
    <col collapsed="false" customWidth="true" hidden="false" outlineLevel="0" max="10545" min="10545" style="1" width="2.42"/>
    <col collapsed="false" customWidth="true" hidden="false" outlineLevel="0" max="10546" min="10546" style="1" width="7"/>
    <col collapsed="false" customWidth="false" hidden="false" outlineLevel="0" max="10547" min="10547" style="1" width="0.71"/>
    <col collapsed="false" customWidth="true" hidden="false" outlineLevel="0" max="10548" min="10548" style="1" width="1.57"/>
    <col collapsed="false" customWidth="false" hidden="false" outlineLevel="0" max="10549" min="10549" style="1" width="0.71"/>
    <col collapsed="false" customWidth="true" hidden="false" outlineLevel="0" max="10550" min="10550" style="1" width="11.29"/>
    <col collapsed="false" customWidth="false" hidden="false" outlineLevel="0" max="10551" min="10551" style="1" width="0.71"/>
    <col collapsed="false" customWidth="true" hidden="false" outlineLevel="0" max="10552" min="10552" style="1" width="1.57"/>
    <col collapsed="false" customWidth="false" hidden="false" outlineLevel="0" max="10557" min="10553" style="1" width="0.71"/>
    <col collapsed="false" customWidth="true" hidden="false" outlineLevel="0" max="10558" min="10558" style="1" width="2.15"/>
    <col collapsed="false" customWidth="false" hidden="false" outlineLevel="0" max="10559" min="10559" style="1" width="0.71"/>
    <col collapsed="false" customWidth="true" hidden="false" outlineLevel="0" max="10560" min="10560" style="1" width="1.57"/>
    <col collapsed="false" customWidth="false" hidden="false" outlineLevel="0" max="10561" min="10561" style="1" width="0.71"/>
    <col collapsed="false" customWidth="true" hidden="false" outlineLevel="0" max="10562" min="10562" style="1" width="7"/>
    <col collapsed="false" customWidth="false" hidden="false" outlineLevel="0" max="10563" min="10563" style="1" width="0.71"/>
    <col collapsed="false" customWidth="true" hidden="false" outlineLevel="0" max="10564" min="10564" style="1" width="4"/>
    <col collapsed="false" customWidth="false" hidden="false" outlineLevel="0" max="10565" min="10565" style="1" width="0.71"/>
    <col collapsed="false" customWidth="true" hidden="false" outlineLevel="0" max="10566" min="10566" style="1" width="1.57"/>
    <col collapsed="false" customWidth="false" hidden="false" outlineLevel="0" max="10567" min="10567" style="1" width="0.71"/>
    <col collapsed="false" customWidth="true" hidden="false" outlineLevel="0" max="10568" min="10568" style="1" width="7"/>
    <col collapsed="false" customWidth="false" hidden="false" outlineLevel="0" max="10571" min="10569" style="1" width="0.71"/>
    <col collapsed="false" customWidth="true" hidden="false" outlineLevel="0" max="10572" min="10572" style="1" width="2.42"/>
    <col collapsed="false" customWidth="false" hidden="false" outlineLevel="0" max="10578" min="10573" style="1" width="0.71"/>
    <col collapsed="false" customWidth="true" hidden="false" outlineLevel="0" max="10579" min="10579" style="1" width="16.57"/>
    <col collapsed="false" customWidth="false" hidden="false" outlineLevel="0" max="10582" min="10580" style="1" width="0.71"/>
    <col collapsed="false" customWidth="true" hidden="false" outlineLevel="0" max="10583" min="10583" style="1" width="9.86"/>
    <col collapsed="false" customWidth="true" hidden="false" outlineLevel="0" max="10586" min="10584" style="1" width="9.29"/>
    <col collapsed="false" customWidth="false" hidden="false" outlineLevel="0" max="10799" min="10587" style="1" width="0.71"/>
    <col collapsed="false" customWidth="true" hidden="false" outlineLevel="0" max="10800" min="10800" style="1" width="3.42"/>
    <col collapsed="false" customWidth="true" hidden="false" outlineLevel="0" max="10801" min="10801" style="1" width="2.42"/>
    <col collapsed="false" customWidth="true" hidden="false" outlineLevel="0" max="10802" min="10802" style="1" width="7"/>
    <col collapsed="false" customWidth="false" hidden="false" outlineLevel="0" max="10803" min="10803" style="1" width="0.71"/>
    <col collapsed="false" customWidth="true" hidden="false" outlineLevel="0" max="10804" min="10804" style="1" width="1.57"/>
    <col collapsed="false" customWidth="false" hidden="false" outlineLevel="0" max="10805" min="10805" style="1" width="0.71"/>
    <col collapsed="false" customWidth="true" hidden="false" outlineLevel="0" max="10806" min="10806" style="1" width="11.29"/>
    <col collapsed="false" customWidth="false" hidden="false" outlineLevel="0" max="10807" min="10807" style="1" width="0.71"/>
    <col collapsed="false" customWidth="true" hidden="false" outlineLevel="0" max="10808" min="10808" style="1" width="1.57"/>
    <col collapsed="false" customWidth="false" hidden="false" outlineLevel="0" max="10813" min="10809" style="1" width="0.71"/>
    <col collapsed="false" customWidth="true" hidden="false" outlineLevel="0" max="10814" min="10814" style="1" width="2.15"/>
    <col collapsed="false" customWidth="false" hidden="false" outlineLevel="0" max="10815" min="10815" style="1" width="0.71"/>
    <col collapsed="false" customWidth="true" hidden="false" outlineLevel="0" max="10816" min="10816" style="1" width="1.57"/>
    <col collapsed="false" customWidth="false" hidden="false" outlineLevel="0" max="10817" min="10817" style="1" width="0.71"/>
    <col collapsed="false" customWidth="true" hidden="false" outlineLevel="0" max="10818" min="10818" style="1" width="7"/>
    <col collapsed="false" customWidth="false" hidden="false" outlineLevel="0" max="10819" min="10819" style="1" width="0.71"/>
    <col collapsed="false" customWidth="true" hidden="false" outlineLevel="0" max="10820" min="10820" style="1" width="4"/>
    <col collapsed="false" customWidth="false" hidden="false" outlineLevel="0" max="10821" min="10821" style="1" width="0.71"/>
    <col collapsed="false" customWidth="true" hidden="false" outlineLevel="0" max="10822" min="10822" style="1" width="1.57"/>
    <col collapsed="false" customWidth="false" hidden="false" outlineLevel="0" max="10823" min="10823" style="1" width="0.71"/>
    <col collapsed="false" customWidth="true" hidden="false" outlineLevel="0" max="10824" min="10824" style="1" width="7"/>
    <col collapsed="false" customWidth="false" hidden="false" outlineLevel="0" max="10827" min="10825" style="1" width="0.71"/>
    <col collapsed="false" customWidth="true" hidden="false" outlineLevel="0" max="10828" min="10828" style="1" width="2.42"/>
    <col collapsed="false" customWidth="false" hidden="false" outlineLevel="0" max="10834" min="10829" style="1" width="0.71"/>
    <col collapsed="false" customWidth="true" hidden="false" outlineLevel="0" max="10835" min="10835" style="1" width="16.57"/>
    <col collapsed="false" customWidth="false" hidden="false" outlineLevel="0" max="10838" min="10836" style="1" width="0.71"/>
    <col collapsed="false" customWidth="true" hidden="false" outlineLevel="0" max="10839" min="10839" style="1" width="9.86"/>
    <col collapsed="false" customWidth="true" hidden="false" outlineLevel="0" max="10842" min="10840" style="1" width="9.29"/>
    <col collapsed="false" customWidth="false" hidden="false" outlineLevel="0" max="11055" min="10843" style="1" width="0.71"/>
    <col collapsed="false" customWidth="true" hidden="false" outlineLevel="0" max="11056" min="11056" style="1" width="3.42"/>
    <col collapsed="false" customWidth="true" hidden="false" outlineLevel="0" max="11057" min="11057" style="1" width="2.42"/>
    <col collapsed="false" customWidth="true" hidden="false" outlineLevel="0" max="11058" min="11058" style="1" width="7"/>
    <col collapsed="false" customWidth="false" hidden="false" outlineLevel="0" max="11059" min="11059" style="1" width="0.71"/>
    <col collapsed="false" customWidth="true" hidden="false" outlineLevel="0" max="11060" min="11060" style="1" width="1.57"/>
    <col collapsed="false" customWidth="false" hidden="false" outlineLevel="0" max="11061" min="11061" style="1" width="0.71"/>
    <col collapsed="false" customWidth="true" hidden="false" outlineLevel="0" max="11062" min="11062" style="1" width="11.29"/>
    <col collapsed="false" customWidth="false" hidden="false" outlineLevel="0" max="11063" min="11063" style="1" width="0.71"/>
    <col collapsed="false" customWidth="true" hidden="false" outlineLevel="0" max="11064" min="11064" style="1" width="1.57"/>
    <col collapsed="false" customWidth="false" hidden="false" outlineLevel="0" max="11069" min="11065" style="1" width="0.71"/>
    <col collapsed="false" customWidth="true" hidden="false" outlineLevel="0" max="11070" min="11070" style="1" width="2.15"/>
    <col collapsed="false" customWidth="false" hidden="false" outlineLevel="0" max="11071" min="11071" style="1" width="0.71"/>
    <col collapsed="false" customWidth="true" hidden="false" outlineLevel="0" max="11072" min="11072" style="1" width="1.57"/>
    <col collapsed="false" customWidth="false" hidden="false" outlineLevel="0" max="11073" min="11073" style="1" width="0.71"/>
    <col collapsed="false" customWidth="true" hidden="false" outlineLevel="0" max="11074" min="11074" style="1" width="7"/>
    <col collapsed="false" customWidth="false" hidden="false" outlineLevel="0" max="11075" min="11075" style="1" width="0.71"/>
    <col collapsed="false" customWidth="true" hidden="false" outlineLevel="0" max="11076" min="11076" style="1" width="4"/>
    <col collapsed="false" customWidth="false" hidden="false" outlineLevel="0" max="11077" min="11077" style="1" width="0.71"/>
    <col collapsed="false" customWidth="true" hidden="false" outlineLevel="0" max="11078" min="11078" style="1" width="1.57"/>
    <col collapsed="false" customWidth="false" hidden="false" outlineLevel="0" max="11079" min="11079" style="1" width="0.71"/>
    <col collapsed="false" customWidth="true" hidden="false" outlineLevel="0" max="11080" min="11080" style="1" width="7"/>
    <col collapsed="false" customWidth="false" hidden="false" outlineLevel="0" max="11083" min="11081" style="1" width="0.71"/>
    <col collapsed="false" customWidth="true" hidden="false" outlineLevel="0" max="11084" min="11084" style="1" width="2.42"/>
    <col collapsed="false" customWidth="false" hidden="false" outlineLevel="0" max="11090" min="11085" style="1" width="0.71"/>
    <col collapsed="false" customWidth="true" hidden="false" outlineLevel="0" max="11091" min="11091" style="1" width="16.57"/>
    <col collapsed="false" customWidth="false" hidden="false" outlineLevel="0" max="11094" min="11092" style="1" width="0.71"/>
    <col collapsed="false" customWidth="true" hidden="false" outlineLevel="0" max="11095" min="11095" style="1" width="9.86"/>
    <col collapsed="false" customWidth="true" hidden="false" outlineLevel="0" max="11098" min="11096" style="1" width="9.29"/>
    <col collapsed="false" customWidth="false" hidden="false" outlineLevel="0" max="11311" min="11099" style="1" width="0.71"/>
    <col collapsed="false" customWidth="true" hidden="false" outlineLevel="0" max="11312" min="11312" style="1" width="3.42"/>
    <col collapsed="false" customWidth="true" hidden="false" outlineLevel="0" max="11313" min="11313" style="1" width="2.42"/>
    <col collapsed="false" customWidth="true" hidden="false" outlineLevel="0" max="11314" min="11314" style="1" width="7"/>
    <col collapsed="false" customWidth="false" hidden="false" outlineLevel="0" max="11315" min="11315" style="1" width="0.71"/>
    <col collapsed="false" customWidth="true" hidden="false" outlineLevel="0" max="11316" min="11316" style="1" width="1.57"/>
    <col collapsed="false" customWidth="false" hidden="false" outlineLevel="0" max="11317" min="11317" style="1" width="0.71"/>
    <col collapsed="false" customWidth="true" hidden="false" outlineLevel="0" max="11318" min="11318" style="1" width="11.29"/>
    <col collapsed="false" customWidth="false" hidden="false" outlineLevel="0" max="11319" min="11319" style="1" width="0.71"/>
    <col collapsed="false" customWidth="true" hidden="false" outlineLevel="0" max="11320" min="11320" style="1" width="1.57"/>
    <col collapsed="false" customWidth="false" hidden="false" outlineLevel="0" max="11325" min="11321" style="1" width="0.71"/>
    <col collapsed="false" customWidth="true" hidden="false" outlineLevel="0" max="11326" min="11326" style="1" width="2.15"/>
    <col collapsed="false" customWidth="false" hidden="false" outlineLevel="0" max="11327" min="11327" style="1" width="0.71"/>
    <col collapsed="false" customWidth="true" hidden="false" outlineLevel="0" max="11328" min="11328" style="1" width="1.57"/>
    <col collapsed="false" customWidth="false" hidden="false" outlineLevel="0" max="11329" min="11329" style="1" width="0.71"/>
    <col collapsed="false" customWidth="true" hidden="false" outlineLevel="0" max="11330" min="11330" style="1" width="7"/>
    <col collapsed="false" customWidth="false" hidden="false" outlineLevel="0" max="11331" min="11331" style="1" width="0.71"/>
    <col collapsed="false" customWidth="true" hidden="false" outlineLevel="0" max="11332" min="11332" style="1" width="4"/>
    <col collapsed="false" customWidth="false" hidden="false" outlineLevel="0" max="11333" min="11333" style="1" width="0.71"/>
    <col collapsed="false" customWidth="true" hidden="false" outlineLevel="0" max="11334" min="11334" style="1" width="1.57"/>
    <col collapsed="false" customWidth="false" hidden="false" outlineLevel="0" max="11335" min="11335" style="1" width="0.71"/>
    <col collapsed="false" customWidth="true" hidden="false" outlineLevel="0" max="11336" min="11336" style="1" width="7"/>
    <col collapsed="false" customWidth="false" hidden="false" outlineLevel="0" max="11339" min="11337" style="1" width="0.71"/>
    <col collapsed="false" customWidth="true" hidden="false" outlineLevel="0" max="11340" min="11340" style="1" width="2.42"/>
    <col collapsed="false" customWidth="false" hidden="false" outlineLevel="0" max="11346" min="11341" style="1" width="0.71"/>
    <col collapsed="false" customWidth="true" hidden="false" outlineLevel="0" max="11347" min="11347" style="1" width="16.57"/>
    <col collapsed="false" customWidth="false" hidden="false" outlineLevel="0" max="11350" min="11348" style="1" width="0.71"/>
    <col collapsed="false" customWidth="true" hidden="false" outlineLevel="0" max="11351" min="11351" style="1" width="9.86"/>
    <col collapsed="false" customWidth="true" hidden="false" outlineLevel="0" max="11354" min="11352" style="1" width="9.29"/>
    <col collapsed="false" customWidth="false" hidden="false" outlineLevel="0" max="11567" min="11355" style="1" width="0.71"/>
    <col collapsed="false" customWidth="true" hidden="false" outlineLevel="0" max="11568" min="11568" style="1" width="3.42"/>
    <col collapsed="false" customWidth="true" hidden="false" outlineLevel="0" max="11569" min="11569" style="1" width="2.42"/>
    <col collapsed="false" customWidth="true" hidden="false" outlineLevel="0" max="11570" min="11570" style="1" width="7"/>
    <col collapsed="false" customWidth="false" hidden="false" outlineLevel="0" max="11571" min="11571" style="1" width="0.71"/>
    <col collapsed="false" customWidth="true" hidden="false" outlineLevel="0" max="11572" min="11572" style="1" width="1.57"/>
    <col collapsed="false" customWidth="false" hidden="false" outlineLevel="0" max="11573" min="11573" style="1" width="0.71"/>
    <col collapsed="false" customWidth="true" hidden="false" outlineLevel="0" max="11574" min="11574" style="1" width="11.29"/>
    <col collapsed="false" customWidth="false" hidden="false" outlineLevel="0" max="11575" min="11575" style="1" width="0.71"/>
    <col collapsed="false" customWidth="true" hidden="false" outlineLevel="0" max="11576" min="11576" style="1" width="1.57"/>
    <col collapsed="false" customWidth="false" hidden="false" outlineLevel="0" max="11581" min="11577" style="1" width="0.71"/>
    <col collapsed="false" customWidth="true" hidden="false" outlineLevel="0" max="11582" min="11582" style="1" width="2.15"/>
    <col collapsed="false" customWidth="false" hidden="false" outlineLevel="0" max="11583" min="11583" style="1" width="0.71"/>
    <col collapsed="false" customWidth="true" hidden="false" outlineLevel="0" max="11584" min="11584" style="1" width="1.57"/>
    <col collapsed="false" customWidth="false" hidden="false" outlineLevel="0" max="11585" min="11585" style="1" width="0.71"/>
    <col collapsed="false" customWidth="true" hidden="false" outlineLevel="0" max="11586" min="11586" style="1" width="7"/>
    <col collapsed="false" customWidth="false" hidden="false" outlineLevel="0" max="11587" min="11587" style="1" width="0.71"/>
    <col collapsed="false" customWidth="true" hidden="false" outlineLevel="0" max="11588" min="11588" style="1" width="4"/>
    <col collapsed="false" customWidth="false" hidden="false" outlineLevel="0" max="11589" min="11589" style="1" width="0.71"/>
    <col collapsed="false" customWidth="true" hidden="false" outlineLevel="0" max="11590" min="11590" style="1" width="1.57"/>
    <col collapsed="false" customWidth="false" hidden="false" outlineLevel="0" max="11591" min="11591" style="1" width="0.71"/>
    <col collapsed="false" customWidth="true" hidden="false" outlineLevel="0" max="11592" min="11592" style="1" width="7"/>
    <col collapsed="false" customWidth="false" hidden="false" outlineLevel="0" max="11595" min="11593" style="1" width="0.71"/>
    <col collapsed="false" customWidth="true" hidden="false" outlineLevel="0" max="11596" min="11596" style="1" width="2.42"/>
    <col collapsed="false" customWidth="false" hidden="false" outlineLevel="0" max="11602" min="11597" style="1" width="0.71"/>
    <col collapsed="false" customWidth="true" hidden="false" outlineLevel="0" max="11603" min="11603" style="1" width="16.57"/>
    <col collapsed="false" customWidth="false" hidden="false" outlineLevel="0" max="11606" min="11604" style="1" width="0.71"/>
    <col collapsed="false" customWidth="true" hidden="false" outlineLevel="0" max="11607" min="11607" style="1" width="9.86"/>
    <col collapsed="false" customWidth="true" hidden="false" outlineLevel="0" max="11610" min="11608" style="1" width="9.29"/>
    <col collapsed="false" customWidth="false" hidden="false" outlineLevel="0" max="11823" min="11611" style="1" width="0.71"/>
    <col collapsed="false" customWidth="true" hidden="false" outlineLevel="0" max="11824" min="11824" style="1" width="3.42"/>
    <col collapsed="false" customWidth="true" hidden="false" outlineLevel="0" max="11825" min="11825" style="1" width="2.42"/>
    <col collapsed="false" customWidth="true" hidden="false" outlineLevel="0" max="11826" min="11826" style="1" width="7"/>
    <col collapsed="false" customWidth="false" hidden="false" outlineLevel="0" max="11827" min="11827" style="1" width="0.71"/>
    <col collapsed="false" customWidth="true" hidden="false" outlineLevel="0" max="11828" min="11828" style="1" width="1.57"/>
    <col collapsed="false" customWidth="false" hidden="false" outlineLevel="0" max="11829" min="11829" style="1" width="0.71"/>
    <col collapsed="false" customWidth="true" hidden="false" outlineLevel="0" max="11830" min="11830" style="1" width="11.29"/>
    <col collapsed="false" customWidth="false" hidden="false" outlineLevel="0" max="11831" min="11831" style="1" width="0.71"/>
    <col collapsed="false" customWidth="true" hidden="false" outlineLevel="0" max="11832" min="11832" style="1" width="1.57"/>
    <col collapsed="false" customWidth="false" hidden="false" outlineLevel="0" max="11837" min="11833" style="1" width="0.71"/>
    <col collapsed="false" customWidth="true" hidden="false" outlineLevel="0" max="11838" min="11838" style="1" width="2.15"/>
    <col collapsed="false" customWidth="false" hidden="false" outlineLevel="0" max="11839" min="11839" style="1" width="0.71"/>
    <col collapsed="false" customWidth="true" hidden="false" outlineLevel="0" max="11840" min="11840" style="1" width="1.57"/>
    <col collapsed="false" customWidth="false" hidden="false" outlineLevel="0" max="11841" min="11841" style="1" width="0.71"/>
    <col collapsed="false" customWidth="true" hidden="false" outlineLevel="0" max="11842" min="11842" style="1" width="7"/>
    <col collapsed="false" customWidth="false" hidden="false" outlineLevel="0" max="11843" min="11843" style="1" width="0.71"/>
    <col collapsed="false" customWidth="true" hidden="false" outlineLevel="0" max="11844" min="11844" style="1" width="4"/>
    <col collapsed="false" customWidth="false" hidden="false" outlineLevel="0" max="11845" min="11845" style="1" width="0.71"/>
    <col collapsed="false" customWidth="true" hidden="false" outlineLevel="0" max="11846" min="11846" style="1" width="1.57"/>
    <col collapsed="false" customWidth="false" hidden="false" outlineLevel="0" max="11847" min="11847" style="1" width="0.71"/>
    <col collapsed="false" customWidth="true" hidden="false" outlineLevel="0" max="11848" min="11848" style="1" width="7"/>
    <col collapsed="false" customWidth="false" hidden="false" outlineLevel="0" max="11851" min="11849" style="1" width="0.71"/>
    <col collapsed="false" customWidth="true" hidden="false" outlineLevel="0" max="11852" min="11852" style="1" width="2.42"/>
    <col collapsed="false" customWidth="false" hidden="false" outlineLevel="0" max="11858" min="11853" style="1" width="0.71"/>
    <col collapsed="false" customWidth="true" hidden="false" outlineLevel="0" max="11859" min="11859" style="1" width="16.57"/>
    <col collapsed="false" customWidth="false" hidden="false" outlineLevel="0" max="11862" min="11860" style="1" width="0.71"/>
    <col collapsed="false" customWidth="true" hidden="false" outlineLevel="0" max="11863" min="11863" style="1" width="9.86"/>
    <col collapsed="false" customWidth="true" hidden="false" outlineLevel="0" max="11866" min="11864" style="1" width="9.29"/>
    <col collapsed="false" customWidth="false" hidden="false" outlineLevel="0" max="12079" min="11867" style="1" width="0.71"/>
    <col collapsed="false" customWidth="true" hidden="false" outlineLevel="0" max="12080" min="12080" style="1" width="3.42"/>
    <col collapsed="false" customWidth="true" hidden="false" outlineLevel="0" max="12081" min="12081" style="1" width="2.42"/>
    <col collapsed="false" customWidth="true" hidden="false" outlineLevel="0" max="12082" min="12082" style="1" width="7"/>
    <col collapsed="false" customWidth="false" hidden="false" outlineLevel="0" max="12083" min="12083" style="1" width="0.71"/>
    <col collapsed="false" customWidth="true" hidden="false" outlineLevel="0" max="12084" min="12084" style="1" width="1.57"/>
    <col collapsed="false" customWidth="false" hidden="false" outlineLevel="0" max="12085" min="12085" style="1" width="0.71"/>
    <col collapsed="false" customWidth="true" hidden="false" outlineLevel="0" max="12086" min="12086" style="1" width="11.29"/>
    <col collapsed="false" customWidth="false" hidden="false" outlineLevel="0" max="12087" min="12087" style="1" width="0.71"/>
    <col collapsed="false" customWidth="true" hidden="false" outlineLevel="0" max="12088" min="12088" style="1" width="1.57"/>
    <col collapsed="false" customWidth="false" hidden="false" outlineLevel="0" max="12093" min="12089" style="1" width="0.71"/>
    <col collapsed="false" customWidth="true" hidden="false" outlineLevel="0" max="12094" min="12094" style="1" width="2.15"/>
    <col collapsed="false" customWidth="false" hidden="false" outlineLevel="0" max="12095" min="12095" style="1" width="0.71"/>
    <col collapsed="false" customWidth="true" hidden="false" outlineLevel="0" max="12096" min="12096" style="1" width="1.57"/>
    <col collapsed="false" customWidth="false" hidden="false" outlineLevel="0" max="12097" min="12097" style="1" width="0.71"/>
    <col collapsed="false" customWidth="true" hidden="false" outlineLevel="0" max="12098" min="12098" style="1" width="7"/>
    <col collapsed="false" customWidth="false" hidden="false" outlineLevel="0" max="12099" min="12099" style="1" width="0.71"/>
    <col collapsed="false" customWidth="true" hidden="false" outlineLevel="0" max="12100" min="12100" style="1" width="4"/>
    <col collapsed="false" customWidth="false" hidden="false" outlineLevel="0" max="12101" min="12101" style="1" width="0.71"/>
    <col collapsed="false" customWidth="true" hidden="false" outlineLevel="0" max="12102" min="12102" style="1" width="1.57"/>
    <col collapsed="false" customWidth="false" hidden="false" outlineLevel="0" max="12103" min="12103" style="1" width="0.71"/>
    <col collapsed="false" customWidth="true" hidden="false" outlineLevel="0" max="12104" min="12104" style="1" width="7"/>
    <col collapsed="false" customWidth="false" hidden="false" outlineLevel="0" max="12107" min="12105" style="1" width="0.71"/>
    <col collapsed="false" customWidth="true" hidden="false" outlineLevel="0" max="12108" min="12108" style="1" width="2.42"/>
    <col collapsed="false" customWidth="false" hidden="false" outlineLevel="0" max="12114" min="12109" style="1" width="0.71"/>
    <col collapsed="false" customWidth="true" hidden="false" outlineLevel="0" max="12115" min="12115" style="1" width="16.57"/>
    <col collapsed="false" customWidth="false" hidden="false" outlineLevel="0" max="12118" min="12116" style="1" width="0.71"/>
    <col collapsed="false" customWidth="true" hidden="false" outlineLevel="0" max="12119" min="12119" style="1" width="9.86"/>
    <col collapsed="false" customWidth="true" hidden="false" outlineLevel="0" max="12122" min="12120" style="1" width="9.29"/>
    <col collapsed="false" customWidth="false" hidden="false" outlineLevel="0" max="12335" min="12123" style="1" width="0.71"/>
    <col collapsed="false" customWidth="true" hidden="false" outlineLevel="0" max="12336" min="12336" style="1" width="3.42"/>
    <col collapsed="false" customWidth="true" hidden="false" outlineLevel="0" max="12337" min="12337" style="1" width="2.42"/>
    <col collapsed="false" customWidth="true" hidden="false" outlineLevel="0" max="12338" min="12338" style="1" width="7"/>
    <col collapsed="false" customWidth="false" hidden="false" outlineLevel="0" max="12339" min="12339" style="1" width="0.71"/>
    <col collapsed="false" customWidth="true" hidden="false" outlineLevel="0" max="12340" min="12340" style="1" width="1.57"/>
    <col collapsed="false" customWidth="false" hidden="false" outlineLevel="0" max="12341" min="12341" style="1" width="0.71"/>
    <col collapsed="false" customWidth="true" hidden="false" outlineLevel="0" max="12342" min="12342" style="1" width="11.29"/>
    <col collapsed="false" customWidth="false" hidden="false" outlineLevel="0" max="12343" min="12343" style="1" width="0.71"/>
    <col collapsed="false" customWidth="true" hidden="false" outlineLevel="0" max="12344" min="12344" style="1" width="1.57"/>
    <col collapsed="false" customWidth="false" hidden="false" outlineLevel="0" max="12349" min="12345" style="1" width="0.71"/>
    <col collapsed="false" customWidth="true" hidden="false" outlineLevel="0" max="12350" min="12350" style="1" width="2.15"/>
    <col collapsed="false" customWidth="false" hidden="false" outlineLevel="0" max="12351" min="12351" style="1" width="0.71"/>
    <col collapsed="false" customWidth="true" hidden="false" outlineLevel="0" max="12352" min="12352" style="1" width="1.57"/>
    <col collapsed="false" customWidth="false" hidden="false" outlineLevel="0" max="12353" min="12353" style="1" width="0.71"/>
    <col collapsed="false" customWidth="true" hidden="false" outlineLevel="0" max="12354" min="12354" style="1" width="7"/>
    <col collapsed="false" customWidth="false" hidden="false" outlineLevel="0" max="12355" min="12355" style="1" width="0.71"/>
    <col collapsed="false" customWidth="true" hidden="false" outlineLevel="0" max="12356" min="12356" style="1" width="4"/>
    <col collapsed="false" customWidth="false" hidden="false" outlineLevel="0" max="12357" min="12357" style="1" width="0.71"/>
    <col collapsed="false" customWidth="true" hidden="false" outlineLevel="0" max="12358" min="12358" style="1" width="1.57"/>
    <col collapsed="false" customWidth="false" hidden="false" outlineLevel="0" max="12359" min="12359" style="1" width="0.71"/>
    <col collapsed="false" customWidth="true" hidden="false" outlineLevel="0" max="12360" min="12360" style="1" width="7"/>
    <col collapsed="false" customWidth="false" hidden="false" outlineLevel="0" max="12363" min="12361" style="1" width="0.71"/>
    <col collapsed="false" customWidth="true" hidden="false" outlineLevel="0" max="12364" min="12364" style="1" width="2.42"/>
    <col collapsed="false" customWidth="false" hidden="false" outlineLevel="0" max="12370" min="12365" style="1" width="0.71"/>
    <col collapsed="false" customWidth="true" hidden="false" outlineLevel="0" max="12371" min="12371" style="1" width="16.57"/>
    <col collapsed="false" customWidth="false" hidden="false" outlineLevel="0" max="12374" min="12372" style="1" width="0.71"/>
    <col collapsed="false" customWidth="true" hidden="false" outlineLevel="0" max="12375" min="12375" style="1" width="9.86"/>
    <col collapsed="false" customWidth="true" hidden="false" outlineLevel="0" max="12378" min="12376" style="1" width="9.29"/>
    <col collapsed="false" customWidth="false" hidden="false" outlineLevel="0" max="12591" min="12379" style="1" width="0.71"/>
    <col collapsed="false" customWidth="true" hidden="false" outlineLevel="0" max="12592" min="12592" style="1" width="3.42"/>
    <col collapsed="false" customWidth="true" hidden="false" outlineLevel="0" max="12593" min="12593" style="1" width="2.42"/>
    <col collapsed="false" customWidth="true" hidden="false" outlineLevel="0" max="12594" min="12594" style="1" width="7"/>
    <col collapsed="false" customWidth="false" hidden="false" outlineLevel="0" max="12595" min="12595" style="1" width="0.71"/>
    <col collapsed="false" customWidth="true" hidden="false" outlineLevel="0" max="12596" min="12596" style="1" width="1.57"/>
    <col collapsed="false" customWidth="false" hidden="false" outlineLevel="0" max="12597" min="12597" style="1" width="0.71"/>
    <col collapsed="false" customWidth="true" hidden="false" outlineLevel="0" max="12598" min="12598" style="1" width="11.29"/>
    <col collapsed="false" customWidth="false" hidden="false" outlineLevel="0" max="12599" min="12599" style="1" width="0.71"/>
    <col collapsed="false" customWidth="true" hidden="false" outlineLevel="0" max="12600" min="12600" style="1" width="1.57"/>
    <col collapsed="false" customWidth="false" hidden="false" outlineLevel="0" max="12605" min="12601" style="1" width="0.71"/>
    <col collapsed="false" customWidth="true" hidden="false" outlineLevel="0" max="12606" min="12606" style="1" width="2.15"/>
    <col collapsed="false" customWidth="false" hidden="false" outlineLevel="0" max="12607" min="12607" style="1" width="0.71"/>
    <col collapsed="false" customWidth="true" hidden="false" outlineLevel="0" max="12608" min="12608" style="1" width="1.57"/>
    <col collapsed="false" customWidth="false" hidden="false" outlineLevel="0" max="12609" min="12609" style="1" width="0.71"/>
    <col collapsed="false" customWidth="true" hidden="false" outlineLevel="0" max="12610" min="12610" style="1" width="7"/>
    <col collapsed="false" customWidth="false" hidden="false" outlineLevel="0" max="12611" min="12611" style="1" width="0.71"/>
    <col collapsed="false" customWidth="true" hidden="false" outlineLevel="0" max="12612" min="12612" style="1" width="4"/>
    <col collapsed="false" customWidth="false" hidden="false" outlineLevel="0" max="12613" min="12613" style="1" width="0.71"/>
    <col collapsed="false" customWidth="true" hidden="false" outlineLevel="0" max="12614" min="12614" style="1" width="1.57"/>
    <col collapsed="false" customWidth="false" hidden="false" outlineLevel="0" max="12615" min="12615" style="1" width="0.71"/>
    <col collapsed="false" customWidth="true" hidden="false" outlineLevel="0" max="12616" min="12616" style="1" width="7"/>
    <col collapsed="false" customWidth="false" hidden="false" outlineLevel="0" max="12619" min="12617" style="1" width="0.71"/>
    <col collapsed="false" customWidth="true" hidden="false" outlineLevel="0" max="12620" min="12620" style="1" width="2.42"/>
    <col collapsed="false" customWidth="false" hidden="false" outlineLevel="0" max="12626" min="12621" style="1" width="0.71"/>
    <col collapsed="false" customWidth="true" hidden="false" outlineLevel="0" max="12627" min="12627" style="1" width="16.57"/>
    <col collapsed="false" customWidth="false" hidden="false" outlineLevel="0" max="12630" min="12628" style="1" width="0.71"/>
    <col collapsed="false" customWidth="true" hidden="false" outlineLevel="0" max="12631" min="12631" style="1" width="9.86"/>
    <col collapsed="false" customWidth="true" hidden="false" outlineLevel="0" max="12634" min="12632" style="1" width="9.29"/>
    <col collapsed="false" customWidth="false" hidden="false" outlineLevel="0" max="12847" min="12635" style="1" width="0.71"/>
    <col collapsed="false" customWidth="true" hidden="false" outlineLevel="0" max="12848" min="12848" style="1" width="3.42"/>
    <col collapsed="false" customWidth="true" hidden="false" outlineLevel="0" max="12849" min="12849" style="1" width="2.42"/>
    <col collapsed="false" customWidth="true" hidden="false" outlineLevel="0" max="12850" min="12850" style="1" width="7"/>
    <col collapsed="false" customWidth="false" hidden="false" outlineLevel="0" max="12851" min="12851" style="1" width="0.71"/>
    <col collapsed="false" customWidth="true" hidden="false" outlineLevel="0" max="12852" min="12852" style="1" width="1.57"/>
    <col collapsed="false" customWidth="false" hidden="false" outlineLevel="0" max="12853" min="12853" style="1" width="0.71"/>
    <col collapsed="false" customWidth="true" hidden="false" outlineLevel="0" max="12854" min="12854" style="1" width="11.29"/>
    <col collapsed="false" customWidth="false" hidden="false" outlineLevel="0" max="12855" min="12855" style="1" width="0.71"/>
    <col collapsed="false" customWidth="true" hidden="false" outlineLevel="0" max="12856" min="12856" style="1" width="1.57"/>
    <col collapsed="false" customWidth="false" hidden="false" outlineLevel="0" max="12861" min="12857" style="1" width="0.71"/>
    <col collapsed="false" customWidth="true" hidden="false" outlineLevel="0" max="12862" min="12862" style="1" width="2.15"/>
    <col collapsed="false" customWidth="false" hidden="false" outlineLevel="0" max="12863" min="12863" style="1" width="0.71"/>
    <col collapsed="false" customWidth="true" hidden="false" outlineLevel="0" max="12864" min="12864" style="1" width="1.57"/>
    <col collapsed="false" customWidth="false" hidden="false" outlineLevel="0" max="12865" min="12865" style="1" width="0.71"/>
    <col collapsed="false" customWidth="true" hidden="false" outlineLevel="0" max="12866" min="12866" style="1" width="7"/>
    <col collapsed="false" customWidth="false" hidden="false" outlineLevel="0" max="12867" min="12867" style="1" width="0.71"/>
    <col collapsed="false" customWidth="true" hidden="false" outlineLevel="0" max="12868" min="12868" style="1" width="4"/>
    <col collapsed="false" customWidth="false" hidden="false" outlineLevel="0" max="12869" min="12869" style="1" width="0.71"/>
    <col collapsed="false" customWidth="true" hidden="false" outlineLevel="0" max="12870" min="12870" style="1" width="1.57"/>
    <col collapsed="false" customWidth="false" hidden="false" outlineLevel="0" max="12871" min="12871" style="1" width="0.71"/>
    <col collapsed="false" customWidth="true" hidden="false" outlineLevel="0" max="12872" min="12872" style="1" width="7"/>
    <col collapsed="false" customWidth="false" hidden="false" outlineLevel="0" max="12875" min="12873" style="1" width="0.71"/>
    <col collapsed="false" customWidth="true" hidden="false" outlineLevel="0" max="12876" min="12876" style="1" width="2.42"/>
    <col collapsed="false" customWidth="false" hidden="false" outlineLevel="0" max="12882" min="12877" style="1" width="0.71"/>
    <col collapsed="false" customWidth="true" hidden="false" outlineLevel="0" max="12883" min="12883" style="1" width="16.57"/>
    <col collapsed="false" customWidth="false" hidden="false" outlineLevel="0" max="12886" min="12884" style="1" width="0.71"/>
    <col collapsed="false" customWidth="true" hidden="false" outlineLevel="0" max="12887" min="12887" style="1" width="9.86"/>
    <col collapsed="false" customWidth="true" hidden="false" outlineLevel="0" max="12890" min="12888" style="1" width="9.29"/>
    <col collapsed="false" customWidth="false" hidden="false" outlineLevel="0" max="13103" min="12891" style="1" width="0.71"/>
    <col collapsed="false" customWidth="true" hidden="false" outlineLevel="0" max="13104" min="13104" style="1" width="3.42"/>
    <col collapsed="false" customWidth="true" hidden="false" outlineLevel="0" max="13105" min="13105" style="1" width="2.42"/>
    <col collapsed="false" customWidth="true" hidden="false" outlineLevel="0" max="13106" min="13106" style="1" width="7"/>
    <col collapsed="false" customWidth="false" hidden="false" outlineLevel="0" max="13107" min="13107" style="1" width="0.71"/>
    <col collapsed="false" customWidth="true" hidden="false" outlineLevel="0" max="13108" min="13108" style="1" width="1.57"/>
    <col collapsed="false" customWidth="false" hidden="false" outlineLevel="0" max="13109" min="13109" style="1" width="0.71"/>
    <col collapsed="false" customWidth="true" hidden="false" outlineLevel="0" max="13110" min="13110" style="1" width="11.29"/>
    <col collapsed="false" customWidth="false" hidden="false" outlineLevel="0" max="13111" min="13111" style="1" width="0.71"/>
    <col collapsed="false" customWidth="true" hidden="false" outlineLevel="0" max="13112" min="13112" style="1" width="1.57"/>
    <col collapsed="false" customWidth="false" hidden="false" outlineLevel="0" max="13117" min="13113" style="1" width="0.71"/>
    <col collapsed="false" customWidth="true" hidden="false" outlineLevel="0" max="13118" min="13118" style="1" width="2.15"/>
    <col collapsed="false" customWidth="false" hidden="false" outlineLevel="0" max="13119" min="13119" style="1" width="0.71"/>
    <col collapsed="false" customWidth="true" hidden="false" outlineLevel="0" max="13120" min="13120" style="1" width="1.57"/>
    <col collapsed="false" customWidth="false" hidden="false" outlineLevel="0" max="13121" min="13121" style="1" width="0.71"/>
    <col collapsed="false" customWidth="true" hidden="false" outlineLevel="0" max="13122" min="13122" style="1" width="7"/>
    <col collapsed="false" customWidth="false" hidden="false" outlineLevel="0" max="13123" min="13123" style="1" width="0.71"/>
    <col collapsed="false" customWidth="true" hidden="false" outlineLevel="0" max="13124" min="13124" style="1" width="4"/>
    <col collapsed="false" customWidth="false" hidden="false" outlineLevel="0" max="13125" min="13125" style="1" width="0.71"/>
    <col collapsed="false" customWidth="true" hidden="false" outlineLevel="0" max="13126" min="13126" style="1" width="1.57"/>
    <col collapsed="false" customWidth="false" hidden="false" outlineLevel="0" max="13127" min="13127" style="1" width="0.71"/>
    <col collapsed="false" customWidth="true" hidden="false" outlineLevel="0" max="13128" min="13128" style="1" width="7"/>
    <col collapsed="false" customWidth="false" hidden="false" outlineLevel="0" max="13131" min="13129" style="1" width="0.71"/>
    <col collapsed="false" customWidth="true" hidden="false" outlineLevel="0" max="13132" min="13132" style="1" width="2.42"/>
    <col collapsed="false" customWidth="false" hidden="false" outlineLevel="0" max="13138" min="13133" style="1" width="0.71"/>
    <col collapsed="false" customWidth="true" hidden="false" outlineLevel="0" max="13139" min="13139" style="1" width="16.57"/>
    <col collapsed="false" customWidth="false" hidden="false" outlineLevel="0" max="13142" min="13140" style="1" width="0.71"/>
    <col collapsed="false" customWidth="true" hidden="false" outlineLevel="0" max="13143" min="13143" style="1" width="9.86"/>
    <col collapsed="false" customWidth="true" hidden="false" outlineLevel="0" max="13146" min="13144" style="1" width="9.29"/>
    <col collapsed="false" customWidth="false" hidden="false" outlineLevel="0" max="13359" min="13147" style="1" width="0.71"/>
    <col collapsed="false" customWidth="true" hidden="false" outlineLevel="0" max="13360" min="13360" style="1" width="3.42"/>
    <col collapsed="false" customWidth="true" hidden="false" outlineLevel="0" max="13361" min="13361" style="1" width="2.42"/>
    <col collapsed="false" customWidth="true" hidden="false" outlineLevel="0" max="13362" min="13362" style="1" width="7"/>
    <col collapsed="false" customWidth="false" hidden="false" outlineLevel="0" max="13363" min="13363" style="1" width="0.71"/>
    <col collapsed="false" customWidth="true" hidden="false" outlineLevel="0" max="13364" min="13364" style="1" width="1.57"/>
    <col collapsed="false" customWidth="false" hidden="false" outlineLevel="0" max="13365" min="13365" style="1" width="0.71"/>
    <col collapsed="false" customWidth="true" hidden="false" outlineLevel="0" max="13366" min="13366" style="1" width="11.29"/>
    <col collapsed="false" customWidth="false" hidden="false" outlineLevel="0" max="13367" min="13367" style="1" width="0.71"/>
    <col collapsed="false" customWidth="true" hidden="false" outlineLevel="0" max="13368" min="13368" style="1" width="1.57"/>
    <col collapsed="false" customWidth="false" hidden="false" outlineLevel="0" max="13373" min="13369" style="1" width="0.71"/>
    <col collapsed="false" customWidth="true" hidden="false" outlineLevel="0" max="13374" min="13374" style="1" width="2.15"/>
    <col collapsed="false" customWidth="false" hidden="false" outlineLevel="0" max="13375" min="13375" style="1" width="0.71"/>
    <col collapsed="false" customWidth="true" hidden="false" outlineLevel="0" max="13376" min="13376" style="1" width="1.57"/>
    <col collapsed="false" customWidth="false" hidden="false" outlineLevel="0" max="13377" min="13377" style="1" width="0.71"/>
    <col collapsed="false" customWidth="true" hidden="false" outlineLevel="0" max="13378" min="13378" style="1" width="7"/>
    <col collapsed="false" customWidth="false" hidden="false" outlineLevel="0" max="13379" min="13379" style="1" width="0.71"/>
    <col collapsed="false" customWidth="true" hidden="false" outlineLevel="0" max="13380" min="13380" style="1" width="4"/>
    <col collapsed="false" customWidth="false" hidden="false" outlineLevel="0" max="13381" min="13381" style="1" width="0.71"/>
    <col collapsed="false" customWidth="true" hidden="false" outlineLevel="0" max="13382" min="13382" style="1" width="1.57"/>
    <col collapsed="false" customWidth="false" hidden="false" outlineLevel="0" max="13383" min="13383" style="1" width="0.71"/>
    <col collapsed="false" customWidth="true" hidden="false" outlineLevel="0" max="13384" min="13384" style="1" width="7"/>
    <col collapsed="false" customWidth="false" hidden="false" outlineLevel="0" max="13387" min="13385" style="1" width="0.71"/>
    <col collapsed="false" customWidth="true" hidden="false" outlineLevel="0" max="13388" min="13388" style="1" width="2.42"/>
    <col collapsed="false" customWidth="false" hidden="false" outlineLevel="0" max="13394" min="13389" style="1" width="0.71"/>
    <col collapsed="false" customWidth="true" hidden="false" outlineLevel="0" max="13395" min="13395" style="1" width="16.57"/>
    <col collapsed="false" customWidth="false" hidden="false" outlineLevel="0" max="13398" min="13396" style="1" width="0.71"/>
    <col collapsed="false" customWidth="true" hidden="false" outlineLevel="0" max="13399" min="13399" style="1" width="9.86"/>
    <col collapsed="false" customWidth="true" hidden="false" outlineLevel="0" max="13402" min="13400" style="1" width="9.29"/>
    <col collapsed="false" customWidth="false" hidden="false" outlineLevel="0" max="13615" min="13403" style="1" width="0.71"/>
    <col collapsed="false" customWidth="true" hidden="false" outlineLevel="0" max="13616" min="13616" style="1" width="3.42"/>
    <col collapsed="false" customWidth="true" hidden="false" outlineLevel="0" max="13617" min="13617" style="1" width="2.42"/>
    <col collapsed="false" customWidth="true" hidden="false" outlineLevel="0" max="13618" min="13618" style="1" width="7"/>
    <col collapsed="false" customWidth="false" hidden="false" outlineLevel="0" max="13619" min="13619" style="1" width="0.71"/>
    <col collapsed="false" customWidth="true" hidden="false" outlineLevel="0" max="13620" min="13620" style="1" width="1.57"/>
    <col collapsed="false" customWidth="false" hidden="false" outlineLevel="0" max="13621" min="13621" style="1" width="0.71"/>
    <col collapsed="false" customWidth="true" hidden="false" outlineLevel="0" max="13622" min="13622" style="1" width="11.29"/>
    <col collapsed="false" customWidth="false" hidden="false" outlineLevel="0" max="13623" min="13623" style="1" width="0.71"/>
    <col collapsed="false" customWidth="true" hidden="false" outlineLevel="0" max="13624" min="13624" style="1" width="1.57"/>
    <col collapsed="false" customWidth="false" hidden="false" outlineLevel="0" max="13629" min="13625" style="1" width="0.71"/>
    <col collapsed="false" customWidth="true" hidden="false" outlineLevel="0" max="13630" min="13630" style="1" width="2.15"/>
    <col collapsed="false" customWidth="false" hidden="false" outlineLevel="0" max="13631" min="13631" style="1" width="0.71"/>
    <col collapsed="false" customWidth="true" hidden="false" outlineLevel="0" max="13632" min="13632" style="1" width="1.57"/>
    <col collapsed="false" customWidth="false" hidden="false" outlineLevel="0" max="13633" min="13633" style="1" width="0.71"/>
    <col collapsed="false" customWidth="true" hidden="false" outlineLevel="0" max="13634" min="13634" style="1" width="7"/>
    <col collapsed="false" customWidth="false" hidden="false" outlineLevel="0" max="13635" min="13635" style="1" width="0.71"/>
    <col collapsed="false" customWidth="true" hidden="false" outlineLevel="0" max="13636" min="13636" style="1" width="4"/>
    <col collapsed="false" customWidth="false" hidden="false" outlineLevel="0" max="13637" min="13637" style="1" width="0.71"/>
    <col collapsed="false" customWidth="true" hidden="false" outlineLevel="0" max="13638" min="13638" style="1" width="1.57"/>
    <col collapsed="false" customWidth="false" hidden="false" outlineLevel="0" max="13639" min="13639" style="1" width="0.71"/>
    <col collapsed="false" customWidth="true" hidden="false" outlineLevel="0" max="13640" min="13640" style="1" width="7"/>
    <col collapsed="false" customWidth="false" hidden="false" outlineLevel="0" max="13643" min="13641" style="1" width="0.71"/>
    <col collapsed="false" customWidth="true" hidden="false" outlineLevel="0" max="13644" min="13644" style="1" width="2.42"/>
    <col collapsed="false" customWidth="false" hidden="false" outlineLevel="0" max="13650" min="13645" style="1" width="0.71"/>
    <col collapsed="false" customWidth="true" hidden="false" outlineLevel="0" max="13651" min="13651" style="1" width="16.57"/>
    <col collapsed="false" customWidth="false" hidden="false" outlineLevel="0" max="13654" min="13652" style="1" width="0.71"/>
    <col collapsed="false" customWidth="true" hidden="false" outlineLevel="0" max="13655" min="13655" style="1" width="9.86"/>
    <col collapsed="false" customWidth="true" hidden="false" outlineLevel="0" max="13658" min="13656" style="1" width="9.29"/>
    <col collapsed="false" customWidth="false" hidden="false" outlineLevel="0" max="13871" min="13659" style="1" width="0.71"/>
    <col collapsed="false" customWidth="true" hidden="false" outlineLevel="0" max="13872" min="13872" style="1" width="3.42"/>
    <col collapsed="false" customWidth="true" hidden="false" outlineLevel="0" max="13873" min="13873" style="1" width="2.42"/>
    <col collapsed="false" customWidth="true" hidden="false" outlineLevel="0" max="13874" min="13874" style="1" width="7"/>
    <col collapsed="false" customWidth="false" hidden="false" outlineLevel="0" max="13875" min="13875" style="1" width="0.71"/>
    <col collapsed="false" customWidth="true" hidden="false" outlineLevel="0" max="13876" min="13876" style="1" width="1.57"/>
    <col collapsed="false" customWidth="false" hidden="false" outlineLevel="0" max="13877" min="13877" style="1" width="0.71"/>
    <col collapsed="false" customWidth="true" hidden="false" outlineLevel="0" max="13878" min="13878" style="1" width="11.29"/>
    <col collapsed="false" customWidth="false" hidden="false" outlineLevel="0" max="13879" min="13879" style="1" width="0.71"/>
    <col collapsed="false" customWidth="true" hidden="false" outlineLevel="0" max="13880" min="13880" style="1" width="1.57"/>
    <col collapsed="false" customWidth="false" hidden="false" outlineLevel="0" max="13885" min="13881" style="1" width="0.71"/>
    <col collapsed="false" customWidth="true" hidden="false" outlineLevel="0" max="13886" min="13886" style="1" width="2.15"/>
    <col collapsed="false" customWidth="false" hidden="false" outlineLevel="0" max="13887" min="13887" style="1" width="0.71"/>
    <col collapsed="false" customWidth="true" hidden="false" outlineLevel="0" max="13888" min="13888" style="1" width="1.57"/>
    <col collapsed="false" customWidth="false" hidden="false" outlineLevel="0" max="13889" min="13889" style="1" width="0.71"/>
    <col collapsed="false" customWidth="true" hidden="false" outlineLevel="0" max="13890" min="13890" style="1" width="7"/>
    <col collapsed="false" customWidth="false" hidden="false" outlineLevel="0" max="13891" min="13891" style="1" width="0.71"/>
    <col collapsed="false" customWidth="true" hidden="false" outlineLevel="0" max="13892" min="13892" style="1" width="4"/>
    <col collapsed="false" customWidth="false" hidden="false" outlineLevel="0" max="13893" min="13893" style="1" width="0.71"/>
    <col collapsed="false" customWidth="true" hidden="false" outlineLevel="0" max="13894" min="13894" style="1" width="1.57"/>
    <col collapsed="false" customWidth="false" hidden="false" outlineLevel="0" max="13895" min="13895" style="1" width="0.71"/>
    <col collapsed="false" customWidth="true" hidden="false" outlineLevel="0" max="13896" min="13896" style="1" width="7"/>
    <col collapsed="false" customWidth="false" hidden="false" outlineLevel="0" max="13899" min="13897" style="1" width="0.71"/>
    <col collapsed="false" customWidth="true" hidden="false" outlineLevel="0" max="13900" min="13900" style="1" width="2.42"/>
    <col collapsed="false" customWidth="false" hidden="false" outlineLevel="0" max="13906" min="13901" style="1" width="0.71"/>
    <col collapsed="false" customWidth="true" hidden="false" outlineLevel="0" max="13907" min="13907" style="1" width="16.57"/>
    <col collapsed="false" customWidth="false" hidden="false" outlineLevel="0" max="13910" min="13908" style="1" width="0.71"/>
    <col collapsed="false" customWidth="true" hidden="false" outlineLevel="0" max="13911" min="13911" style="1" width="9.86"/>
    <col collapsed="false" customWidth="true" hidden="false" outlineLevel="0" max="13914" min="13912" style="1" width="9.29"/>
    <col collapsed="false" customWidth="false" hidden="false" outlineLevel="0" max="14127" min="13915" style="1" width="0.71"/>
    <col collapsed="false" customWidth="true" hidden="false" outlineLevel="0" max="14128" min="14128" style="1" width="3.42"/>
    <col collapsed="false" customWidth="true" hidden="false" outlineLevel="0" max="14129" min="14129" style="1" width="2.42"/>
    <col collapsed="false" customWidth="true" hidden="false" outlineLevel="0" max="14130" min="14130" style="1" width="7"/>
    <col collapsed="false" customWidth="false" hidden="false" outlineLevel="0" max="14131" min="14131" style="1" width="0.71"/>
    <col collapsed="false" customWidth="true" hidden="false" outlineLevel="0" max="14132" min="14132" style="1" width="1.57"/>
    <col collapsed="false" customWidth="false" hidden="false" outlineLevel="0" max="14133" min="14133" style="1" width="0.71"/>
    <col collapsed="false" customWidth="true" hidden="false" outlineLevel="0" max="14134" min="14134" style="1" width="11.29"/>
    <col collapsed="false" customWidth="false" hidden="false" outlineLevel="0" max="14135" min="14135" style="1" width="0.71"/>
    <col collapsed="false" customWidth="true" hidden="false" outlineLevel="0" max="14136" min="14136" style="1" width="1.57"/>
    <col collapsed="false" customWidth="false" hidden="false" outlineLevel="0" max="14141" min="14137" style="1" width="0.71"/>
    <col collapsed="false" customWidth="true" hidden="false" outlineLevel="0" max="14142" min="14142" style="1" width="2.15"/>
    <col collapsed="false" customWidth="false" hidden="false" outlineLevel="0" max="14143" min="14143" style="1" width="0.71"/>
    <col collapsed="false" customWidth="true" hidden="false" outlineLevel="0" max="14144" min="14144" style="1" width="1.57"/>
    <col collapsed="false" customWidth="false" hidden="false" outlineLevel="0" max="14145" min="14145" style="1" width="0.71"/>
    <col collapsed="false" customWidth="true" hidden="false" outlineLevel="0" max="14146" min="14146" style="1" width="7"/>
    <col collapsed="false" customWidth="false" hidden="false" outlineLevel="0" max="14147" min="14147" style="1" width="0.71"/>
    <col collapsed="false" customWidth="true" hidden="false" outlineLevel="0" max="14148" min="14148" style="1" width="4"/>
    <col collapsed="false" customWidth="false" hidden="false" outlineLevel="0" max="14149" min="14149" style="1" width="0.71"/>
    <col collapsed="false" customWidth="true" hidden="false" outlineLevel="0" max="14150" min="14150" style="1" width="1.57"/>
    <col collapsed="false" customWidth="false" hidden="false" outlineLevel="0" max="14151" min="14151" style="1" width="0.71"/>
    <col collapsed="false" customWidth="true" hidden="false" outlineLevel="0" max="14152" min="14152" style="1" width="7"/>
    <col collapsed="false" customWidth="false" hidden="false" outlineLevel="0" max="14155" min="14153" style="1" width="0.71"/>
    <col collapsed="false" customWidth="true" hidden="false" outlineLevel="0" max="14156" min="14156" style="1" width="2.42"/>
    <col collapsed="false" customWidth="false" hidden="false" outlineLevel="0" max="14162" min="14157" style="1" width="0.71"/>
    <col collapsed="false" customWidth="true" hidden="false" outlineLevel="0" max="14163" min="14163" style="1" width="16.57"/>
    <col collapsed="false" customWidth="false" hidden="false" outlineLevel="0" max="14166" min="14164" style="1" width="0.71"/>
    <col collapsed="false" customWidth="true" hidden="false" outlineLevel="0" max="14167" min="14167" style="1" width="9.86"/>
    <col collapsed="false" customWidth="true" hidden="false" outlineLevel="0" max="14170" min="14168" style="1" width="9.29"/>
    <col collapsed="false" customWidth="false" hidden="false" outlineLevel="0" max="14383" min="14171" style="1" width="0.71"/>
    <col collapsed="false" customWidth="true" hidden="false" outlineLevel="0" max="14384" min="14384" style="1" width="3.42"/>
    <col collapsed="false" customWidth="true" hidden="false" outlineLevel="0" max="14385" min="14385" style="1" width="2.42"/>
    <col collapsed="false" customWidth="true" hidden="false" outlineLevel="0" max="14386" min="14386" style="1" width="7"/>
    <col collapsed="false" customWidth="false" hidden="false" outlineLevel="0" max="14387" min="14387" style="1" width="0.71"/>
    <col collapsed="false" customWidth="true" hidden="false" outlineLevel="0" max="14388" min="14388" style="1" width="1.57"/>
    <col collapsed="false" customWidth="false" hidden="false" outlineLevel="0" max="14389" min="14389" style="1" width="0.71"/>
    <col collapsed="false" customWidth="true" hidden="false" outlineLevel="0" max="14390" min="14390" style="1" width="11.29"/>
    <col collapsed="false" customWidth="false" hidden="false" outlineLevel="0" max="14391" min="14391" style="1" width="0.71"/>
    <col collapsed="false" customWidth="true" hidden="false" outlineLevel="0" max="14392" min="14392" style="1" width="1.57"/>
    <col collapsed="false" customWidth="false" hidden="false" outlineLevel="0" max="14397" min="14393" style="1" width="0.71"/>
    <col collapsed="false" customWidth="true" hidden="false" outlineLevel="0" max="14398" min="14398" style="1" width="2.15"/>
    <col collapsed="false" customWidth="false" hidden="false" outlineLevel="0" max="14399" min="14399" style="1" width="0.71"/>
    <col collapsed="false" customWidth="true" hidden="false" outlineLevel="0" max="14400" min="14400" style="1" width="1.57"/>
    <col collapsed="false" customWidth="false" hidden="false" outlineLevel="0" max="14401" min="14401" style="1" width="0.71"/>
    <col collapsed="false" customWidth="true" hidden="false" outlineLevel="0" max="14402" min="14402" style="1" width="7"/>
    <col collapsed="false" customWidth="false" hidden="false" outlineLevel="0" max="14403" min="14403" style="1" width="0.71"/>
    <col collapsed="false" customWidth="true" hidden="false" outlineLevel="0" max="14404" min="14404" style="1" width="4"/>
    <col collapsed="false" customWidth="false" hidden="false" outlineLevel="0" max="14405" min="14405" style="1" width="0.71"/>
    <col collapsed="false" customWidth="true" hidden="false" outlineLevel="0" max="14406" min="14406" style="1" width="1.57"/>
    <col collapsed="false" customWidth="false" hidden="false" outlineLevel="0" max="14407" min="14407" style="1" width="0.71"/>
    <col collapsed="false" customWidth="true" hidden="false" outlineLevel="0" max="14408" min="14408" style="1" width="7"/>
    <col collapsed="false" customWidth="false" hidden="false" outlineLevel="0" max="14411" min="14409" style="1" width="0.71"/>
    <col collapsed="false" customWidth="true" hidden="false" outlineLevel="0" max="14412" min="14412" style="1" width="2.42"/>
    <col collapsed="false" customWidth="false" hidden="false" outlineLevel="0" max="14418" min="14413" style="1" width="0.71"/>
    <col collapsed="false" customWidth="true" hidden="false" outlineLevel="0" max="14419" min="14419" style="1" width="16.57"/>
    <col collapsed="false" customWidth="false" hidden="false" outlineLevel="0" max="14422" min="14420" style="1" width="0.71"/>
    <col collapsed="false" customWidth="true" hidden="false" outlineLevel="0" max="14423" min="14423" style="1" width="9.86"/>
    <col collapsed="false" customWidth="true" hidden="false" outlineLevel="0" max="14426" min="14424" style="1" width="9.29"/>
    <col collapsed="false" customWidth="false" hidden="false" outlineLevel="0" max="14639" min="14427" style="1" width="0.71"/>
    <col collapsed="false" customWidth="true" hidden="false" outlineLevel="0" max="14640" min="14640" style="1" width="3.42"/>
    <col collapsed="false" customWidth="true" hidden="false" outlineLevel="0" max="14641" min="14641" style="1" width="2.42"/>
    <col collapsed="false" customWidth="true" hidden="false" outlineLevel="0" max="14642" min="14642" style="1" width="7"/>
    <col collapsed="false" customWidth="false" hidden="false" outlineLevel="0" max="14643" min="14643" style="1" width="0.71"/>
    <col collapsed="false" customWidth="true" hidden="false" outlineLevel="0" max="14644" min="14644" style="1" width="1.57"/>
    <col collapsed="false" customWidth="false" hidden="false" outlineLevel="0" max="14645" min="14645" style="1" width="0.71"/>
    <col collapsed="false" customWidth="true" hidden="false" outlineLevel="0" max="14646" min="14646" style="1" width="11.29"/>
    <col collapsed="false" customWidth="false" hidden="false" outlineLevel="0" max="14647" min="14647" style="1" width="0.71"/>
    <col collapsed="false" customWidth="true" hidden="false" outlineLevel="0" max="14648" min="14648" style="1" width="1.57"/>
    <col collapsed="false" customWidth="false" hidden="false" outlineLevel="0" max="14653" min="14649" style="1" width="0.71"/>
    <col collapsed="false" customWidth="true" hidden="false" outlineLevel="0" max="14654" min="14654" style="1" width="2.15"/>
    <col collapsed="false" customWidth="false" hidden="false" outlineLevel="0" max="14655" min="14655" style="1" width="0.71"/>
    <col collapsed="false" customWidth="true" hidden="false" outlineLevel="0" max="14656" min="14656" style="1" width="1.57"/>
    <col collapsed="false" customWidth="false" hidden="false" outlineLevel="0" max="14657" min="14657" style="1" width="0.71"/>
    <col collapsed="false" customWidth="true" hidden="false" outlineLevel="0" max="14658" min="14658" style="1" width="7"/>
    <col collapsed="false" customWidth="false" hidden="false" outlineLevel="0" max="14659" min="14659" style="1" width="0.71"/>
    <col collapsed="false" customWidth="true" hidden="false" outlineLevel="0" max="14660" min="14660" style="1" width="4"/>
    <col collapsed="false" customWidth="false" hidden="false" outlineLevel="0" max="14661" min="14661" style="1" width="0.71"/>
    <col collapsed="false" customWidth="true" hidden="false" outlineLevel="0" max="14662" min="14662" style="1" width="1.57"/>
    <col collapsed="false" customWidth="false" hidden="false" outlineLevel="0" max="14663" min="14663" style="1" width="0.71"/>
    <col collapsed="false" customWidth="true" hidden="false" outlineLevel="0" max="14664" min="14664" style="1" width="7"/>
    <col collapsed="false" customWidth="false" hidden="false" outlineLevel="0" max="14667" min="14665" style="1" width="0.71"/>
    <col collapsed="false" customWidth="true" hidden="false" outlineLevel="0" max="14668" min="14668" style="1" width="2.42"/>
    <col collapsed="false" customWidth="false" hidden="false" outlineLevel="0" max="14674" min="14669" style="1" width="0.71"/>
    <col collapsed="false" customWidth="true" hidden="false" outlineLevel="0" max="14675" min="14675" style="1" width="16.57"/>
    <col collapsed="false" customWidth="false" hidden="false" outlineLevel="0" max="14678" min="14676" style="1" width="0.71"/>
    <col collapsed="false" customWidth="true" hidden="false" outlineLevel="0" max="14679" min="14679" style="1" width="9.86"/>
    <col collapsed="false" customWidth="true" hidden="false" outlineLevel="0" max="14682" min="14680" style="1" width="9.29"/>
    <col collapsed="false" customWidth="false" hidden="false" outlineLevel="0" max="14895" min="14683" style="1" width="0.71"/>
    <col collapsed="false" customWidth="true" hidden="false" outlineLevel="0" max="14896" min="14896" style="1" width="3.42"/>
    <col collapsed="false" customWidth="true" hidden="false" outlineLevel="0" max="14897" min="14897" style="1" width="2.42"/>
    <col collapsed="false" customWidth="true" hidden="false" outlineLevel="0" max="14898" min="14898" style="1" width="7"/>
    <col collapsed="false" customWidth="false" hidden="false" outlineLevel="0" max="14899" min="14899" style="1" width="0.71"/>
    <col collapsed="false" customWidth="true" hidden="false" outlineLevel="0" max="14900" min="14900" style="1" width="1.57"/>
    <col collapsed="false" customWidth="false" hidden="false" outlineLevel="0" max="14901" min="14901" style="1" width="0.71"/>
    <col collapsed="false" customWidth="true" hidden="false" outlineLevel="0" max="14902" min="14902" style="1" width="11.29"/>
    <col collapsed="false" customWidth="false" hidden="false" outlineLevel="0" max="14903" min="14903" style="1" width="0.71"/>
    <col collapsed="false" customWidth="true" hidden="false" outlineLevel="0" max="14904" min="14904" style="1" width="1.57"/>
    <col collapsed="false" customWidth="false" hidden="false" outlineLevel="0" max="14909" min="14905" style="1" width="0.71"/>
    <col collapsed="false" customWidth="true" hidden="false" outlineLevel="0" max="14910" min="14910" style="1" width="2.15"/>
    <col collapsed="false" customWidth="false" hidden="false" outlineLevel="0" max="14911" min="14911" style="1" width="0.71"/>
    <col collapsed="false" customWidth="true" hidden="false" outlineLevel="0" max="14912" min="14912" style="1" width="1.57"/>
    <col collapsed="false" customWidth="false" hidden="false" outlineLevel="0" max="14913" min="14913" style="1" width="0.71"/>
    <col collapsed="false" customWidth="true" hidden="false" outlineLevel="0" max="14914" min="14914" style="1" width="7"/>
    <col collapsed="false" customWidth="false" hidden="false" outlineLevel="0" max="14915" min="14915" style="1" width="0.71"/>
    <col collapsed="false" customWidth="true" hidden="false" outlineLevel="0" max="14916" min="14916" style="1" width="4"/>
    <col collapsed="false" customWidth="false" hidden="false" outlineLevel="0" max="14917" min="14917" style="1" width="0.71"/>
    <col collapsed="false" customWidth="true" hidden="false" outlineLevel="0" max="14918" min="14918" style="1" width="1.57"/>
    <col collapsed="false" customWidth="false" hidden="false" outlineLevel="0" max="14919" min="14919" style="1" width="0.71"/>
    <col collapsed="false" customWidth="true" hidden="false" outlineLevel="0" max="14920" min="14920" style="1" width="7"/>
    <col collapsed="false" customWidth="false" hidden="false" outlineLevel="0" max="14923" min="14921" style="1" width="0.71"/>
    <col collapsed="false" customWidth="true" hidden="false" outlineLevel="0" max="14924" min="14924" style="1" width="2.42"/>
    <col collapsed="false" customWidth="false" hidden="false" outlineLevel="0" max="14930" min="14925" style="1" width="0.71"/>
    <col collapsed="false" customWidth="true" hidden="false" outlineLevel="0" max="14931" min="14931" style="1" width="16.57"/>
    <col collapsed="false" customWidth="false" hidden="false" outlineLevel="0" max="14934" min="14932" style="1" width="0.71"/>
    <col collapsed="false" customWidth="true" hidden="false" outlineLevel="0" max="14935" min="14935" style="1" width="9.86"/>
    <col collapsed="false" customWidth="true" hidden="false" outlineLevel="0" max="14938" min="14936" style="1" width="9.29"/>
    <col collapsed="false" customWidth="false" hidden="false" outlineLevel="0" max="15151" min="14939" style="1" width="0.71"/>
    <col collapsed="false" customWidth="true" hidden="false" outlineLevel="0" max="15152" min="15152" style="1" width="3.42"/>
    <col collapsed="false" customWidth="true" hidden="false" outlineLevel="0" max="15153" min="15153" style="1" width="2.42"/>
    <col collapsed="false" customWidth="true" hidden="false" outlineLevel="0" max="15154" min="15154" style="1" width="7"/>
    <col collapsed="false" customWidth="false" hidden="false" outlineLevel="0" max="15155" min="15155" style="1" width="0.71"/>
    <col collapsed="false" customWidth="true" hidden="false" outlineLevel="0" max="15156" min="15156" style="1" width="1.57"/>
    <col collapsed="false" customWidth="false" hidden="false" outlineLevel="0" max="15157" min="15157" style="1" width="0.71"/>
    <col collapsed="false" customWidth="true" hidden="false" outlineLevel="0" max="15158" min="15158" style="1" width="11.29"/>
    <col collapsed="false" customWidth="false" hidden="false" outlineLevel="0" max="15159" min="15159" style="1" width="0.71"/>
    <col collapsed="false" customWidth="true" hidden="false" outlineLevel="0" max="15160" min="15160" style="1" width="1.57"/>
    <col collapsed="false" customWidth="false" hidden="false" outlineLevel="0" max="15165" min="15161" style="1" width="0.71"/>
    <col collapsed="false" customWidth="true" hidden="false" outlineLevel="0" max="15166" min="15166" style="1" width="2.15"/>
    <col collapsed="false" customWidth="false" hidden="false" outlineLevel="0" max="15167" min="15167" style="1" width="0.71"/>
    <col collapsed="false" customWidth="true" hidden="false" outlineLevel="0" max="15168" min="15168" style="1" width="1.57"/>
    <col collapsed="false" customWidth="false" hidden="false" outlineLevel="0" max="15169" min="15169" style="1" width="0.71"/>
    <col collapsed="false" customWidth="true" hidden="false" outlineLevel="0" max="15170" min="15170" style="1" width="7"/>
    <col collapsed="false" customWidth="false" hidden="false" outlineLevel="0" max="15171" min="15171" style="1" width="0.71"/>
    <col collapsed="false" customWidth="true" hidden="false" outlineLevel="0" max="15172" min="15172" style="1" width="4"/>
    <col collapsed="false" customWidth="false" hidden="false" outlineLevel="0" max="15173" min="15173" style="1" width="0.71"/>
    <col collapsed="false" customWidth="true" hidden="false" outlineLevel="0" max="15174" min="15174" style="1" width="1.57"/>
    <col collapsed="false" customWidth="false" hidden="false" outlineLevel="0" max="15175" min="15175" style="1" width="0.71"/>
    <col collapsed="false" customWidth="true" hidden="false" outlineLevel="0" max="15176" min="15176" style="1" width="7"/>
    <col collapsed="false" customWidth="false" hidden="false" outlineLevel="0" max="15179" min="15177" style="1" width="0.71"/>
    <col collapsed="false" customWidth="true" hidden="false" outlineLevel="0" max="15180" min="15180" style="1" width="2.42"/>
    <col collapsed="false" customWidth="false" hidden="false" outlineLevel="0" max="15186" min="15181" style="1" width="0.71"/>
    <col collapsed="false" customWidth="true" hidden="false" outlineLevel="0" max="15187" min="15187" style="1" width="16.57"/>
    <col collapsed="false" customWidth="false" hidden="false" outlineLevel="0" max="15190" min="15188" style="1" width="0.71"/>
    <col collapsed="false" customWidth="true" hidden="false" outlineLevel="0" max="15191" min="15191" style="1" width="9.86"/>
    <col collapsed="false" customWidth="true" hidden="false" outlineLevel="0" max="15194" min="15192" style="1" width="9.29"/>
    <col collapsed="false" customWidth="false" hidden="false" outlineLevel="0" max="15407" min="15195" style="1" width="0.71"/>
    <col collapsed="false" customWidth="true" hidden="false" outlineLevel="0" max="15408" min="15408" style="1" width="3.42"/>
    <col collapsed="false" customWidth="true" hidden="false" outlineLevel="0" max="15409" min="15409" style="1" width="2.42"/>
    <col collapsed="false" customWidth="true" hidden="false" outlineLevel="0" max="15410" min="15410" style="1" width="7"/>
    <col collapsed="false" customWidth="false" hidden="false" outlineLevel="0" max="15411" min="15411" style="1" width="0.71"/>
    <col collapsed="false" customWidth="true" hidden="false" outlineLevel="0" max="15412" min="15412" style="1" width="1.57"/>
    <col collapsed="false" customWidth="false" hidden="false" outlineLevel="0" max="15413" min="15413" style="1" width="0.71"/>
    <col collapsed="false" customWidth="true" hidden="false" outlineLevel="0" max="15414" min="15414" style="1" width="11.29"/>
    <col collapsed="false" customWidth="false" hidden="false" outlineLevel="0" max="15415" min="15415" style="1" width="0.71"/>
    <col collapsed="false" customWidth="true" hidden="false" outlineLevel="0" max="15416" min="15416" style="1" width="1.57"/>
    <col collapsed="false" customWidth="false" hidden="false" outlineLevel="0" max="15421" min="15417" style="1" width="0.71"/>
    <col collapsed="false" customWidth="true" hidden="false" outlineLevel="0" max="15422" min="15422" style="1" width="2.15"/>
    <col collapsed="false" customWidth="false" hidden="false" outlineLevel="0" max="15423" min="15423" style="1" width="0.71"/>
    <col collapsed="false" customWidth="true" hidden="false" outlineLevel="0" max="15424" min="15424" style="1" width="1.57"/>
    <col collapsed="false" customWidth="false" hidden="false" outlineLevel="0" max="15425" min="15425" style="1" width="0.71"/>
    <col collapsed="false" customWidth="true" hidden="false" outlineLevel="0" max="15426" min="15426" style="1" width="7"/>
    <col collapsed="false" customWidth="false" hidden="false" outlineLevel="0" max="15427" min="15427" style="1" width="0.71"/>
    <col collapsed="false" customWidth="true" hidden="false" outlineLevel="0" max="15428" min="15428" style="1" width="4"/>
    <col collapsed="false" customWidth="false" hidden="false" outlineLevel="0" max="15429" min="15429" style="1" width="0.71"/>
    <col collapsed="false" customWidth="true" hidden="false" outlineLevel="0" max="15430" min="15430" style="1" width="1.57"/>
    <col collapsed="false" customWidth="false" hidden="false" outlineLevel="0" max="15431" min="15431" style="1" width="0.71"/>
    <col collapsed="false" customWidth="true" hidden="false" outlineLevel="0" max="15432" min="15432" style="1" width="7"/>
    <col collapsed="false" customWidth="false" hidden="false" outlineLevel="0" max="15435" min="15433" style="1" width="0.71"/>
    <col collapsed="false" customWidth="true" hidden="false" outlineLevel="0" max="15436" min="15436" style="1" width="2.42"/>
    <col collapsed="false" customWidth="false" hidden="false" outlineLevel="0" max="15442" min="15437" style="1" width="0.71"/>
    <col collapsed="false" customWidth="true" hidden="false" outlineLevel="0" max="15443" min="15443" style="1" width="16.57"/>
    <col collapsed="false" customWidth="false" hidden="false" outlineLevel="0" max="15446" min="15444" style="1" width="0.71"/>
    <col collapsed="false" customWidth="true" hidden="false" outlineLevel="0" max="15447" min="15447" style="1" width="9.86"/>
    <col collapsed="false" customWidth="true" hidden="false" outlineLevel="0" max="15450" min="15448" style="1" width="9.29"/>
    <col collapsed="false" customWidth="false" hidden="false" outlineLevel="0" max="15663" min="15451" style="1" width="0.71"/>
    <col collapsed="false" customWidth="true" hidden="false" outlineLevel="0" max="15664" min="15664" style="1" width="3.42"/>
    <col collapsed="false" customWidth="true" hidden="false" outlineLevel="0" max="15665" min="15665" style="1" width="2.42"/>
    <col collapsed="false" customWidth="true" hidden="false" outlineLevel="0" max="15666" min="15666" style="1" width="7"/>
    <col collapsed="false" customWidth="false" hidden="false" outlineLevel="0" max="15667" min="15667" style="1" width="0.71"/>
    <col collapsed="false" customWidth="true" hidden="false" outlineLevel="0" max="15668" min="15668" style="1" width="1.57"/>
    <col collapsed="false" customWidth="false" hidden="false" outlineLevel="0" max="15669" min="15669" style="1" width="0.71"/>
    <col collapsed="false" customWidth="true" hidden="false" outlineLevel="0" max="15670" min="15670" style="1" width="11.29"/>
    <col collapsed="false" customWidth="false" hidden="false" outlineLevel="0" max="15671" min="15671" style="1" width="0.71"/>
    <col collapsed="false" customWidth="true" hidden="false" outlineLevel="0" max="15672" min="15672" style="1" width="1.57"/>
    <col collapsed="false" customWidth="false" hidden="false" outlineLevel="0" max="15677" min="15673" style="1" width="0.71"/>
    <col collapsed="false" customWidth="true" hidden="false" outlineLevel="0" max="15678" min="15678" style="1" width="2.15"/>
    <col collapsed="false" customWidth="false" hidden="false" outlineLevel="0" max="15679" min="15679" style="1" width="0.71"/>
    <col collapsed="false" customWidth="true" hidden="false" outlineLevel="0" max="15680" min="15680" style="1" width="1.57"/>
    <col collapsed="false" customWidth="false" hidden="false" outlineLevel="0" max="15681" min="15681" style="1" width="0.71"/>
    <col collapsed="false" customWidth="true" hidden="false" outlineLevel="0" max="15682" min="15682" style="1" width="7"/>
    <col collapsed="false" customWidth="false" hidden="false" outlineLevel="0" max="15683" min="15683" style="1" width="0.71"/>
    <col collapsed="false" customWidth="true" hidden="false" outlineLevel="0" max="15684" min="15684" style="1" width="4"/>
    <col collapsed="false" customWidth="false" hidden="false" outlineLevel="0" max="15685" min="15685" style="1" width="0.71"/>
    <col collapsed="false" customWidth="true" hidden="false" outlineLevel="0" max="15686" min="15686" style="1" width="1.57"/>
    <col collapsed="false" customWidth="false" hidden="false" outlineLevel="0" max="15687" min="15687" style="1" width="0.71"/>
    <col collapsed="false" customWidth="true" hidden="false" outlineLevel="0" max="15688" min="15688" style="1" width="7"/>
    <col collapsed="false" customWidth="false" hidden="false" outlineLevel="0" max="15691" min="15689" style="1" width="0.71"/>
    <col collapsed="false" customWidth="true" hidden="false" outlineLevel="0" max="15692" min="15692" style="1" width="2.42"/>
    <col collapsed="false" customWidth="false" hidden="false" outlineLevel="0" max="15698" min="15693" style="1" width="0.71"/>
    <col collapsed="false" customWidth="true" hidden="false" outlineLevel="0" max="15699" min="15699" style="1" width="16.57"/>
    <col collapsed="false" customWidth="false" hidden="false" outlineLevel="0" max="15702" min="15700" style="1" width="0.71"/>
    <col collapsed="false" customWidth="true" hidden="false" outlineLevel="0" max="15703" min="15703" style="1" width="9.86"/>
    <col collapsed="false" customWidth="true" hidden="false" outlineLevel="0" max="15706" min="15704" style="1" width="9.29"/>
    <col collapsed="false" customWidth="false" hidden="false" outlineLevel="0" max="15919" min="15707" style="1" width="0.71"/>
    <col collapsed="false" customWidth="true" hidden="false" outlineLevel="0" max="15920" min="15920" style="1" width="3.42"/>
    <col collapsed="false" customWidth="true" hidden="false" outlineLevel="0" max="15921" min="15921" style="1" width="2.42"/>
    <col collapsed="false" customWidth="true" hidden="false" outlineLevel="0" max="15922" min="15922" style="1" width="7"/>
    <col collapsed="false" customWidth="false" hidden="false" outlineLevel="0" max="15923" min="15923" style="1" width="0.71"/>
    <col collapsed="false" customWidth="true" hidden="false" outlineLevel="0" max="15924" min="15924" style="1" width="1.57"/>
    <col collapsed="false" customWidth="false" hidden="false" outlineLevel="0" max="15925" min="15925" style="1" width="0.71"/>
    <col collapsed="false" customWidth="true" hidden="false" outlineLevel="0" max="15926" min="15926" style="1" width="11.29"/>
    <col collapsed="false" customWidth="false" hidden="false" outlineLevel="0" max="15927" min="15927" style="1" width="0.71"/>
    <col collapsed="false" customWidth="true" hidden="false" outlineLevel="0" max="15928" min="15928" style="1" width="1.57"/>
    <col collapsed="false" customWidth="false" hidden="false" outlineLevel="0" max="15933" min="15929" style="1" width="0.71"/>
    <col collapsed="false" customWidth="true" hidden="false" outlineLevel="0" max="15934" min="15934" style="1" width="2.15"/>
    <col collapsed="false" customWidth="false" hidden="false" outlineLevel="0" max="15935" min="15935" style="1" width="0.71"/>
    <col collapsed="false" customWidth="true" hidden="false" outlineLevel="0" max="15936" min="15936" style="1" width="1.57"/>
    <col collapsed="false" customWidth="false" hidden="false" outlineLevel="0" max="15937" min="15937" style="1" width="0.71"/>
    <col collapsed="false" customWidth="true" hidden="false" outlineLevel="0" max="15938" min="15938" style="1" width="7"/>
    <col collapsed="false" customWidth="false" hidden="false" outlineLevel="0" max="15939" min="15939" style="1" width="0.71"/>
    <col collapsed="false" customWidth="true" hidden="false" outlineLevel="0" max="15940" min="15940" style="1" width="4"/>
    <col collapsed="false" customWidth="false" hidden="false" outlineLevel="0" max="15941" min="15941" style="1" width="0.71"/>
    <col collapsed="false" customWidth="true" hidden="false" outlineLevel="0" max="15942" min="15942" style="1" width="1.57"/>
    <col collapsed="false" customWidth="false" hidden="false" outlineLevel="0" max="15943" min="15943" style="1" width="0.71"/>
    <col collapsed="false" customWidth="true" hidden="false" outlineLevel="0" max="15944" min="15944" style="1" width="7"/>
    <col collapsed="false" customWidth="false" hidden="false" outlineLevel="0" max="15947" min="15945" style="1" width="0.71"/>
    <col collapsed="false" customWidth="true" hidden="false" outlineLevel="0" max="15948" min="15948" style="1" width="2.42"/>
    <col collapsed="false" customWidth="false" hidden="false" outlineLevel="0" max="15954" min="15949" style="1" width="0.71"/>
    <col collapsed="false" customWidth="true" hidden="false" outlineLevel="0" max="15955" min="15955" style="1" width="16.57"/>
    <col collapsed="false" customWidth="false" hidden="false" outlineLevel="0" max="15958" min="15956" style="1" width="0.71"/>
    <col collapsed="false" customWidth="true" hidden="false" outlineLevel="0" max="15959" min="15959" style="1" width="9.86"/>
    <col collapsed="false" customWidth="true" hidden="false" outlineLevel="0" max="15962" min="15960" style="1" width="9.29"/>
    <col collapsed="false" customWidth="false" hidden="false" outlineLevel="0" max="16175" min="15963" style="1" width="0.71"/>
    <col collapsed="false" customWidth="true" hidden="false" outlineLevel="0" max="16176" min="16176" style="1" width="3.42"/>
    <col collapsed="false" customWidth="true" hidden="false" outlineLevel="0" max="16177" min="16177" style="1" width="2.42"/>
    <col collapsed="false" customWidth="true" hidden="false" outlineLevel="0" max="16178" min="16178" style="1" width="7"/>
    <col collapsed="false" customWidth="false" hidden="false" outlineLevel="0" max="16179" min="16179" style="1" width="0.71"/>
    <col collapsed="false" customWidth="true" hidden="false" outlineLevel="0" max="16180" min="16180" style="1" width="1.57"/>
    <col collapsed="false" customWidth="false" hidden="false" outlineLevel="0" max="16181" min="16181" style="1" width="0.71"/>
    <col collapsed="false" customWidth="true" hidden="false" outlineLevel="0" max="16182" min="16182" style="1" width="11.29"/>
    <col collapsed="false" customWidth="false" hidden="false" outlineLevel="0" max="16183" min="16183" style="1" width="0.71"/>
    <col collapsed="false" customWidth="true" hidden="false" outlineLevel="0" max="16184" min="16184" style="1" width="1.57"/>
    <col collapsed="false" customWidth="false" hidden="false" outlineLevel="0" max="16189" min="16185" style="1" width="0.71"/>
    <col collapsed="false" customWidth="true" hidden="false" outlineLevel="0" max="16190" min="16190" style="1" width="2.15"/>
    <col collapsed="false" customWidth="false" hidden="false" outlineLevel="0" max="16191" min="16191" style="1" width="0.71"/>
    <col collapsed="false" customWidth="true" hidden="false" outlineLevel="0" max="16192" min="16192" style="1" width="1.57"/>
    <col collapsed="false" customWidth="false" hidden="false" outlineLevel="0" max="16193" min="16193" style="1" width="0.71"/>
    <col collapsed="false" customWidth="true" hidden="false" outlineLevel="0" max="16194" min="16194" style="1" width="7"/>
    <col collapsed="false" customWidth="false" hidden="false" outlineLevel="0" max="16195" min="16195" style="1" width="0.71"/>
    <col collapsed="false" customWidth="true" hidden="false" outlineLevel="0" max="16196" min="16196" style="1" width="4"/>
    <col collapsed="false" customWidth="false" hidden="false" outlineLevel="0" max="16197" min="16197" style="1" width="0.71"/>
    <col collapsed="false" customWidth="true" hidden="false" outlineLevel="0" max="16198" min="16198" style="1" width="1.57"/>
    <col collapsed="false" customWidth="false" hidden="false" outlineLevel="0" max="16199" min="16199" style="1" width="0.71"/>
    <col collapsed="false" customWidth="true" hidden="false" outlineLevel="0" max="16200" min="16200" style="1" width="7"/>
    <col collapsed="false" customWidth="false" hidden="false" outlineLevel="0" max="16203" min="16201" style="1" width="0.71"/>
    <col collapsed="false" customWidth="true" hidden="false" outlineLevel="0" max="16204" min="16204" style="1" width="2.42"/>
    <col collapsed="false" customWidth="false" hidden="false" outlineLevel="0" max="16210" min="16205" style="1" width="0.71"/>
    <col collapsed="false" customWidth="true" hidden="false" outlineLevel="0" max="16211" min="16211" style="1" width="16.57"/>
    <col collapsed="false" customWidth="false" hidden="false" outlineLevel="0" max="16214" min="16212" style="1" width="0.71"/>
    <col collapsed="false" customWidth="true" hidden="false" outlineLevel="0" max="16215" min="16215" style="1" width="9.86"/>
    <col collapsed="false" customWidth="true" hidden="false" outlineLevel="0" max="16218" min="16216" style="1" width="9.29"/>
    <col collapsed="false" customWidth="false" hidden="false" outlineLevel="0" max="16384" min="16219" style="1" width="0.71"/>
  </cols>
  <sheetData>
    <row r="1" customFormat="false" ht="14.25" hidden="false" customHeight="true" outlineLevel="0" collapsed="false"/>
    <row r="2" customFormat="false" ht="18" hidden="false" customHeight="true" outlineLevel="0" collapsed="false">
      <c r="C2" s="132" t="s">
        <v>64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</row>
    <row r="3" customFormat="false" ht="9.75" hidden="false" customHeight="true" outlineLevel="0" collapsed="false"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customFormat="false" ht="17.25" hidden="false" customHeight="true" outlineLevel="0" collapsed="false">
      <c r="C4" s="134" t="s">
        <v>1</v>
      </c>
      <c r="D4" s="135"/>
      <c r="E4" s="135"/>
      <c r="F4" s="135"/>
      <c r="G4" s="135"/>
      <c r="H4" s="135"/>
      <c r="I4" s="135"/>
      <c r="J4" s="135"/>
      <c r="K4" s="135"/>
      <c r="L4" s="135"/>
    </row>
    <row r="5" customFormat="false" ht="17.25" hidden="false" customHeight="true" outlineLevel="0" collapsed="false">
      <c r="C5" s="134" t="s">
        <v>2</v>
      </c>
      <c r="D5" s="135" t="n">
        <f aca="true">TODAY()</f>
        <v>46141</v>
      </c>
      <c r="E5" s="135"/>
      <c r="F5" s="135"/>
      <c r="G5" s="135"/>
      <c r="H5" s="135"/>
      <c r="I5" s="135"/>
      <c r="J5" s="135"/>
      <c r="K5" s="135"/>
      <c r="L5" s="135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</row>
    <row r="6" customFormat="false" ht="7.5" hidden="false" customHeight="true" outlineLevel="0" collapsed="false">
      <c r="C6" s="137" t="s">
        <v>3</v>
      </c>
      <c r="D6" s="138"/>
    </row>
    <row r="7" customFormat="false" ht="15" hidden="false" customHeight="true" outlineLevel="0" collapsed="false">
      <c r="C7" s="139" t="s">
        <v>4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AD7" s="140" t="s">
        <v>5</v>
      </c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E7" s="141" t="s">
        <v>6</v>
      </c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</row>
    <row r="8" s="13" customFormat="true" ht="15" hidden="false" customHeight="true" outlineLevel="0" collapsed="false">
      <c r="C8" s="142" t="s">
        <v>7</v>
      </c>
      <c r="D8" s="142"/>
      <c r="E8" s="142"/>
      <c r="F8" s="142"/>
      <c r="G8" s="142"/>
      <c r="H8" s="142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AD8" s="144" t="s">
        <v>7</v>
      </c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E8" s="142" t="s">
        <v>8</v>
      </c>
      <c r="BF8" s="142"/>
      <c r="BG8" s="142"/>
      <c r="BH8" s="142"/>
      <c r="BI8" s="142"/>
      <c r="BJ8" s="142"/>
      <c r="BK8" s="142"/>
      <c r="BL8" s="146" t="n">
        <f aca="false">AP18</f>
        <v>0</v>
      </c>
      <c r="BM8" s="146"/>
      <c r="BN8" s="146"/>
      <c r="BO8" s="146"/>
      <c r="BP8" s="146"/>
      <c r="BQ8" s="146"/>
      <c r="BR8" s="146"/>
      <c r="BS8" s="146"/>
      <c r="BT8" s="146"/>
      <c r="BU8" s="146"/>
      <c r="BV8" s="146"/>
      <c r="BW8" s="146"/>
      <c r="BX8" s="146"/>
      <c r="BY8" s="146"/>
      <c r="BZ8" s="146"/>
      <c r="CA8" s="146"/>
      <c r="CB8" s="146"/>
      <c r="CE8" s="19"/>
      <c r="CI8" s="20"/>
      <c r="CK8" s="19"/>
      <c r="CL8" s="20"/>
    </row>
    <row r="9" s="13" customFormat="true" ht="15" hidden="false" customHeight="true" outlineLevel="0" collapsed="false">
      <c r="C9" s="147" t="s">
        <v>9</v>
      </c>
      <c r="D9" s="147"/>
      <c r="E9" s="147"/>
      <c r="F9" s="147"/>
      <c r="G9" s="147"/>
      <c r="H9" s="147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AD9" s="147" t="s">
        <v>9</v>
      </c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8" t="n">
        <v>0</v>
      </c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E9" s="147" t="s">
        <v>10</v>
      </c>
      <c r="BF9" s="147"/>
      <c r="BG9" s="147"/>
      <c r="BH9" s="147"/>
      <c r="BI9" s="147"/>
      <c r="BJ9" s="147"/>
      <c r="BK9" s="147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E9" s="19"/>
      <c r="CI9" s="20"/>
      <c r="CK9" s="19"/>
      <c r="CL9" s="20"/>
    </row>
    <row r="10" s="13" customFormat="true" ht="15" hidden="false" customHeight="true" outlineLevel="0" collapsed="false">
      <c r="C10" s="147" t="s">
        <v>11</v>
      </c>
      <c r="D10" s="147"/>
      <c r="E10" s="147"/>
      <c r="F10" s="147"/>
      <c r="G10" s="147"/>
      <c r="H10" s="147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AD10" s="147" t="s">
        <v>11</v>
      </c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8" t="n">
        <v>0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E10" s="147" t="s">
        <v>12</v>
      </c>
      <c r="BF10" s="147"/>
      <c r="BG10" s="147"/>
      <c r="BH10" s="147"/>
      <c r="BI10" s="147"/>
      <c r="BJ10" s="147"/>
      <c r="BK10" s="147"/>
      <c r="BL10" s="150" t="n">
        <f aca="false">I17</f>
        <v>0</v>
      </c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E10" s="19"/>
      <c r="CI10" s="20"/>
      <c r="CK10" s="19"/>
      <c r="CL10" s="20"/>
    </row>
    <row r="11" s="13" customFormat="true" ht="15" hidden="false" customHeight="true" outlineLevel="0" collapsed="false">
      <c r="C11" s="147" t="s">
        <v>13</v>
      </c>
      <c r="D11" s="147"/>
      <c r="E11" s="147"/>
      <c r="F11" s="147"/>
      <c r="G11" s="147"/>
      <c r="H11" s="147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AD11" s="147" t="s">
        <v>13</v>
      </c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E11" s="239" t="s">
        <v>14</v>
      </c>
      <c r="BF11" s="239"/>
      <c r="BG11" s="239"/>
      <c r="BH11" s="239"/>
      <c r="BI11" s="239"/>
      <c r="BJ11" s="239"/>
      <c r="BK11" s="239"/>
      <c r="BL11" s="148" t="n">
        <f aca="false">BL9*BL10</f>
        <v>0</v>
      </c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E11" s="25"/>
      <c r="CI11" s="19"/>
      <c r="CJ11" s="26"/>
      <c r="CK11" s="25"/>
      <c r="CL11" s="20"/>
    </row>
    <row r="12" s="13" customFormat="true" ht="15" hidden="false" customHeight="true" outlineLevel="0" collapsed="false">
      <c r="C12" s="147" t="s">
        <v>15</v>
      </c>
      <c r="D12" s="147"/>
      <c r="E12" s="147"/>
      <c r="F12" s="147"/>
      <c r="G12" s="147"/>
      <c r="H12" s="147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AD12" s="147" t="s">
        <v>15</v>
      </c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8" t="n">
        <v>0</v>
      </c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E12" s="240" t="s">
        <v>16</v>
      </c>
      <c r="BF12" s="240"/>
      <c r="BG12" s="240"/>
      <c r="BH12" s="240"/>
      <c r="BI12" s="240"/>
      <c r="BJ12" s="240"/>
      <c r="BK12" s="240"/>
      <c r="BL12" s="241" t="n">
        <f aca="false">BL8-BL11</f>
        <v>0</v>
      </c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  <c r="BX12" s="241"/>
      <c r="BY12" s="241"/>
      <c r="BZ12" s="241"/>
      <c r="CA12" s="241"/>
      <c r="CB12" s="241"/>
      <c r="CC12" s="151"/>
      <c r="CE12" s="25"/>
      <c r="CI12" s="19"/>
      <c r="CJ12" s="26"/>
      <c r="CK12" s="25"/>
      <c r="CL12" s="20"/>
    </row>
    <row r="13" s="13" customFormat="true" ht="15" hidden="false" customHeight="true" outlineLevel="0" collapsed="false">
      <c r="C13" s="147" t="s">
        <v>17</v>
      </c>
      <c r="D13" s="147"/>
      <c r="E13" s="147"/>
      <c r="F13" s="147"/>
      <c r="G13" s="147"/>
      <c r="H13" s="147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AD13" s="147" t="s">
        <v>17</v>
      </c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8" t="n">
        <v>0</v>
      </c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E13" s="147" t="s">
        <v>18</v>
      </c>
      <c r="BF13" s="147"/>
      <c r="BG13" s="147"/>
      <c r="BH13" s="147"/>
      <c r="BI13" s="147"/>
      <c r="BJ13" s="147"/>
      <c r="BK13" s="147"/>
      <c r="BL13" s="152" t="n">
        <f aca="false">I16-BL9</f>
        <v>48</v>
      </c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E13" s="25"/>
      <c r="CI13" s="19"/>
      <c r="CJ13" s="26"/>
      <c r="CK13" s="25"/>
      <c r="CL13" s="20"/>
    </row>
    <row r="14" s="13" customFormat="true" ht="15" hidden="false" customHeight="true" outlineLevel="0" collapsed="false">
      <c r="C14" s="147" t="s">
        <v>19</v>
      </c>
      <c r="D14" s="147"/>
      <c r="E14" s="147"/>
      <c r="F14" s="147"/>
      <c r="G14" s="147"/>
      <c r="H14" s="147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AD14" s="147" t="s">
        <v>20</v>
      </c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53" t="n">
        <f aca="false">I14</f>
        <v>0</v>
      </c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E14" s="154" t="s">
        <v>21</v>
      </c>
      <c r="BF14" s="154"/>
      <c r="BG14" s="154"/>
      <c r="BH14" s="154"/>
      <c r="BI14" s="154"/>
      <c r="BJ14" s="154"/>
      <c r="BK14" s="154"/>
      <c r="BL14" s="155" t="n">
        <f aca="false">BL12/BL13</f>
        <v>0</v>
      </c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E14" s="25"/>
      <c r="CI14" s="19"/>
      <c r="CJ14" s="26"/>
      <c r="CK14" s="25"/>
      <c r="CL14" s="20"/>
    </row>
    <row r="15" s="13" customFormat="true" ht="15" hidden="false" customHeight="true" outlineLevel="0" collapsed="false">
      <c r="C15" s="147" t="s">
        <v>22</v>
      </c>
      <c r="D15" s="147"/>
      <c r="E15" s="147"/>
      <c r="F15" s="147"/>
      <c r="G15" s="147"/>
      <c r="H15" s="147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AD15" s="147" t="s">
        <v>22</v>
      </c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8" t="n">
        <f aca="false">SUM(AP8:AZ14)</f>
        <v>0</v>
      </c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E15" s="154"/>
      <c r="BF15" s="154"/>
      <c r="BG15" s="154"/>
      <c r="BH15" s="154"/>
      <c r="BI15" s="154"/>
      <c r="BJ15" s="154"/>
      <c r="BK15" s="154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E15" s="25"/>
      <c r="CI15" s="19"/>
      <c r="CJ15" s="26"/>
      <c r="CK15" s="25"/>
      <c r="CL15" s="20"/>
    </row>
    <row r="16" s="13" customFormat="true" ht="15" hidden="false" customHeight="true" outlineLevel="0" collapsed="false">
      <c r="C16" s="147" t="s">
        <v>23</v>
      </c>
      <c r="D16" s="147"/>
      <c r="E16" s="147"/>
      <c r="F16" s="147"/>
      <c r="G16" s="147"/>
      <c r="H16" s="147"/>
      <c r="I16" s="152" t="n">
        <v>48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AD16" s="147" t="s">
        <v>24</v>
      </c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56" t="n">
        <v>0.0204</v>
      </c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CE16" s="25"/>
      <c r="CI16" s="19"/>
      <c r="CJ16" s="26"/>
      <c r="CK16" s="25"/>
      <c r="CL16" s="20"/>
    </row>
    <row r="17" s="13" customFormat="true" ht="15" hidden="false" customHeight="true" outlineLevel="0" collapsed="false">
      <c r="C17" s="147" t="s">
        <v>25</v>
      </c>
      <c r="D17" s="147"/>
      <c r="E17" s="147"/>
      <c r="F17" s="147"/>
      <c r="G17" s="147"/>
      <c r="H17" s="147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AD17" s="147" t="s">
        <v>26</v>
      </c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57" t="n">
        <f aca="false">AH122</f>
        <v>0</v>
      </c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E17" s="142" t="s">
        <v>27</v>
      </c>
      <c r="BF17" s="142"/>
      <c r="BG17" s="142"/>
      <c r="BH17" s="142"/>
      <c r="BI17" s="142"/>
      <c r="BJ17" s="142"/>
      <c r="BK17" s="142"/>
      <c r="BL17" s="143" t="n">
        <f aca="false">BL13*I17</f>
        <v>0</v>
      </c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E17" s="25"/>
      <c r="CI17" s="19"/>
      <c r="CJ17" s="26"/>
      <c r="CK17" s="25"/>
      <c r="CL17" s="20"/>
    </row>
    <row r="18" s="13" customFormat="true" ht="15" hidden="false" customHeight="true" outlineLevel="0" collapsed="false">
      <c r="C18" s="147" t="s">
        <v>28</v>
      </c>
      <c r="D18" s="147"/>
      <c r="E18" s="147"/>
      <c r="F18" s="147"/>
      <c r="G18" s="147"/>
      <c r="H18" s="147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AD18" s="239" t="s">
        <v>29</v>
      </c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150" t="n">
        <f aca="false">I16*AP17</f>
        <v>0</v>
      </c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E18" s="158" t="s">
        <v>30</v>
      </c>
      <c r="BF18" s="158"/>
      <c r="BG18" s="158"/>
      <c r="BH18" s="158"/>
      <c r="BI18" s="158"/>
      <c r="BJ18" s="158"/>
      <c r="BK18" s="158"/>
      <c r="BL18" s="159" t="n">
        <f aca="false">BL13*BL14</f>
        <v>0</v>
      </c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E18" s="25"/>
      <c r="CI18" s="19"/>
      <c r="CJ18" s="26"/>
      <c r="CK18" s="25"/>
      <c r="CL18" s="20"/>
    </row>
    <row r="19" s="13" customFormat="true" ht="15" hidden="false" customHeight="true" outlineLevel="0" collapsed="false">
      <c r="C19" s="160" t="s">
        <v>31</v>
      </c>
      <c r="D19" s="160"/>
      <c r="E19" s="160"/>
      <c r="F19" s="160"/>
      <c r="G19" s="160"/>
      <c r="H19" s="160"/>
      <c r="I19" s="161" t="n">
        <f aca="false">I16*I17</f>
        <v>0</v>
      </c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AD19" s="162" t="s">
        <v>32</v>
      </c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3" t="n">
        <f aca="false">I17-AP17</f>
        <v>0</v>
      </c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E19" s="164" t="s">
        <v>33</v>
      </c>
      <c r="BF19" s="164"/>
      <c r="BG19" s="164"/>
      <c r="BH19" s="164"/>
      <c r="BI19" s="164"/>
      <c r="BJ19" s="164"/>
      <c r="BK19" s="164"/>
      <c r="BL19" s="165" t="n">
        <f aca="false">BL17-BL18</f>
        <v>0</v>
      </c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E19" s="25"/>
      <c r="CI19" s="19"/>
      <c r="CJ19" s="26"/>
      <c r="CK19" s="25"/>
      <c r="CL19" s="20"/>
    </row>
    <row r="20" s="13" customFormat="true" ht="15" hidden="false" customHeight="true" outlineLevel="0" collapsed="false">
      <c r="AD20" s="166" t="s">
        <v>34</v>
      </c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7" t="n">
        <f aca="false">I19-AP18</f>
        <v>0</v>
      </c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E20" s="154" t="s">
        <v>35</v>
      </c>
      <c r="BF20" s="154"/>
      <c r="BG20" s="154"/>
      <c r="BH20" s="154"/>
      <c r="BI20" s="154"/>
      <c r="BJ20" s="154"/>
      <c r="BK20" s="154"/>
      <c r="BL20" s="168" t="n">
        <f aca="false">BL19/BL13</f>
        <v>0</v>
      </c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E20" s="25"/>
      <c r="CI20" s="19"/>
      <c r="CJ20" s="26"/>
      <c r="CK20" s="25"/>
      <c r="CL20" s="20"/>
    </row>
    <row r="21" customFormat="false" ht="9.75" hidden="true" customHeight="true" outlineLevel="0" collapsed="false">
      <c r="CE21" s="45"/>
      <c r="CI21" s="46"/>
      <c r="CJ21" s="47"/>
      <c r="CK21" s="45"/>
    </row>
    <row r="22" customFormat="false" ht="9.75" hidden="true" customHeight="true" outlineLevel="0" collapsed="false">
      <c r="CE22" s="45"/>
      <c r="CI22" s="46"/>
      <c r="CJ22" s="47"/>
      <c r="CK22" s="45"/>
    </row>
    <row r="23" customFormat="false" ht="9.75" hidden="true" customHeight="true" outlineLevel="0" collapsed="false">
      <c r="CE23" s="45"/>
      <c r="CI23" s="46"/>
      <c r="CJ23" s="47"/>
      <c r="CK23" s="45"/>
    </row>
    <row r="24" customFormat="false" ht="9.75" hidden="true" customHeight="true" outlineLevel="0" collapsed="false">
      <c r="BE24" s="1" t="s">
        <v>36</v>
      </c>
      <c r="CE24" s="45"/>
      <c r="CI24" s="46"/>
      <c r="CJ24" s="47"/>
      <c r="CK24" s="45"/>
    </row>
    <row r="25" customFormat="false" ht="9.75" hidden="false" customHeight="true" outlineLevel="0" collapsed="false">
      <c r="CE25" s="45"/>
      <c r="CI25" s="46"/>
      <c r="CJ25" s="47"/>
      <c r="CK25" s="45"/>
    </row>
    <row r="26" customFormat="false" ht="13.5" hidden="false" customHeight="false" outlineLevel="0" collapsed="false">
      <c r="C26" s="169" t="s">
        <v>37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AD26" s="169" t="s">
        <v>38</v>
      </c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1"/>
      <c r="CI26" s="46"/>
      <c r="CK26" s="51"/>
      <c r="CL26" s="46"/>
    </row>
    <row r="27" customFormat="false" ht="13.5" hidden="true" customHeight="true" outlineLevel="0" collapsed="false">
      <c r="C27" s="170"/>
      <c r="Y27" s="171"/>
      <c r="AD27" s="170"/>
      <c r="AZ27" s="171"/>
      <c r="CE27" s="54"/>
      <c r="CI27" s="55"/>
      <c r="CJ27" s="47"/>
      <c r="CK27" s="54"/>
      <c r="CL27" s="46"/>
    </row>
    <row r="28" customFormat="false" ht="12" hidden="true" customHeight="true" outlineLevel="0" collapsed="false">
      <c r="C28" s="172"/>
      <c r="D28" s="85"/>
      <c r="Y28" s="171"/>
      <c r="AD28" s="172"/>
      <c r="AE28" s="85"/>
      <c r="AZ28" s="171"/>
      <c r="BE28" s="85"/>
      <c r="BF28" s="85"/>
      <c r="CE28" s="3"/>
      <c r="CI28" s="57"/>
      <c r="CK28" s="3"/>
      <c r="CL28" s="46"/>
    </row>
    <row r="29" customFormat="false" ht="12" hidden="false" customHeight="true" outlineLevel="0" collapsed="false">
      <c r="C29" s="172"/>
      <c r="D29" s="85"/>
      <c r="Y29" s="171"/>
      <c r="AD29" s="172"/>
      <c r="AE29" s="85"/>
      <c r="AZ29" s="171"/>
      <c r="BE29" s="85"/>
      <c r="BF29" s="85"/>
      <c r="CE29" s="45"/>
      <c r="CK29" s="45"/>
    </row>
    <row r="30" customFormat="false" ht="24" hidden="false" customHeight="true" outlineLevel="0" collapsed="false">
      <c r="C30" s="173" t="s">
        <v>39</v>
      </c>
      <c r="D30" s="174"/>
      <c r="E30" s="175"/>
      <c r="F30" s="175"/>
      <c r="G30" s="175"/>
      <c r="H30" s="176" t="n">
        <f aca="false">I15</f>
        <v>0</v>
      </c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85"/>
      <c r="Y30" s="177"/>
      <c r="AD30" s="178" t="s">
        <v>40</v>
      </c>
      <c r="AE30" s="178"/>
      <c r="AF30" s="178"/>
      <c r="AG30" s="178"/>
      <c r="AH30" s="178"/>
      <c r="AI30" s="176" t="n">
        <f aca="false">AP15</f>
        <v>0</v>
      </c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85"/>
      <c r="AZ30" s="177"/>
      <c r="BE30" s="179" t="s">
        <v>41</v>
      </c>
      <c r="BF30" s="179"/>
      <c r="BG30" s="179"/>
      <c r="BH30" s="179"/>
      <c r="BJ30" s="180"/>
      <c r="BK30" s="179" t="s">
        <v>42</v>
      </c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  <c r="BX30" s="179"/>
      <c r="BY30" s="179"/>
      <c r="BZ30" s="179"/>
      <c r="CA30" s="179"/>
      <c r="CB30" s="179"/>
      <c r="CD30" s="66"/>
      <c r="CE30" s="45"/>
      <c r="CF30" s="3"/>
      <c r="CG30" s="3"/>
      <c r="CK30" s="45"/>
    </row>
    <row r="31" customFormat="false" ht="12" hidden="false" customHeight="true" outlineLevel="0" collapsed="false">
      <c r="C31" s="173" t="s">
        <v>43</v>
      </c>
      <c r="D31" s="174"/>
      <c r="E31" s="175"/>
      <c r="F31" s="175"/>
      <c r="G31" s="175"/>
      <c r="H31" s="181" t="n">
        <f aca="false">I18</f>
        <v>0</v>
      </c>
      <c r="I31" s="181"/>
      <c r="J31" s="181"/>
      <c r="K31" s="181"/>
      <c r="L31" s="181"/>
      <c r="M31" s="181"/>
      <c r="N31" s="181"/>
      <c r="O31" s="181"/>
      <c r="P31" s="181"/>
      <c r="Q31" s="181"/>
      <c r="R31" s="174"/>
      <c r="S31" s="182"/>
      <c r="Y31" s="177"/>
      <c r="AC31" s="183"/>
      <c r="AD31" s="173" t="s">
        <v>44</v>
      </c>
      <c r="AE31" s="174"/>
      <c r="AF31" s="175"/>
      <c r="AG31" s="175"/>
      <c r="AH31" s="175"/>
      <c r="AI31" s="181" t="n">
        <f aca="false">AP16</f>
        <v>0.0204</v>
      </c>
      <c r="AJ31" s="181"/>
      <c r="AK31" s="181"/>
      <c r="AL31" s="181"/>
      <c r="AM31" s="181"/>
      <c r="AN31" s="181"/>
      <c r="AO31" s="181"/>
      <c r="AP31" s="181"/>
      <c r="AQ31" s="181"/>
      <c r="AR31" s="181"/>
      <c r="AS31" s="174"/>
      <c r="AT31" s="182"/>
      <c r="AZ31" s="177"/>
      <c r="BE31" s="184" t="n">
        <f aca="false">H31/AI31-100%</f>
        <v>-1</v>
      </c>
      <c r="BF31" s="184"/>
      <c r="BG31" s="184"/>
      <c r="BH31" s="184"/>
      <c r="BJ31" s="185"/>
      <c r="BK31" s="186" t="n">
        <f aca="false">SUM(I9:Y13)</f>
        <v>0</v>
      </c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D31" s="66"/>
      <c r="CE31" s="45"/>
      <c r="CI31" s="45"/>
      <c r="CK31" s="45"/>
    </row>
    <row r="32" customFormat="false" ht="12" hidden="false" customHeight="true" outlineLevel="0" collapsed="false">
      <c r="C32" s="173" t="s">
        <v>23</v>
      </c>
      <c r="D32" s="174"/>
      <c r="E32" s="175"/>
      <c r="F32" s="175"/>
      <c r="G32" s="175"/>
      <c r="H32" s="175"/>
      <c r="I32" s="187" t="n">
        <f aca="false">I16</f>
        <v>48</v>
      </c>
      <c r="J32" s="187"/>
      <c r="K32" s="187"/>
      <c r="L32" s="187"/>
      <c r="M32" s="187"/>
      <c r="N32" s="187"/>
      <c r="O32" s="187"/>
      <c r="P32" s="175"/>
      <c r="Q32" s="175"/>
      <c r="R32" s="175"/>
      <c r="S32" s="188"/>
      <c r="Y32" s="171"/>
      <c r="AD32" s="173" t="s">
        <v>45</v>
      </c>
      <c r="AE32" s="174"/>
      <c r="AF32" s="175"/>
      <c r="AG32" s="175"/>
      <c r="AH32" s="175"/>
      <c r="AI32" s="175"/>
      <c r="AJ32" s="187" t="n">
        <f aca="false">I16</f>
        <v>48</v>
      </c>
      <c r="AK32" s="187"/>
      <c r="AL32" s="187"/>
      <c r="AM32" s="187"/>
      <c r="AN32" s="187"/>
      <c r="AO32" s="187"/>
      <c r="AP32" s="187"/>
      <c r="AQ32" s="175"/>
      <c r="AR32" s="175"/>
      <c r="AS32" s="175"/>
      <c r="AT32" s="188"/>
      <c r="AZ32" s="171"/>
      <c r="BE32" s="184"/>
      <c r="BF32" s="184"/>
      <c r="BG32" s="184"/>
      <c r="BH32" s="184"/>
      <c r="BJ32" s="189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E32" s="76"/>
      <c r="CI32" s="45"/>
      <c r="CK32" s="76"/>
    </row>
    <row r="33" customFormat="false" ht="9" hidden="false" customHeight="true" outlineLevel="0" collapsed="false">
      <c r="B33" s="77"/>
      <c r="C33" s="170"/>
      <c r="Y33" s="171"/>
      <c r="AD33" s="170"/>
      <c r="AZ33" s="171"/>
      <c r="CE33" s="78"/>
      <c r="CK33" s="78"/>
    </row>
    <row r="34" customFormat="false" ht="3" hidden="false" customHeight="true" outlineLevel="0" collapsed="false">
      <c r="B34" s="77"/>
      <c r="C34" s="190" t="s">
        <v>46</v>
      </c>
      <c r="D34" s="85"/>
      <c r="E34" s="191" t="s">
        <v>47</v>
      </c>
      <c r="F34" s="85"/>
      <c r="G34" s="191" t="s">
        <v>48</v>
      </c>
      <c r="H34" s="85"/>
      <c r="I34" s="191" t="s">
        <v>49</v>
      </c>
      <c r="J34" s="85"/>
      <c r="K34" s="85"/>
      <c r="L34" s="85"/>
      <c r="M34" s="85"/>
      <c r="N34" s="192"/>
      <c r="O34" s="191" t="n">
        <v>1</v>
      </c>
      <c r="P34" s="192"/>
      <c r="Q34" s="191" t="s">
        <v>50</v>
      </c>
      <c r="R34" s="192"/>
      <c r="S34" s="191" t="s">
        <v>51</v>
      </c>
      <c r="T34" s="192"/>
      <c r="U34" s="193" t="s">
        <v>52</v>
      </c>
      <c r="V34" s="85"/>
      <c r="W34" s="191" t="s">
        <v>49</v>
      </c>
      <c r="X34" s="194"/>
      <c r="Y34" s="195" t="s">
        <v>51</v>
      </c>
      <c r="AD34" s="190" t="s">
        <v>46</v>
      </c>
      <c r="AE34" s="85"/>
      <c r="AF34" s="191" t="s">
        <v>47</v>
      </c>
      <c r="AG34" s="85"/>
      <c r="AH34" s="191" t="s">
        <v>48</v>
      </c>
      <c r="AI34" s="85"/>
      <c r="AJ34" s="191" t="s">
        <v>49</v>
      </c>
      <c r="AK34" s="85"/>
      <c r="AL34" s="85"/>
      <c r="AM34" s="85"/>
      <c r="AN34" s="85"/>
      <c r="AO34" s="192"/>
      <c r="AP34" s="191" t="n">
        <v>1</v>
      </c>
      <c r="AQ34" s="192"/>
      <c r="AR34" s="191" t="s">
        <v>50</v>
      </c>
      <c r="AS34" s="192"/>
      <c r="AT34" s="191" t="s">
        <v>51</v>
      </c>
      <c r="AU34" s="192"/>
      <c r="AV34" s="193" t="s">
        <v>52</v>
      </c>
      <c r="AW34" s="85"/>
      <c r="AX34" s="191" t="s">
        <v>49</v>
      </c>
      <c r="AY34" s="194"/>
      <c r="AZ34" s="195" t="s">
        <v>51</v>
      </c>
      <c r="BE34" s="196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192"/>
      <c r="BT34" s="85"/>
      <c r="BU34" s="192"/>
      <c r="BV34" s="85"/>
      <c r="BW34" s="192"/>
      <c r="BX34" s="85"/>
      <c r="BY34" s="192"/>
      <c r="BZ34" s="85"/>
      <c r="CA34" s="85"/>
      <c r="CB34" s="85"/>
      <c r="CC34" s="194"/>
      <c r="CD34" s="85"/>
    </row>
    <row r="35" customFormat="false" ht="3" hidden="false" customHeight="true" outlineLevel="0" collapsed="false">
      <c r="B35" s="77"/>
      <c r="C35" s="190"/>
      <c r="D35" s="85"/>
      <c r="E35" s="191"/>
      <c r="F35" s="85"/>
      <c r="G35" s="191"/>
      <c r="H35" s="85"/>
      <c r="I35" s="191"/>
      <c r="J35" s="85"/>
      <c r="K35" s="85"/>
      <c r="L35" s="85"/>
      <c r="M35" s="85"/>
      <c r="N35" s="192"/>
      <c r="O35" s="191"/>
      <c r="P35" s="192"/>
      <c r="Q35" s="191"/>
      <c r="R35" s="192"/>
      <c r="S35" s="191"/>
      <c r="T35" s="192"/>
      <c r="U35" s="193"/>
      <c r="V35" s="85"/>
      <c r="W35" s="191"/>
      <c r="X35" s="194"/>
      <c r="Y35" s="195"/>
      <c r="AD35" s="190"/>
      <c r="AE35" s="85"/>
      <c r="AF35" s="191"/>
      <c r="AG35" s="85"/>
      <c r="AH35" s="191"/>
      <c r="AI35" s="85"/>
      <c r="AJ35" s="191"/>
      <c r="AK35" s="85"/>
      <c r="AL35" s="85"/>
      <c r="AM35" s="85"/>
      <c r="AN35" s="85"/>
      <c r="AO35" s="192"/>
      <c r="AP35" s="191"/>
      <c r="AQ35" s="192"/>
      <c r="AR35" s="191"/>
      <c r="AS35" s="192"/>
      <c r="AT35" s="191"/>
      <c r="AU35" s="192"/>
      <c r="AV35" s="193"/>
      <c r="AW35" s="85"/>
      <c r="AX35" s="191"/>
      <c r="AY35" s="194"/>
      <c r="AZ35" s="195"/>
      <c r="BE35" s="196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192"/>
      <c r="BT35" s="85"/>
      <c r="BU35" s="192"/>
      <c r="BV35" s="85"/>
      <c r="BW35" s="192"/>
      <c r="BX35" s="85"/>
      <c r="BY35" s="192"/>
      <c r="BZ35" s="85"/>
      <c r="CA35" s="85"/>
      <c r="CB35" s="85"/>
      <c r="CC35" s="194"/>
      <c r="CD35" s="85"/>
    </row>
    <row r="36" customFormat="false" ht="3" hidden="false" customHeight="true" outlineLevel="0" collapsed="false">
      <c r="B36" s="77"/>
      <c r="C36" s="190"/>
      <c r="D36" s="85"/>
      <c r="E36" s="191"/>
      <c r="F36" s="85"/>
      <c r="G36" s="191"/>
      <c r="H36" s="85"/>
      <c r="I36" s="191"/>
      <c r="J36" s="85"/>
      <c r="K36" s="85"/>
      <c r="L36" s="85"/>
      <c r="M36" s="85"/>
      <c r="N36" s="192"/>
      <c r="O36" s="191"/>
      <c r="P36" s="192"/>
      <c r="Q36" s="191"/>
      <c r="R36" s="192"/>
      <c r="S36" s="191"/>
      <c r="T36" s="192"/>
      <c r="U36" s="193"/>
      <c r="V36" s="85"/>
      <c r="W36" s="191"/>
      <c r="X36" s="194"/>
      <c r="Y36" s="195"/>
      <c r="AD36" s="190"/>
      <c r="AE36" s="85"/>
      <c r="AF36" s="191"/>
      <c r="AG36" s="85"/>
      <c r="AH36" s="191"/>
      <c r="AI36" s="85"/>
      <c r="AJ36" s="191"/>
      <c r="AK36" s="85"/>
      <c r="AL36" s="85"/>
      <c r="AM36" s="85"/>
      <c r="AN36" s="85"/>
      <c r="AO36" s="192"/>
      <c r="AP36" s="191"/>
      <c r="AQ36" s="192"/>
      <c r="AR36" s="191"/>
      <c r="AS36" s="192"/>
      <c r="AT36" s="191"/>
      <c r="AU36" s="192"/>
      <c r="AV36" s="193"/>
      <c r="AW36" s="85"/>
      <c r="AX36" s="191"/>
      <c r="AY36" s="194"/>
      <c r="AZ36" s="195"/>
      <c r="BE36" s="196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192"/>
      <c r="BT36" s="85"/>
      <c r="BU36" s="192"/>
      <c r="BV36" s="85"/>
      <c r="BW36" s="192"/>
      <c r="BX36" s="85"/>
      <c r="BY36" s="192"/>
      <c r="BZ36" s="85"/>
      <c r="CA36" s="85"/>
      <c r="CB36" s="85"/>
      <c r="CC36" s="194"/>
      <c r="CD36" s="85"/>
    </row>
    <row r="37" customFormat="false" ht="3" hidden="false" customHeight="true" outlineLevel="0" collapsed="false">
      <c r="B37" s="77"/>
      <c r="C37" s="190"/>
      <c r="D37" s="85"/>
      <c r="E37" s="191"/>
      <c r="F37" s="85"/>
      <c r="G37" s="191"/>
      <c r="H37" s="85"/>
      <c r="I37" s="191"/>
      <c r="J37" s="85"/>
      <c r="K37" s="85"/>
      <c r="L37" s="85"/>
      <c r="M37" s="85"/>
      <c r="N37" s="85"/>
      <c r="O37" s="191"/>
      <c r="P37" s="85"/>
      <c r="Q37" s="191"/>
      <c r="R37" s="85"/>
      <c r="S37" s="191"/>
      <c r="T37" s="192"/>
      <c r="U37" s="192"/>
      <c r="V37" s="85"/>
      <c r="W37" s="191"/>
      <c r="X37" s="85"/>
      <c r="Y37" s="195"/>
      <c r="AD37" s="190"/>
      <c r="AE37" s="85"/>
      <c r="AF37" s="191"/>
      <c r="AG37" s="85"/>
      <c r="AH37" s="191"/>
      <c r="AI37" s="85"/>
      <c r="AJ37" s="191"/>
      <c r="AK37" s="85"/>
      <c r="AL37" s="85"/>
      <c r="AM37" s="85"/>
      <c r="AN37" s="85"/>
      <c r="AO37" s="85"/>
      <c r="AP37" s="191"/>
      <c r="AQ37" s="85"/>
      <c r="AR37" s="191"/>
      <c r="AS37" s="85"/>
      <c r="AT37" s="191"/>
      <c r="AU37" s="192"/>
      <c r="AV37" s="192"/>
      <c r="AW37" s="85"/>
      <c r="AX37" s="191"/>
      <c r="AY37" s="85"/>
      <c r="AZ37" s="195"/>
      <c r="BE37" s="196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192"/>
      <c r="BZ37" s="192"/>
      <c r="CA37" s="85"/>
      <c r="CB37" s="85"/>
      <c r="CC37" s="85"/>
      <c r="CD37" s="85"/>
    </row>
    <row r="38" customFormat="false" ht="3" hidden="false" customHeight="true" outlineLevel="0" collapsed="false">
      <c r="B38" s="77"/>
      <c r="C38" s="190"/>
      <c r="D38" s="85"/>
      <c r="E38" s="191"/>
      <c r="F38" s="85"/>
      <c r="G38" s="191"/>
      <c r="H38" s="85"/>
      <c r="I38" s="191"/>
      <c r="J38" s="85"/>
      <c r="K38" s="85"/>
      <c r="L38" s="85"/>
      <c r="M38" s="85"/>
      <c r="N38" s="85"/>
      <c r="O38" s="191"/>
      <c r="P38" s="85"/>
      <c r="Q38" s="191"/>
      <c r="R38" s="85"/>
      <c r="S38" s="191"/>
      <c r="T38" s="192"/>
      <c r="U38" s="192"/>
      <c r="V38" s="85"/>
      <c r="W38" s="191"/>
      <c r="X38" s="85"/>
      <c r="Y38" s="195"/>
      <c r="AD38" s="190"/>
      <c r="AE38" s="85"/>
      <c r="AF38" s="191"/>
      <c r="AG38" s="85"/>
      <c r="AH38" s="191"/>
      <c r="AI38" s="85"/>
      <c r="AJ38" s="191"/>
      <c r="AK38" s="85"/>
      <c r="AL38" s="85"/>
      <c r="AM38" s="85"/>
      <c r="AN38" s="85"/>
      <c r="AO38" s="85"/>
      <c r="AP38" s="191"/>
      <c r="AQ38" s="85"/>
      <c r="AR38" s="191"/>
      <c r="AS38" s="85"/>
      <c r="AT38" s="191"/>
      <c r="AU38" s="192"/>
      <c r="AV38" s="192"/>
      <c r="AW38" s="85"/>
      <c r="AX38" s="191"/>
      <c r="AY38" s="85"/>
      <c r="AZ38" s="195"/>
      <c r="BE38" s="196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192"/>
      <c r="BZ38" s="192"/>
      <c r="CA38" s="85"/>
      <c r="CB38" s="85"/>
      <c r="CC38" s="85"/>
      <c r="CD38" s="85"/>
    </row>
    <row r="39" customFormat="false" ht="3" hidden="false" customHeight="true" outlineLevel="0" collapsed="false">
      <c r="B39" s="77"/>
      <c r="C39" s="190"/>
      <c r="D39" s="85"/>
      <c r="E39" s="191"/>
      <c r="F39" s="85"/>
      <c r="G39" s="191"/>
      <c r="H39" s="85"/>
      <c r="I39" s="191"/>
      <c r="J39" s="85"/>
      <c r="K39" s="85"/>
      <c r="L39" s="85"/>
      <c r="M39" s="85"/>
      <c r="N39" s="192"/>
      <c r="O39" s="191"/>
      <c r="P39" s="192"/>
      <c r="Q39" s="191"/>
      <c r="R39" s="192"/>
      <c r="S39" s="191"/>
      <c r="T39" s="192"/>
      <c r="U39" s="192"/>
      <c r="V39" s="85"/>
      <c r="W39" s="191"/>
      <c r="X39" s="85"/>
      <c r="Y39" s="195"/>
      <c r="AD39" s="190"/>
      <c r="AE39" s="85"/>
      <c r="AF39" s="191"/>
      <c r="AG39" s="85"/>
      <c r="AH39" s="191"/>
      <c r="AI39" s="85"/>
      <c r="AJ39" s="191"/>
      <c r="AK39" s="85"/>
      <c r="AL39" s="85"/>
      <c r="AM39" s="85"/>
      <c r="AN39" s="85"/>
      <c r="AO39" s="192"/>
      <c r="AP39" s="191"/>
      <c r="AQ39" s="192"/>
      <c r="AR39" s="191"/>
      <c r="AS39" s="192"/>
      <c r="AT39" s="191"/>
      <c r="AU39" s="192"/>
      <c r="AV39" s="192"/>
      <c r="AW39" s="85"/>
      <c r="AX39" s="191"/>
      <c r="AY39" s="85"/>
      <c r="AZ39" s="195"/>
      <c r="BE39" s="243" t="s">
        <v>53</v>
      </c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  <c r="BX39" s="243"/>
      <c r="BY39" s="243"/>
      <c r="BZ39" s="243"/>
      <c r="CA39" s="243"/>
      <c r="CB39" s="243"/>
      <c r="CC39" s="85"/>
      <c r="CD39" s="85"/>
    </row>
    <row r="40" customFormat="false" ht="3" hidden="false" customHeight="true" outlineLevel="0" collapsed="false">
      <c r="B40" s="77"/>
      <c r="C40" s="190"/>
      <c r="D40" s="192"/>
      <c r="E40" s="191"/>
      <c r="F40" s="85"/>
      <c r="G40" s="191"/>
      <c r="H40" s="85"/>
      <c r="I40" s="1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198"/>
      <c r="AD40" s="190"/>
      <c r="AE40" s="192"/>
      <c r="AF40" s="191"/>
      <c r="AG40" s="85"/>
      <c r="AH40" s="191"/>
      <c r="AI40" s="85"/>
      <c r="AJ40" s="191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198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  <c r="BX40" s="243"/>
      <c r="BY40" s="243"/>
      <c r="BZ40" s="243"/>
      <c r="CA40" s="243"/>
      <c r="CB40" s="243"/>
      <c r="CC40" s="85"/>
      <c r="CD40" s="85"/>
    </row>
    <row r="41" customFormat="false" ht="3" hidden="false" customHeight="true" outlineLevel="0" collapsed="false">
      <c r="B41" s="77"/>
      <c r="C41" s="190"/>
      <c r="D41" s="192"/>
      <c r="E41" s="191"/>
      <c r="F41" s="85"/>
      <c r="G41" s="191"/>
      <c r="H41" s="85"/>
      <c r="I41" s="1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198"/>
      <c r="AD41" s="190"/>
      <c r="AE41" s="192"/>
      <c r="AF41" s="191"/>
      <c r="AG41" s="85"/>
      <c r="AH41" s="191"/>
      <c r="AI41" s="85"/>
      <c r="AJ41" s="191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198"/>
      <c r="BE41" s="243"/>
      <c r="BF41" s="243"/>
      <c r="BG41" s="243"/>
      <c r="BH41" s="243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  <c r="BX41" s="243"/>
      <c r="BY41" s="243"/>
      <c r="BZ41" s="243"/>
      <c r="CA41" s="243"/>
      <c r="CB41" s="243"/>
      <c r="CC41" s="85"/>
      <c r="CD41" s="85"/>
    </row>
    <row r="42" customFormat="false" ht="3" hidden="false" customHeight="true" outlineLevel="0" collapsed="false">
      <c r="B42" s="77"/>
      <c r="C42" s="190"/>
      <c r="D42" s="85"/>
      <c r="E42" s="191"/>
      <c r="F42" s="85"/>
      <c r="G42" s="191"/>
      <c r="H42" s="85"/>
      <c r="I42" s="191"/>
      <c r="J42" s="85"/>
      <c r="K42" s="85"/>
      <c r="L42" s="85"/>
      <c r="M42" s="85"/>
      <c r="N42" s="192"/>
      <c r="O42" s="191" t="n">
        <v>1</v>
      </c>
      <c r="P42" s="192"/>
      <c r="Q42" s="191" t="s">
        <v>50</v>
      </c>
      <c r="R42" s="192"/>
      <c r="S42" s="191" t="s">
        <v>51</v>
      </c>
      <c r="T42" s="192"/>
      <c r="U42" s="193" t="s">
        <v>52</v>
      </c>
      <c r="V42" s="85"/>
      <c r="W42" s="191" t="s">
        <v>54</v>
      </c>
      <c r="X42" s="194"/>
      <c r="Y42" s="195" t="n">
        <v>1</v>
      </c>
      <c r="AD42" s="190"/>
      <c r="AE42" s="85"/>
      <c r="AF42" s="191"/>
      <c r="AG42" s="85"/>
      <c r="AH42" s="191"/>
      <c r="AI42" s="85"/>
      <c r="AJ42" s="191"/>
      <c r="AK42" s="85"/>
      <c r="AL42" s="85"/>
      <c r="AM42" s="85"/>
      <c r="AN42" s="85"/>
      <c r="AO42" s="192"/>
      <c r="AP42" s="191" t="n">
        <v>1</v>
      </c>
      <c r="AQ42" s="192"/>
      <c r="AR42" s="191" t="s">
        <v>50</v>
      </c>
      <c r="AS42" s="192"/>
      <c r="AT42" s="191" t="s">
        <v>51</v>
      </c>
      <c r="AU42" s="192"/>
      <c r="AV42" s="193" t="s">
        <v>52</v>
      </c>
      <c r="AW42" s="85"/>
      <c r="AX42" s="191" t="s">
        <v>54</v>
      </c>
      <c r="AY42" s="194"/>
      <c r="AZ42" s="195" t="n">
        <v>1</v>
      </c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  <c r="BX42" s="243"/>
      <c r="BY42" s="243"/>
      <c r="BZ42" s="243"/>
      <c r="CA42" s="243"/>
      <c r="CB42" s="243"/>
      <c r="CC42" s="194"/>
      <c r="CD42" s="85"/>
    </row>
    <row r="43" customFormat="false" ht="3" hidden="false" customHeight="true" outlineLevel="0" collapsed="false">
      <c r="B43" s="77"/>
      <c r="C43" s="190"/>
      <c r="D43" s="85"/>
      <c r="E43" s="191"/>
      <c r="F43" s="85"/>
      <c r="G43" s="191"/>
      <c r="H43" s="85"/>
      <c r="I43" s="191"/>
      <c r="J43" s="85"/>
      <c r="K43" s="85"/>
      <c r="L43" s="85"/>
      <c r="M43" s="85"/>
      <c r="N43" s="192"/>
      <c r="O43" s="191"/>
      <c r="P43" s="192"/>
      <c r="Q43" s="191"/>
      <c r="R43" s="192"/>
      <c r="S43" s="191"/>
      <c r="T43" s="192"/>
      <c r="U43" s="193"/>
      <c r="V43" s="85"/>
      <c r="W43" s="191"/>
      <c r="X43" s="194"/>
      <c r="Y43" s="195"/>
      <c r="AD43" s="190"/>
      <c r="AE43" s="85"/>
      <c r="AF43" s="191"/>
      <c r="AG43" s="85"/>
      <c r="AH43" s="191"/>
      <c r="AI43" s="85"/>
      <c r="AJ43" s="191"/>
      <c r="AK43" s="85"/>
      <c r="AL43" s="85"/>
      <c r="AM43" s="85"/>
      <c r="AN43" s="85"/>
      <c r="AO43" s="192"/>
      <c r="AP43" s="191"/>
      <c r="AQ43" s="192"/>
      <c r="AR43" s="191"/>
      <c r="AS43" s="192"/>
      <c r="AT43" s="191"/>
      <c r="AU43" s="192"/>
      <c r="AV43" s="193"/>
      <c r="AW43" s="85"/>
      <c r="AX43" s="191"/>
      <c r="AY43" s="194"/>
      <c r="AZ43" s="195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  <c r="BX43" s="243"/>
      <c r="BY43" s="243"/>
      <c r="BZ43" s="243"/>
      <c r="CA43" s="243"/>
      <c r="CB43" s="243"/>
      <c r="CC43" s="194"/>
      <c r="CD43" s="85"/>
    </row>
    <row r="44" customFormat="false" ht="3" hidden="false" customHeight="true" outlineLevel="0" collapsed="false">
      <c r="B44" s="77"/>
      <c r="C44" s="190"/>
      <c r="D44" s="85"/>
      <c r="E44" s="191"/>
      <c r="F44" s="85"/>
      <c r="G44" s="191"/>
      <c r="H44" s="85"/>
      <c r="I44" s="191"/>
      <c r="J44" s="85"/>
      <c r="K44" s="85"/>
      <c r="L44" s="85"/>
      <c r="M44" s="85"/>
      <c r="N44" s="192"/>
      <c r="O44" s="191"/>
      <c r="P44" s="192"/>
      <c r="Q44" s="191"/>
      <c r="R44" s="192"/>
      <c r="S44" s="191"/>
      <c r="T44" s="192"/>
      <c r="U44" s="193"/>
      <c r="V44" s="85"/>
      <c r="W44" s="191"/>
      <c r="X44" s="194"/>
      <c r="Y44" s="195"/>
      <c r="AD44" s="190"/>
      <c r="AE44" s="85"/>
      <c r="AF44" s="191"/>
      <c r="AG44" s="85"/>
      <c r="AH44" s="191"/>
      <c r="AI44" s="85"/>
      <c r="AJ44" s="191"/>
      <c r="AK44" s="85"/>
      <c r="AL44" s="85"/>
      <c r="AM44" s="85"/>
      <c r="AN44" s="85"/>
      <c r="AO44" s="192"/>
      <c r="AP44" s="191"/>
      <c r="AQ44" s="192"/>
      <c r="AR44" s="191"/>
      <c r="AS44" s="192"/>
      <c r="AT44" s="191"/>
      <c r="AU44" s="192"/>
      <c r="AV44" s="193"/>
      <c r="AW44" s="85"/>
      <c r="AX44" s="191"/>
      <c r="AY44" s="194"/>
      <c r="AZ44" s="195"/>
      <c r="BE44" s="243"/>
      <c r="BF44" s="243"/>
      <c r="BG44" s="243"/>
      <c r="BH44" s="243"/>
      <c r="BI44" s="243"/>
      <c r="BJ44" s="243"/>
      <c r="BK44" s="243"/>
      <c r="BL44" s="243"/>
      <c r="BM44" s="243"/>
      <c r="BN44" s="243"/>
      <c r="BO44" s="243"/>
      <c r="BP44" s="243"/>
      <c r="BQ44" s="243"/>
      <c r="BR44" s="243"/>
      <c r="BS44" s="243"/>
      <c r="BT44" s="243"/>
      <c r="BU44" s="243"/>
      <c r="BV44" s="243"/>
      <c r="BW44" s="243"/>
      <c r="BX44" s="243"/>
      <c r="BY44" s="243"/>
      <c r="BZ44" s="243"/>
      <c r="CA44" s="243"/>
      <c r="CB44" s="243"/>
      <c r="CC44" s="194"/>
      <c r="CD44" s="85"/>
    </row>
    <row r="45" customFormat="false" ht="3" hidden="false" customHeight="true" outlineLevel="0" collapsed="false">
      <c r="B45" s="77"/>
      <c r="C45" s="190"/>
      <c r="D45" s="85"/>
      <c r="E45" s="191"/>
      <c r="F45" s="85"/>
      <c r="G45" s="191"/>
      <c r="H45" s="85"/>
      <c r="I45" s="191"/>
      <c r="J45" s="85"/>
      <c r="K45" s="85"/>
      <c r="L45" s="85"/>
      <c r="M45" s="85"/>
      <c r="N45" s="85"/>
      <c r="O45" s="191"/>
      <c r="P45" s="85"/>
      <c r="Q45" s="191"/>
      <c r="R45" s="85"/>
      <c r="S45" s="191"/>
      <c r="T45" s="192"/>
      <c r="U45" s="192"/>
      <c r="V45" s="85"/>
      <c r="W45" s="191"/>
      <c r="X45" s="85"/>
      <c r="Y45" s="195"/>
      <c r="AD45" s="190"/>
      <c r="AE45" s="85"/>
      <c r="AF45" s="191"/>
      <c r="AG45" s="85"/>
      <c r="AH45" s="191"/>
      <c r="AI45" s="85"/>
      <c r="AJ45" s="191"/>
      <c r="AK45" s="85"/>
      <c r="AL45" s="85"/>
      <c r="AM45" s="85"/>
      <c r="AN45" s="85"/>
      <c r="AO45" s="85"/>
      <c r="AP45" s="191"/>
      <c r="AQ45" s="85"/>
      <c r="AR45" s="191"/>
      <c r="AS45" s="85"/>
      <c r="AT45" s="191"/>
      <c r="AU45" s="192"/>
      <c r="AV45" s="192"/>
      <c r="AW45" s="85"/>
      <c r="AX45" s="191"/>
      <c r="AY45" s="85"/>
      <c r="AZ45" s="195"/>
      <c r="BE45" s="243"/>
      <c r="BF45" s="243"/>
      <c r="BG45" s="243"/>
      <c r="BH45" s="243"/>
      <c r="BI45" s="243"/>
      <c r="BJ45" s="243"/>
      <c r="BK45" s="243"/>
      <c r="BL45" s="243"/>
      <c r="BM45" s="243"/>
      <c r="BN45" s="243"/>
      <c r="BO45" s="243"/>
      <c r="BP45" s="243"/>
      <c r="BQ45" s="243"/>
      <c r="BR45" s="243"/>
      <c r="BS45" s="243"/>
      <c r="BT45" s="243"/>
      <c r="BU45" s="243"/>
      <c r="BV45" s="243"/>
      <c r="BW45" s="243"/>
      <c r="BX45" s="243"/>
      <c r="BY45" s="243"/>
      <c r="BZ45" s="243"/>
      <c r="CA45" s="243"/>
      <c r="CB45" s="243"/>
      <c r="CC45" s="85"/>
      <c r="CD45" s="85"/>
    </row>
    <row r="46" customFormat="false" ht="3" hidden="false" customHeight="true" outlineLevel="0" collapsed="false">
      <c r="B46" s="77"/>
      <c r="C46" s="190"/>
      <c r="D46" s="85"/>
      <c r="E46" s="191"/>
      <c r="F46" s="85"/>
      <c r="G46" s="191"/>
      <c r="H46" s="85"/>
      <c r="I46" s="191"/>
      <c r="J46" s="85"/>
      <c r="K46" s="85"/>
      <c r="L46" s="85"/>
      <c r="M46" s="85"/>
      <c r="N46" s="85"/>
      <c r="O46" s="191"/>
      <c r="P46" s="85"/>
      <c r="Q46" s="191"/>
      <c r="R46" s="85"/>
      <c r="S46" s="191"/>
      <c r="T46" s="192"/>
      <c r="U46" s="192"/>
      <c r="V46" s="85"/>
      <c r="W46" s="191"/>
      <c r="X46" s="85"/>
      <c r="Y46" s="195"/>
      <c r="AD46" s="190"/>
      <c r="AE46" s="85"/>
      <c r="AF46" s="191"/>
      <c r="AG46" s="85"/>
      <c r="AH46" s="191"/>
      <c r="AI46" s="85"/>
      <c r="AJ46" s="191"/>
      <c r="AK46" s="85"/>
      <c r="AL46" s="85"/>
      <c r="AM46" s="85"/>
      <c r="AN46" s="85"/>
      <c r="AO46" s="85"/>
      <c r="AP46" s="191"/>
      <c r="AQ46" s="85"/>
      <c r="AR46" s="191"/>
      <c r="AS46" s="85"/>
      <c r="AT46" s="191"/>
      <c r="AU46" s="192"/>
      <c r="AV46" s="192"/>
      <c r="AW46" s="85"/>
      <c r="AX46" s="191"/>
      <c r="AY46" s="85"/>
      <c r="AZ46" s="195"/>
      <c r="BE46" s="244" t="n">
        <f aca="false">RATE(I16,I17,-I15)</f>
        <v>0.1</v>
      </c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P46" s="244"/>
      <c r="BQ46" s="244"/>
      <c r="BR46" s="244"/>
      <c r="BS46" s="244"/>
      <c r="BT46" s="244"/>
      <c r="BU46" s="244"/>
      <c r="BV46" s="244"/>
      <c r="BW46" s="244"/>
      <c r="BX46" s="244"/>
      <c r="BY46" s="244"/>
      <c r="BZ46" s="244"/>
      <c r="CA46" s="244"/>
      <c r="CB46" s="244"/>
      <c r="CC46" s="85"/>
      <c r="CD46" s="85"/>
    </row>
    <row r="47" customFormat="false" ht="3" hidden="false" customHeight="true" outlineLevel="0" collapsed="false">
      <c r="B47" s="77"/>
      <c r="C47" s="190"/>
      <c r="D47" s="85"/>
      <c r="E47" s="191"/>
      <c r="F47" s="85"/>
      <c r="G47" s="191"/>
      <c r="H47" s="85"/>
      <c r="I47" s="191"/>
      <c r="J47" s="85"/>
      <c r="K47" s="85"/>
      <c r="L47" s="85"/>
      <c r="M47" s="85"/>
      <c r="N47" s="192"/>
      <c r="O47" s="191"/>
      <c r="P47" s="192"/>
      <c r="Q47" s="191"/>
      <c r="R47" s="192"/>
      <c r="S47" s="191"/>
      <c r="T47" s="192"/>
      <c r="U47" s="192"/>
      <c r="V47" s="85"/>
      <c r="W47" s="191"/>
      <c r="X47" s="85"/>
      <c r="Y47" s="195"/>
      <c r="AD47" s="190"/>
      <c r="AE47" s="85"/>
      <c r="AF47" s="191"/>
      <c r="AG47" s="85"/>
      <c r="AH47" s="191"/>
      <c r="AI47" s="85"/>
      <c r="AJ47" s="191"/>
      <c r="AK47" s="85"/>
      <c r="AL47" s="85"/>
      <c r="AM47" s="85"/>
      <c r="AN47" s="85"/>
      <c r="AO47" s="192"/>
      <c r="AP47" s="191"/>
      <c r="AQ47" s="192"/>
      <c r="AR47" s="191"/>
      <c r="AS47" s="192"/>
      <c r="AT47" s="191"/>
      <c r="AU47" s="192"/>
      <c r="AV47" s="192"/>
      <c r="AW47" s="85"/>
      <c r="AX47" s="191"/>
      <c r="AY47" s="85"/>
      <c r="AZ47" s="195"/>
      <c r="BE47" s="244"/>
      <c r="BF47" s="244"/>
      <c r="BG47" s="244"/>
      <c r="BH47" s="244"/>
      <c r="BI47" s="244"/>
      <c r="BJ47" s="244"/>
      <c r="BK47" s="244"/>
      <c r="BL47" s="244"/>
      <c r="BM47" s="244"/>
      <c r="BN47" s="244"/>
      <c r="BO47" s="244"/>
      <c r="BP47" s="244"/>
      <c r="BQ47" s="244"/>
      <c r="BR47" s="244"/>
      <c r="BS47" s="244"/>
      <c r="BT47" s="244"/>
      <c r="BU47" s="244"/>
      <c r="BV47" s="244"/>
      <c r="BW47" s="244"/>
      <c r="BX47" s="244"/>
      <c r="BY47" s="244"/>
      <c r="BZ47" s="244"/>
      <c r="CA47" s="244"/>
      <c r="CB47" s="244"/>
      <c r="CC47" s="85"/>
      <c r="CD47" s="85"/>
    </row>
    <row r="48" customFormat="false" ht="3" hidden="false" customHeight="true" outlineLevel="0" collapsed="false">
      <c r="C48" s="190"/>
      <c r="D48" s="85"/>
      <c r="E48" s="191"/>
      <c r="F48" s="85"/>
      <c r="G48" s="191"/>
      <c r="H48" s="85"/>
      <c r="I48" s="1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198"/>
      <c r="AD48" s="190"/>
      <c r="AE48" s="85"/>
      <c r="AF48" s="191"/>
      <c r="AG48" s="85"/>
      <c r="AH48" s="191"/>
      <c r="AI48" s="85"/>
      <c r="AJ48" s="191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198"/>
      <c r="BE48" s="244"/>
      <c r="BF48" s="244"/>
      <c r="BG48" s="244"/>
      <c r="BH48" s="244"/>
      <c r="BI48" s="244"/>
      <c r="BJ48" s="244"/>
      <c r="BK48" s="244"/>
      <c r="BL48" s="244"/>
      <c r="BM48" s="244"/>
      <c r="BN48" s="244"/>
      <c r="BO48" s="244"/>
      <c r="BP48" s="244"/>
      <c r="BQ48" s="244"/>
      <c r="BR48" s="244"/>
      <c r="BS48" s="244"/>
      <c r="BT48" s="244"/>
      <c r="BU48" s="244"/>
      <c r="BV48" s="244"/>
      <c r="BW48" s="244"/>
      <c r="BX48" s="244"/>
      <c r="BY48" s="244"/>
      <c r="BZ48" s="244"/>
      <c r="CA48" s="244"/>
      <c r="CB48" s="244"/>
      <c r="CC48" s="85"/>
      <c r="CD48" s="85"/>
    </row>
    <row r="49" customFormat="false" ht="9" hidden="false" customHeight="true" outlineLevel="0" collapsed="false">
      <c r="C49" s="172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198"/>
      <c r="AD49" s="172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198"/>
      <c r="BE49" s="244"/>
      <c r="BF49" s="244"/>
      <c r="BG49" s="244"/>
      <c r="BH49" s="244"/>
      <c r="BI49" s="244"/>
      <c r="BJ49" s="244"/>
      <c r="BK49" s="244"/>
      <c r="BL49" s="244"/>
      <c r="BM49" s="244"/>
      <c r="BN49" s="244"/>
      <c r="BO49" s="244"/>
      <c r="BP49" s="244"/>
      <c r="BQ49" s="244"/>
      <c r="BR49" s="244"/>
      <c r="BS49" s="244"/>
      <c r="BT49" s="244"/>
      <c r="BU49" s="244"/>
      <c r="BV49" s="244"/>
      <c r="BW49" s="244"/>
      <c r="BX49" s="244"/>
      <c r="BY49" s="244"/>
      <c r="BZ49" s="244"/>
      <c r="CA49" s="244"/>
      <c r="CB49" s="244"/>
      <c r="CC49" s="85"/>
      <c r="CD49" s="85"/>
    </row>
    <row r="50" customFormat="false" ht="3" hidden="false" customHeight="true" outlineLevel="0" collapsed="false">
      <c r="B50" s="77"/>
      <c r="C50" s="190" t="s">
        <v>46</v>
      </c>
      <c r="D50" s="85"/>
      <c r="E50" s="191" t="s">
        <v>47</v>
      </c>
      <c r="F50" s="85"/>
      <c r="G50" s="200" t="n">
        <f aca="false">H30</f>
        <v>0</v>
      </c>
      <c r="H50" s="85"/>
      <c r="I50" s="191" t="s">
        <v>49</v>
      </c>
      <c r="J50" s="85"/>
      <c r="K50" s="85"/>
      <c r="L50" s="85"/>
      <c r="M50" s="85"/>
      <c r="N50" s="192"/>
      <c r="O50" s="191" t="n">
        <v>1</v>
      </c>
      <c r="P50" s="192"/>
      <c r="Q50" s="191" t="s">
        <v>50</v>
      </c>
      <c r="R50" s="192"/>
      <c r="S50" s="201" t="n">
        <f aca="false">H31</f>
        <v>0</v>
      </c>
      <c r="T50" s="192"/>
      <c r="U50" s="202" t="n">
        <f aca="false">I32</f>
        <v>48</v>
      </c>
      <c r="V50" s="85"/>
      <c r="W50" s="191" t="s">
        <v>49</v>
      </c>
      <c r="X50" s="194"/>
      <c r="Y50" s="203" t="n">
        <f aca="false">S50</f>
        <v>0</v>
      </c>
      <c r="AD50" s="190" t="s">
        <v>46</v>
      </c>
      <c r="AE50" s="85"/>
      <c r="AF50" s="191" t="s">
        <v>47</v>
      </c>
      <c r="AG50" s="85"/>
      <c r="AH50" s="200" t="n">
        <f aca="false">AI30</f>
        <v>0</v>
      </c>
      <c r="AI50" s="85"/>
      <c r="AJ50" s="191" t="s">
        <v>49</v>
      </c>
      <c r="AK50" s="85"/>
      <c r="AL50" s="85"/>
      <c r="AM50" s="85"/>
      <c r="AN50" s="85"/>
      <c r="AO50" s="192"/>
      <c r="AP50" s="191" t="n">
        <v>1</v>
      </c>
      <c r="AQ50" s="192"/>
      <c r="AR50" s="191" t="s">
        <v>50</v>
      </c>
      <c r="AS50" s="192"/>
      <c r="AT50" s="201" t="n">
        <f aca="false">AI31</f>
        <v>0.0204</v>
      </c>
      <c r="AU50" s="192"/>
      <c r="AV50" s="202" t="n">
        <f aca="false">AJ32</f>
        <v>48</v>
      </c>
      <c r="AW50" s="85"/>
      <c r="AX50" s="191" t="s">
        <v>49</v>
      </c>
      <c r="AY50" s="194"/>
      <c r="AZ50" s="203" t="n">
        <f aca="false">AT50</f>
        <v>0.0204</v>
      </c>
      <c r="BE50" s="196"/>
      <c r="BF50" s="85"/>
      <c r="BG50" s="85"/>
      <c r="BH50" s="85"/>
      <c r="BI50" s="85"/>
      <c r="BJ50" s="85"/>
      <c r="BK50" s="85"/>
      <c r="BL50" s="204"/>
      <c r="BM50" s="85"/>
      <c r="BN50" s="85"/>
      <c r="BO50" s="85"/>
      <c r="BP50" s="85"/>
      <c r="BQ50" s="85"/>
      <c r="BR50" s="85"/>
      <c r="BS50" s="192"/>
      <c r="BT50" s="85"/>
      <c r="BU50" s="192"/>
      <c r="BV50" s="85"/>
      <c r="BW50" s="192"/>
      <c r="BX50" s="96"/>
      <c r="BY50" s="192"/>
      <c r="BZ50" s="205"/>
      <c r="CA50" s="85"/>
      <c r="CB50" s="85"/>
      <c r="CC50" s="194"/>
      <c r="CD50" s="96"/>
    </row>
    <row r="51" customFormat="false" ht="3" hidden="false" customHeight="true" outlineLevel="0" collapsed="false">
      <c r="B51" s="77"/>
      <c r="C51" s="190"/>
      <c r="D51" s="85"/>
      <c r="E51" s="191"/>
      <c r="F51" s="85"/>
      <c r="G51" s="200"/>
      <c r="H51" s="85"/>
      <c r="I51" s="191"/>
      <c r="J51" s="85"/>
      <c r="K51" s="85"/>
      <c r="L51" s="85"/>
      <c r="M51" s="85"/>
      <c r="N51" s="192"/>
      <c r="O51" s="191"/>
      <c r="P51" s="192"/>
      <c r="Q51" s="191"/>
      <c r="R51" s="192"/>
      <c r="S51" s="201"/>
      <c r="T51" s="192"/>
      <c r="U51" s="202"/>
      <c r="V51" s="85"/>
      <c r="W51" s="191"/>
      <c r="X51" s="194"/>
      <c r="Y51" s="203"/>
      <c r="AD51" s="190"/>
      <c r="AE51" s="85"/>
      <c r="AF51" s="191"/>
      <c r="AG51" s="85"/>
      <c r="AH51" s="200"/>
      <c r="AI51" s="85"/>
      <c r="AJ51" s="191"/>
      <c r="AK51" s="85"/>
      <c r="AL51" s="85"/>
      <c r="AM51" s="85"/>
      <c r="AN51" s="85"/>
      <c r="AO51" s="192"/>
      <c r="AP51" s="191"/>
      <c r="AQ51" s="192"/>
      <c r="AR51" s="191"/>
      <c r="AS51" s="192"/>
      <c r="AT51" s="201"/>
      <c r="AU51" s="192"/>
      <c r="AV51" s="202"/>
      <c r="AW51" s="85"/>
      <c r="AX51" s="191"/>
      <c r="AY51" s="194"/>
      <c r="AZ51" s="203"/>
      <c r="BE51" s="196"/>
      <c r="BF51" s="85"/>
      <c r="BG51" s="85"/>
      <c r="BH51" s="85"/>
      <c r="BI51" s="85"/>
      <c r="BJ51" s="85"/>
      <c r="BK51" s="85"/>
      <c r="BL51" s="204"/>
      <c r="BM51" s="85"/>
      <c r="BN51" s="85"/>
      <c r="BO51" s="85"/>
      <c r="BP51" s="85"/>
      <c r="BQ51" s="85"/>
      <c r="BR51" s="85"/>
      <c r="BS51" s="192"/>
      <c r="BT51" s="85"/>
      <c r="BU51" s="192"/>
      <c r="BV51" s="85"/>
      <c r="BW51" s="192"/>
      <c r="BX51" s="96"/>
      <c r="BY51" s="192"/>
      <c r="BZ51" s="205"/>
      <c r="CA51" s="85"/>
      <c r="CB51" s="85"/>
      <c r="CC51" s="194"/>
      <c r="CD51" s="96"/>
    </row>
    <row r="52" customFormat="false" ht="3" hidden="false" customHeight="true" outlineLevel="0" collapsed="false">
      <c r="B52" s="77"/>
      <c r="C52" s="190"/>
      <c r="D52" s="85"/>
      <c r="E52" s="191"/>
      <c r="F52" s="85"/>
      <c r="G52" s="200"/>
      <c r="H52" s="85"/>
      <c r="I52" s="191"/>
      <c r="J52" s="85"/>
      <c r="K52" s="85"/>
      <c r="L52" s="85"/>
      <c r="M52" s="85"/>
      <c r="N52" s="192"/>
      <c r="O52" s="191"/>
      <c r="P52" s="192"/>
      <c r="Q52" s="191"/>
      <c r="R52" s="192"/>
      <c r="S52" s="201"/>
      <c r="T52" s="192"/>
      <c r="U52" s="202"/>
      <c r="V52" s="85"/>
      <c r="W52" s="191"/>
      <c r="X52" s="194"/>
      <c r="Y52" s="203"/>
      <c r="AD52" s="190"/>
      <c r="AE52" s="85"/>
      <c r="AF52" s="191"/>
      <c r="AG52" s="85"/>
      <c r="AH52" s="200"/>
      <c r="AI52" s="85"/>
      <c r="AJ52" s="191"/>
      <c r="AK52" s="85"/>
      <c r="AL52" s="85"/>
      <c r="AM52" s="85"/>
      <c r="AN52" s="85"/>
      <c r="AO52" s="192"/>
      <c r="AP52" s="191"/>
      <c r="AQ52" s="192"/>
      <c r="AR52" s="191"/>
      <c r="AS52" s="192"/>
      <c r="AT52" s="201"/>
      <c r="AU52" s="192"/>
      <c r="AV52" s="202"/>
      <c r="AW52" s="85"/>
      <c r="AX52" s="191"/>
      <c r="AY52" s="194"/>
      <c r="AZ52" s="203"/>
      <c r="BE52" s="196"/>
      <c r="BF52" s="85"/>
      <c r="BG52" s="85"/>
      <c r="BH52" s="85"/>
      <c r="BI52" s="85"/>
      <c r="BJ52" s="85"/>
      <c r="BK52" s="85"/>
      <c r="BL52" s="204"/>
      <c r="BM52" s="85"/>
      <c r="BN52" s="85"/>
      <c r="BO52" s="85"/>
      <c r="BP52" s="85"/>
      <c r="BQ52" s="85"/>
      <c r="BR52" s="85"/>
      <c r="BS52" s="192"/>
      <c r="BT52" s="85"/>
      <c r="BU52" s="192"/>
      <c r="BV52" s="85"/>
      <c r="BW52" s="192"/>
      <c r="BX52" s="96"/>
      <c r="BY52" s="192"/>
      <c r="BZ52" s="205"/>
      <c r="CA52" s="85"/>
      <c r="CB52" s="85"/>
      <c r="CC52" s="194"/>
      <c r="CD52" s="96"/>
    </row>
    <row r="53" customFormat="false" ht="3" hidden="false" customHeight="true" outlineLevel="0" collapsed="false">
      <c r="B53" s="77"/>
      <c r="C53" s="190"/>
      <c r="D53" s="85"/>
      <c r="E53" s="191"/>
      <c r="F53" s="85"/>
      <c r="G53" s="200"/>
      <c r="H53" s="85"/>
      <c r="I53" s="191"/>
      <c r="J53" s="85"/>
      <c r="K53" s="85"/>
      <c r="L53" s="85"/>
      <c r="M53" s="85"/>
      <c r="N53" s="85"/>
      <c r="O53" s="191"/>
      <c r="P53" s="85"/>
      <c r="Q53" s="191"/>
      <c r="R53" s="85"/>
      <c r="S53" s="201"/>
      <c r="T53" s="192"/>
      <c r="U53" s="192"/>
      <c r="V53" s="85"/>
      <c r="W53" s="191"/>
      <c r="X53" s="85"/>
      <c r="Y53" s="203"/>
      <c r="AD53" s="190"/>
      <c r="AE53" s="85"/>
      <c r="AF53" s="191"/>
      <c r="AG53" s="85"/>
      <c r="AH53" s="200"/>
      <c r="AI53" s="85"/>
      <c r="AJ53" s="191"/>
      <c r="AK53" s="85"/>
      <c r="AL53" s="85"/>
      <c r="AM53" s="85"/>
      <c r="AN53" s="85"/>
      <c r="AO53" s="85"/>
      <c r="AP53" s="191"/>
      <c r="AQ53" s="85"/>
      <c r="AR53" s="191"/>
      <c r="AS53" s="85"/>
      <c r="AT53" s="201"/>
      <c r="AU53" s="192"/>
      <c r="AV53" s="192"/>
      <c r="AW53" s="85"/>
      <c r="AX53" s="191"/>
      <c r="AY53" s="85"/>
      <c r="AZ53" s="203"/>
      <c r="BE53" s="196"/>
      <c r="BF53" s="85"/>
      <c r="BG53" s="85"/>
      <c r="BH53" s="85"/>
      <c r="BI53" s="85"/>
      <c r="BJ53" s="85"/>
      <c r="BK53" s="85"/>
      <c r="BL53" s="204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96"/>
      <c r="BY53" s="192"/>
      <c r="BZ53" s="192"/>
      <c r="CA53" s="85"/>
      <c r="CB53" s="85"/>
      <c r="CC53" s="85"/>
      <c r="CD53" s="96"/>
    </row>
    <row r="54" customFormat="false" ht="3" hidden="false" customHeight="true" outlineLevel="0" collapsed="false">
      <c r="B54" s="77"/>
      <c r="C54" s="190"/>
      <c r="D54" s="85"/>
      <c r="E54" s="191"/>
      <c r="F54" s="85"/>
      <c r="G54" s="200"/>
      <c r="H54" s="85"/>
      <c r="I54" s="191"/>
      <c r="J54" s="85"/>
      <c r="K54" s="85"/>
      <c r="L54" s="85"/>
      <c r="M54" s="85"/>
      <c r="N54" s="85"/>
      <c r="O54" s="191"/>
      <c r="P54" s="85"/>
      <c r="Q54" s="191"/>
      <c r="R54" s="85"/>
      <c r="S54" s="201"/>
      <c r="T54" s="192"/>
      <c r="U54" s="192"/>
      <c r="V54" s="85"/>
      <c r="W54" s="191"/>
      <c r="X54" s="85"/>
      <c r="Y54" s="203"/>
      <c r="AD54" s="190"/>
      <c r="AE54" s="85"/>
      <c r="AF54" s="191"/>
      <c r="AG54" s="85"/>
      <c r="AH54" s="200"/>
      <c r="AI54" s="85"/>
      <c r="AJ54" s="191"/>
      <c r="AK54" s="85"/>
      <c r="AL54" s="85"/>
      <c r="AM54" s="85"/>
      <c r="AN54" s="85"/>
      <c r="AO54" s="85"/>
      <c r="AP54" s="191"/>
      <c r="AQ54" s="85"/>
      <c r="AR54" s="191"/>
      <c r="AS54" s="85"/>
      <c r="AT54" s="201"/>
      <c r="AU54" s="192"/>
      <c r="AV54" s="192"/>
      <c r="AW54" s="85"/>
      <c r="AX54" s="191"/>
      <c r="AY54" s="85"/>
      <c r="AZ54" s="203"/>
      <c r="BE54" s="196"/>
      <c r="BF54" s="85"/>
      <c r="BG54" s="85"/>
      <c r="BH54" s="85"/>
      <c r="BI54" s="85"/>
      <c r="BJ54" s="85"/>
      <c r="BK54" s="85"/>
      <c r="BL54" s="204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96"/>
      <c r="BY54" s="192"/>
      <c r="BZ54" s="192"/>
      <c r="CA54" s="85"/>
      <c r="CB54" s="85"/>
      <c r="CC54" s="85"/>
      <c r="CD54" s="96"/>
    </row>
    <row r="55" customFormat="false" ht="3" hidden="false" customHeight="true" outlineLevel="0" collapsed="false">
      <c r="B55" s="77"/>
      <c r="C55" s="190"/>
      <c r="D55" s="85"/>
      <c r="E55" s="191"/>
      <c r="F55" s="85"/>
      <c r="G55" s="200"/>
      <c r="H55" s="85"/>
      <c r="I55" s="191"/>
      <c r="J55" s="85"/>
      <c r="K55" s="85"/>
      <c r="L55" s="85"/>
      <c r="M55" s="85"/>
      <c r="N55" s="192"/>
      <c r="O55" s="191"/>
      <c r="P55" s="192"/>
      <c r="Q55" s="191"/>
      <c r="R55" s="192"/>
      <c r="S55" s="201"/>
      <c r="T55" s="192"/>
      <c r="U55" s="192"/>
      <c r="V55" s="85"/>
      <c r="W55" s="191"/>
      <c r="X55" s="85"/>
      <c r="Y55" s="203"/>
      <c r="AD55" s="190"/>
      <c r="AE55" s="85"/>
      <c r="AF55" s="191"/>
      <c r="AG55" s="85"/>
      <c r="AH55" s="200"/>
      <c r="AI55" s="85"/>
      <c r="AJ55" s="191"/>
      <c r="AK55" s="85"/>
      <c r="AL55" s="85"/>
      <c r="AM55" s="85"/>
      <c r="AN55" s="85"/>
      <c r="AO55" s="192"/>
      <c r="AP55" s="191"/>
      <c r="AQ55" s="192"/>
      <c r="AR55" s="191"/>
      <c r="AS55" s="192"/>
      <c r="AT55" s="201"/>
      <c r="AU55" s="192"/>
      <c r="AV55" s="192"/>
      <c r="AW55" s="85"/>
      <c r="AX55" s="191"/>
      <c r="AY55" s="85"/>
      <c r="AZ55" s="203"/>
      <c r="BE55" s="196"/>
      <c r="BF55" s="85"/>
      <c r="BG55" s="85"/>
      <c r="BH55" s="85"/>
      <c r="BI55" s="85"/>
      <c r="BJ55" s="85"/>
      <c r="BK55" s="85"/>
      <c r="BL55" s="204"/>
      <c r="BM55" s="85"/>
      <c r="BN55" s="85"/>
      <c r="BO55" s="85"/>
      <c r="BP55" s="85"/>
      <c r="BQ55" s="85"/>
      <c r="BR55" s="85"/>
      <c r="BS55" s="192"/>
      <c r="BT55" s="85"/>
      <c r="BU55" s="192"/>
      <c r="BV55" s="85"/>
      <c r="BW55" s="192"/>
      <c r="BX55" s="96"/>
      <c r="BY55" s="192"/>
      <c r="BZ55" s="192"/>
      <c r="CA55" s="85"/>
      <c r="CB55" s="85"/>
      <c r="CC55" s="85"/>
      <c r="CD55" s="96"/>
    </row>
    <row r="56" customFormat="false" ht="0.75" hidden="false" customHeight="true" outlineLevel="0" collapsed="false">
      <c r="B56" s="77"/>
      <c r="C56" s="190"/>
      <c r="D56" s="192"/>
      <c r="E56" s="191"/>
      <c r="F56" s="85"/>
      <c r="G56" s="200"/>
      <c r="H56" s="85"/>
      <c r="I56" s="1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198"/>
      <c r="AD56" s="190"/>
      <c r="AE56" s="192"/>
      <c r="AF56" s="191"/>
      <c r="AG56" s="85"/>
      <c r="AH56" s="200"/>
      <c r="AI56" s="85"/>
      <c r="AJ56" s="191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198"/>
      <c r="BE56" s="196"/>
      <c r="BF56" s="192"/>
      <c r="BG56" s="85"/>
      <c r="BH56" s="85"/>
      <c r="BI56" s="85"/>
      <c r="BJ56" s="85"/>
      <c r="BK56" s="85"/>
      <c r="BL56" s="204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</row>
    <row r="57" customFormat="false" ht="3" hidden="true" customHeight="true" outlineLevel="0" collapsed="false">
      <c r="B57" s="77"/>
      <c r="C57" s="190"/>
      <c r="D57" s="192"/>
      <c r="E57" s="191"/>
      <c r="F57" s="85"/>
      <c r="G57" s="200"/>
      <c r="H57" s="85"/>
      <c r="I57" s="1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198"/>
      <c r="AD57" s="190"/>
      <c r="AE57" s="192"/>
      <c r="AF57" s="191"/>
      <c r="AG57" s="85"/>
      <c r="AH57" s="200"/>
      <c r="AI57" s="85"/>
      <c r="AJ57" s="191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198"/>
      <c r="BE57" s="196"/>
      <c r="BF57" s="192"/>
      <c r="BG57" s="85"/>
      <c r="BH57" s="85"/>
      <c r="BI57" s="85"/>
      <c r="BJ57" s="85"/>
      <c r="BK57" s="85"/>
      <c r="BL57" s="204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</row>
    <row r="58" customFormat="false" ht="3" hidden="false" customHeight="true" outlineLevel="0" collapsed="false">
      <c r="B58" s="77"/>
      <c r="C58" s="190"/>
      <c r="D58" s="85"/>
      <c r="E58" s="191"/>
      <c r="F58" s="85"/>
      <c r="G58" s="200"/>
      <c r="H58" s="85"/>
      <c r="I58" s="191"/>
      <c r="J58" s="85"/>
      <c r="K58" s="85"/>
      <c r="L58" s="85"/>
      <c r="M58" s="85"/>
      <c r="N58" s="192"/>
      <c r="O58" s="191" t="n">
        <v>1</v>
      </c>
      <c r="P58" s="192"/>
      <c r="Q58" s="191" t="s">
        <v>50</v>
      </c>
      <c r="R58" s="192"/>
      <c r="S58" s="201" t="n">
        <f aca="false">S50</f>
        <v>0</v>
      </c>
      <c r="T58" s="192"/>
      <c r="U58" s="202" t="n">
        <f aca="false">U50</f>
        <v>48</v>
      </c>
      <c r="V58" s="85"/>
      <c r="W58" s="191" t="s">
        <v>54</v>
      </c>
      <c r="X58" s="194"/>
      <c r="Y58" s="195" t="n">
        <v>1</v>
      </c>
      <c r="AD58" s="190"/>
      <c r="AE58" s="85"/>
      <c r="AF58" s="191"/>
      <c r="AG58" s="85"/>
      <c r="AH58" s="200"/>
      <c r="AI58" s="85"/>
      <c r="AJ58" s="191"/>
      <c r="AK58" s="85"/>
      <c r="AL58" s="85"/>
      <c r="AM58" s="85"/>
      <c r="AN58" s="85"/>
      <c r="AO58" s="192"/>
      <c r="AP58" s="191" t="n">
        <v>1</v>
      </c>
      <c r="AQ58" s="192"/>
      <c r="AR58" s="191" t="s">
        <v>50</v>
      </c>
      <c r="AS58" s="192"/>
      <c r="AT58" s="201" t="n">
        <f aca="false">AT50</f>
        <v>0.0204</v>
      </c>
      <c r="AU58" s="192"/>
      <c r="AV58" s="202" t="n">
        <f aca="false">AV50</f>
        <v>48</v>
      </c>
      <c r="AW58" s="85"/>
      <c r="AX58" s="191" t="s">
        <v>54</v>
      </c>
      <c r="AY58" s="194"/>
      <c r="AZ58" s="195" t="n">
        <v>1</v>
      </c>
      <c r="BE58" s="196"/>
      <c r="BF58" s="85"/>
      <c r="BG58" s="85"/>
      <c r="BH58" s="85"/>
      <c r="BI58" s="85"/>
      <c r="BJ58" s="85"/>
      <c r="BK58" s="85"/>
      <c r="BL58" s="204"/>
      <c r="BM58" s="85"/>
      <c r="BN58" s="85"/>
      <c r="BO58" s="85"/>
      <c r="BP58" s="85"/>
      <c r="BQ58" s="85"/>
      <c r="BR58" s="85"/>
      <c r="BS58" s="192"/>
      <c r="BT58" s="85"/>
      <c r="BU58" s="192"/>
      <c r="BV58" s="85"/>
      <c r="BW58" s="192"/>
      <c r="BX58" s="96"/>
      <c r="BY58" s="192"/>
      <c r="BZ58" s="205"/>
      <c r="CA58" s="85"/>
      <c r="CB58" s="85"/>
      <c r="CC58" s="194"/>
      <c r="CD58" s="85"/>
    </row>
    <row r="59" customFormat="false" ht="3" hidden="false" customHeight="true" outlineLevel="0" collapsed="false">
      <c r="B59" s="77"/>
      <c r="C59" s="190"/>
      <c r="D59" s="85"/>
      <c r="E59" s="191"/>
      <c r="F59" s="85"/>
      <c r="G59" s="200"/>
      <c r="H59" s="85"/>
      <c r="I59" s="191"/>
      <c r="J59" s="85"/>
      <c r="K59" s="85"/>
      <c r="L59" s="85"/>
      <c r="M59" s="85"/>
      <c r="N59" s="192"/>
      <c r="O59" s="191"/>
      <c r="P59" s="192"/>
      <c r="Q59" s="191"/>
      <c r="R59" s="192"/>
      <c r="S59" s="201"/>
      <c r="T59" s="192"/>
      <c r="U59" s="202"/>
      <c r="V59" s="85"/>
      <c r="W59" s="191"/>
      <c r="X59" s="194"/>
      <c r="Y59" s="195"/>
      <c r="AD59" s="190"/>
      <c r="AE59" s="85"/>
      <c r="AF59" s="191"/>
      <c r="AG59" s="85"/>
      <c r="AH59" s="200"/>
      <c r="AI59" s="85"/>
      <c r="AJ59" s="191"/>
      <c r="AK59" s="85"/>
      <c r="AL59" s="85"/>
      <c r="AM59" s="85"/>
      <c r="AN59" s="85"/>
      <c r="AO59" s="192"/>
      <c r="AP59" s="191"/>
      <c r="AQ59" s="192"/>
      <c r="AR59" s="191"/>
      <c r="AS59" s="192"/>
      <c r="AT59" s="201"/>
      <c r="AU59" s="192"/>
      <c r="AV59" s="202"/>
      <c r="AW59" s="85"/>
      <c r="AX59" s="191"/>
      <c r="AY59" s="194"/>
      <c r="AZ59" s="195"/>
      <c r="BE59" s="196"/>
      <c r="BF59" s="85"/>
      <c r="BG59" s="85"/>
      <c r="BH59" s="85"/>
      <c r="BI59" s="85"/>
      <c r="BJ59" s="85"/>
      <c r="BK59" s="85"/>
      <c r="BL59" s="204"/>
      <c r="BM59" s="85"/>
      <c r="BN59" s="85"/>
      <c r="BO59" s="85"/>
      <c r="BP59" s="85"/>
      <c r="BQ59" s="85"/>
      <c r="BR59" s="85"/>
      <c r="BS59" s="192"/>
      <c r="BT59" s="85"/>
      <c r="BU59" s="192"/>
      <c r="BV59" s="85"/>
      <c r="BW59" s="192"/>
      <c r="BX59" s="96"/>
      <c r="BY59" s="192"/>
      <c r="BZ59" s="205"/>
      <c r="CA59" s="85"/>
      <c r="CB59" s="85"/>
      <c r="CC59" s="194"/>
      <c r="CD59" s="85"/>
    </row>
    <row r="60" customFormat="false" ht="3" hidden="false" customHeight="true" outlineLevel="0" collapsed="false">
      <c r="B60" s="77"/>
      <c r="C60" s="190"/>
      <c r="D60" s="85"/>
      <c r="E60" s="191"/>
      <c r="F60" s="85"/>
      <c r="G60" s="200"/>
      <c r="H60" s="85"/>
      <c r="I60" s="191"/>
      <c r="J60" s="85"/>
      <c r="K60" s="85"/>
      <c r="L60" s="85"/>
      <c r="M60" s="85"/>
      <c r="N60" s="192"/>
      <c r="O60" s="191"/>
      <c r="P60" s="192"/>
      <c r="Q60" s="191"/>
      <c r="R60" s="192"/>
      <c r="S60" s="201"/>
      <c r="T60" s="192"/>
      <c r="U60" s="202"/>
      <c r="V60" s="85"/>
      <c r="W60" s="191"/>
      <c r="X60" s="194"/>
      <c r="Y60" s="195"/>
      <c r="AD60" s="190"/>
      <c r="AE60" s="85"/>
      <c r="AF60" s="191"/>
      <c r="AG60" s="85"/>
      <c r="AH60" s="200"/>
      <c r="AI60" s="85"/>
      <c r="AJ60" s="191"/>
      <c r="AK60" s="85"/>
      <c r="AL60" s="85"/>
      <c r="AM60" s="85"/>
      <c r="AN60" s="85"/>
      <c r="AO60" s="192"/>
      <c r="AP60" s="191"/>
      <c r="AQ60" s="192"/>
      <c r="AR60" s="191"/>
      <c r="AS60" s="192"/>
      <c r="AT60" s="201"/>
      <c r="AU60" s="192"/>
      <c r="AV60" s="202"/>
      <c r="AW60" s="85"/>
      <c r="AX60" s="191"/>
      <c r="AY60" s="194"/>
      <c r="AZ60" s="195"/>
      <c r="BE60" s="196"/>
      <c r="BF60" s="85"/>
      <c r="BG60" s="85"/>
      <c r="BH60" s="85"/>
      <c r="BI60" s="85"/>
      <c r="BJ60" s="85"/>
      <c r="BK60" s="85"/>
      <c r="BL60" s="204"/>
      <c r="BM60" s="85"/>
      <c r="BN60" s="85"/>
      <c r="BO60" s="85"/>
      <c r="BP60" s="85"/>
      <c r="BQ60" s="85"/>
      <c r="BR60" s="85"/>
      <c r="BS60" s="192"/>
      <c r="BT60" s="85"/>
      <c r="BU60" s="192"/>
      <c r="BV60" s="85"/>
      <c r="BW60" s="192"/>
      <c r="BX60" s="96"/>
      <c r="BY60" s="192"/>
      <c r="BZ60" s="205"/>
      <c r="CA60" s="85"/>
      <c r="CB60" s="85"/>
      <c r="CC60" s="194"/>
      <c r="CD60" s="85"/>
    </row>
    <row r="61" customFormat="false" ht="3" hidden="false" customHeight="true" outlineLevel="0" collapsed="false">
      <c r="B61" s="77"/>
      <c r="C61" s="190"/>
      <c r="D61" s="85"/>
      <c r="E61" s="191"/>
      <c r="F61" s="85"/>
      <c r="G61" s="200"/>
      <c r="H61" s="85"/>
      <c r="I61" s="191"/>
      <c r="J61" s="85"/>
      <c r="K61" s="85"/>
      <c r="L61" s="85"/>
      <c r="M61" s="85"/>
      <c r="N61" s="85"/>
      <c r="O61" s="191"/>
      <c r="P61" s="85"/>
      <c r="Q61" s="191"/>
      <c r="R61" s="85"/>
      <c r="S61" s="201"/>
      <c r="T61" s="192"/>
      <c r="U61" s="192"/>
      <c r="V61" s="85"/>
      <c r="W61" s="191"/>
      <c r="X61" s="85"/>
      <c r="Y61" s="195"/>
      <c r="AD61" s="190"/>
      <c r="AE61" s="85"/>
      <c r="AF61" s="191"/>
      <c r="AG61" s="85"/>
      <c r="AH61" s="200"/>
      <c r="AI61" s="85"/>
      <c r="AJ61" s="191"/>
      <c r="AK61" s="85"/>
      <c r="AL61" s="85"/>
      <c r="AM61" s="85"/>
      <c r="AN61" s="85"/>
      <c r="AO61" s="85"/>
      <c r="AP61" s="191"/>
      <c r="AQ61" s="85"/>
      <c r="AR61" s="191"/>
      <c r="AS61" s="85"/>
      <c r="AT61" s="201"/>
      <c r="AU61" s="192"/>
      <c r="AV61" s="192"/>
      <c r="AW61" s="85"/>
      <c r="AX61" s="191"/>
      <c r="AY61" s="85"/>
      <c r="AZ61" s="195"/>
      <c r="BE61" s="196"/>
      <c r="BF61" s="85"/>
      <c r="BG61" s="85"/>
      <c r="BH61" s="85"/>
      <c r="BI61" s="85"/>
      <c r="BJ61" s="85"/>
      <c r="BK61" s="85"/>
      <c r="BL61" s="204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96"/>
      <c r="BY61" s="192"/>
      <c r="BZ61" s="192"/>
      <c r="CA61" s="85"/>
      <c r="CB61" s="85"/>
      <c r="CC61" s="85"/>
      <c r="CD61" s="85"/>
    </row>
    <row r="62" customFormat="false" ht="3" hidden="false" customHeight="true" outlineLevel="0" collapsed="false">
      <c r="B62" s="77"/>
      <c r="C62" s="190"/>
      <c r="D62" s="85"/>
      <c r="E62" s="191"/>
      <c r="F62" s="85"/>
      <c r="G62" s="200"/>
      <c r="H62" s="85"/>
      <c r="I62" s="191"/>
      <c r="J62" s="85"/>
      <c r="K62" s="85"/>
      <c r="L62" s="85"/>
      <c r="M62" s="85"/>
      <c r="N62" s="85"/>
      <c r="O62" s="191"/>
      <c r="P62" s="85"/>
      <c r="Q62" s="191"/>
      <c r="R62" s="85"/>
      <c r="S62" s="201"/>
      <c r="T62" s="192"/>
      <c r="U62" s="192"/>
      <c r="V62" s="85"/>
      <c r="W62" s="191"/>
      <c r="X62" s="85"/>
      <c r="Y62" s="195"/>
      <c r="AD62" s="190"/>
      <c r="AE62" s="85"/>
      <c r="AF62" s="191"/>
      <c r="AG62" s="85"/>
      <c r="AH62" s="200"/>
      <c r="AI62" s="85"/>
      <c r="AJ62" s="191"/>
      <c r="AK62" s="85"/>
      <c r="AL62" s="85"/>
      <c r="AM62" s="85"/>
      <c r="AN62" s="85"/>
      <c r="AO62" s="85"/>
      <c r="AP62" s="191"/>
      <c r="AQ62" s="85"/>
      <c r="AR62" s="191"/>
      <c r="AS62" s="85"/>
      <c r="AT62" s="201"/>
      <c r="AU62" s="192"/>
      <c r="AV62" s="192"/>
      <c r="AW62" s="85"/>
      <c r="AX62" s="191"/>
      <c r="AY62" s="85"/>
      <c r="AZ62" s="195"/>
      <c r="BE62" s="196"/>
      <c r="BF62" s="85"/>
      <c r="BG62" s="85"/>
      <c r="BH62" s="85"/>
      <c r="BI62" s="85"/>
      <c r="BJ62" s="85"/>
      <c r="BK62" s="85"/>
      <c r="BL62" s="204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96"/>
      <c r="BY62" s="192"/>
      <c r="BZ62" s="192"/>
      <c r="CA62" s="85"/>
      <c r="CB62" s="85"/>
      <c r="CC62" s="85"/>
      <c r="CD62" s="85"/>
    </row>
    <row r="63" customFormat="false" ht="3" hidden="false" customHeight="true" outlineLevel="0" collapsed="false">
      <c r="B63" s="77"/>
      <c r="C63" s="190"/>
      <c r="D63" s="85"/>
      <c r="E63" s="191"/>
      <c r="F63" s="85"/>
      <c r="G63" s="200"/>
      <c r="H63" s="85"/>
      <c r="I63" s="191"/>
      <c r="J63" s="85"/>
      <c r="K63" s="85"/>
      <c r="L63" s="85"/>
      <c r="M63" s="85"/>
      <c r="N63" s="192"/>
      <c r="O63" s="191"/>
      <c r="P63" s="192"/>
      <c r="Q63" s="191"/>
      <c r="R63" s="192"/>
      <c r="S63" s="201"/>
      <c r="T63" s="192"/>
      <c r="U63" s="192"/>
      <c r="V63" s="85"/>
      <c r="W63" s="191"/>
      <c r="X63" s="85"/>
      <c r="Y63" s="195"/>
      <c r="AD63" s="190"/>
      <c r="AE63" s="85"/>
      <c r="AF63" s="191"/>
      <c r="AG63" s="85"/>
      <c r="AH63" s="200"/>
      <c r="AI63" s="85"/>
      <c r="AJ63" s="191"/>
      <c r="AK63" s="85"/>
      <c r="AL63" s="85"/>
      <c r="AM63" s="85"/>
      <c r="AN63" s="85"/>
      <c r="AO63" s="192"/>
      <c r="AP63" s="191"/>
      <c r="AQ63" s="192"/>
      <c r="AR63" s="191"/>
      <c r="AS63" s="192"/>
      <c r="AT63" s="201"/>
      <c r="AU63" s="192"/>
      <c r="AV63" s="192"/>
      <c r="AW63" s="85"/>
      <c r="AX63" s="191"/>
      <c r="AY63" s="85"/>
      <c r="AZ63" s="195"/>
      <c r="BE63" s="196"/>
      <c r="BF63" s="85"/>
      <c r="BG63" s="85"/>
      <c r="BH63" s="85"/>
      <c r="BI63" s="85"/>
      <c r="BJ63" s="85"/>
      <c r="BK63" s="85"/>
      <c r="BL63" s="204"/>
      <c r="BM63" s="85"/>
      <c r="BN63" s="85"/>
      <c r="BO63" s="85"/>
      <c r="BP63" s="85"/>
      <c r="BQ63" s="85"/>
      <c r="BR63" s="85"/>
      <c r="BS63" s="192"/>
      <c r="BT63" s="85"/>
      <c r="BU63" s="192"/>
      <c r="BV63" s="85"/>
      <c r="BW63" s="192"/>
      <c r="BX63" s="96"/>
      <c r="BY63" s="192"/>
      <c r="BZ63" s="192"/>
      <c r="CA63" s="85"/>
      <c r="CB63" s="85"/>
      <c r="CC63" s="85"/>
      <c r="CD63" s="85"/>
    </row>
    <row r="64" customFormat="false" ht="3" hidden="true" customHeight="true" outlineLevel="0" collapsed="false">
      <c r="C64" s="190"/>
      <c r="D64" s="85"/>
      <c r="E64" s="191"/>
      <c r="F64" s="85"/>
      <c r="G64" s="200"/>
      <c r="H64" s="85"/>
      <c r="I64" s="1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198"/>
      <c r="AD64" s="190"/>
      <c r="AE64" s="85"/>
      <c r="AF64" s="191"/>
      <c r="AG64" s="85"/>
      <c r="AH64" s="200"/>
      <c r="AI64" s="85"/>
      <c r="AJ64" s="191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198"/>
      <c r="BE64" s="196"/>
      <c r="BF64" s="85"/>
      <c r="BG64" s="85"/>
      <c r="BH64" s="85"/>
      <c r="BI64" s="85"/>
      <c r="BJ64" s="85"/>
      <c r="BK64" s="85"/>
      <c r="BL64" s="204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</row>
    <row r="65" customFormat="false" ht="9" hidden="true" customHeight="true" outlineLevel="0" collapsed="false">
      <c r="C65" s="172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198"/>
      <c r="AD65" s="172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198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</row>
    <row r="66" customFormat="false" ht="3" hidden="true" customHeight="true" outlineLevel="0" collapsed="false">
      <c r="B66" s="77"/>
      <c r="C66" s="190" t="s">
        <v>55</v>
      </c>
      <c r="D66" s="85"/>
      <c r="E66" s="191" t="s">
        <v>47</v>
      </c>
      <c r="F66" s="85"/>
      <c r="G66" s="200" t="n">
        <f aca="false">G50</f>
        <v>0</v>
      </c>
      <c r="H66" s="85"/>
      <c r="I66" s="191" t="s">
        <v>49</v>
      </c>
      <c r="J66" s="85"/>
      <c r="K66" s="85"/>
      <c r="L66" s="85"/>
      <c r="M66" s="85"/>
      <c r="N66" s="192"/>
      <c r="O66" s="206" t="n">
        <f aca="false">O50+S50</f>
        <v>1</v>
      </c>
      <c r="P66" s="206"/>
      <c r="Q66" s="206"/>
      <c r="R66" s="206"/>
      <c r="S66" s="206"/>
      <c r="T66" s="192"/>
      <c r="U66" s="202" t="n">
        <f aca="false">U50</f>
        <v>48</v>
      </c>
      <c r="V66" s="85"/>
      <c r="W66" s="191" t="s">
        <v>49</v>
      </c>
      <c r="X66" s="194"/>
      <c r="Y66" s="207" t="n">
        <f aca="false">Y50</f>
        <v>0</v>
      </c>
      <c r="AD66" s="190" t="s">
        <v>55</v>
      </c>
      <c r="AE66" s="85"/>
      <c r="AF66" s="191" t="s">
        <v>47</v>
      </c>
      <c r="AG66" s="85"/>
      <c r="AH66" s="200" t="n">
        <f aca="false">AH50</f>
        <v>0</v>
      </c>
      <c r="AI66" s="85"/>
      <c r="AJ66" s="191" t="s">
        <v>49</v>
      </c>
      <c r="AK66" s="85"/>
      <c r="AL66" s="85"/>
      <c r="AM66" s="85"/>
      <c r="AN66" s="85"/>
      <c r="AO66" s="192"/>
      <c r="AP66" s="206" t="n">
        <f aca="false">AP50+AT50</f>
        <v>1.0204</v>
      </c>
      <c r="AQ66" s="206"/>
      <c r="AR66" s="206"/>
      <c r="AS66" s="206"/>
      <c r="AT66" s="206"/>
      <c r="AU66" s="192"/>
      <c r="AV66" s="202" t="n">
        <f aca="false">AV50</f>
        <v>48</v>
      </c>
      <c r="AW66" s="85"/>
      <c r="AX66" s="191" t="s">
        <v>49</v>
      </c>
      <c r="AY66" s="194"/>
      <c r="AZ66" s="207" t="n">
        <f aca="false">AZ50</f>
        <v>0.0204</v>
      </c>
      <c r="BE66" s="196"/>
      <c r="BF66" s="85"/>
      <c r="BG66" s="85"/>
      <c r="BH66" s="85"/>
      <c r="BI66" s="85"/>
      <c r="BJ66" s="85"/>
      <c r="BK66" s="85"/>
      <c r="BL66" s="204"/>
      <c r="BM66" s="85"/>
      <c r="BN66" s="85"/>
      <c r="BO66" s="85"/>
      <c r="BP66" s="85"/>
      <c r="BQ66" s="85"/>
      <c r="BR66" s="85"/>
      <c r="BS66" s="192"/>
      <c r="BT66" s="208"/>
      <c r="BU66" s="208"/>
      <c r="BV66" s="208"/>
      <c r="BW66" s="208"/>
      <c r="BX66" s="208"/>
      <c r="BY66" s="192"/>
      <c r="BZ66" s="205"/>
      <c r="CA66" s="85"/>
      <c r="CB66" s="85"/>
      <c r="CC66" s="194"/>
      <c r="CD66" s="96"/>
    </row>
    <row r="67" customFormat="false" ht="3" hidden="true" customHeight="true" outlineLevel="0" collapsed="false">
      <c r="B67" s="77"/>
      <c r="C67" s="190"/>
      <c r="D67" s="85"/>
      <c r="E67" s="191"/>
      <c r="F67" s="85"/>
      <c r="G67" s="200"/>
      <c r="H67" s="85"/>
      <c r="I67" s="191"/>
      <c r="J67" s="85"/>
      <c r="K67" s="85"/>
      <c r="L67" s="85"/>
      <c r="M67" s="85"/>
      <c r="N67" s="192"/>
      <c r="O67" s="206"/>
      <c r="P67" s="206"/>
      <c r="Q67" s="206"/>
      <c r="R67" s="206"/>
      <c r="S67" s="206"/>
      <c r="T67" s="192"/>
      <c r="U67" s="202"/>
      <c r="V67" s="85"/>
      <c r="W67" s="191"/>
      <c r="X67" s="194"/>
      <c r="Y67" s="207"/>
      <c r="AD67" s="190"/>
      <c r="AE67" s="85"/>
      <c r="AF67" s="191"/>
      <c r="AG67" s="85"/>
      <c r="AH67" s="200"/>
      <c r="AI67" s="85"/>
      <c r="AJ67" s="191"/>
      <c r="AK67" s="85"/>
      <c r="AL67" s="85"/>
      <c r="AM67" s="85"/>
      <c r="AN67" s="85"/>
      <c r="AO67" s="192"/>
      <c r="AP67" s="206"/>
      <c r="AQ67" s="206"/>
      <c r="AR67" s="206"/>
      <c r="AS67" s="206"/>
      <c r="AT67" s="206"/>
      <c r="AU67" s="192"/>
      <c r="AV67" s="202"/>
      <c r="AW67" s="85"/>
      <c r="AX67" s="191"/>
      <c r="AY67" s="194"/>
      <c r="AZ67" s="207"/>
      <c r="BE67" s="196"/>
      <c r="BF67" s="85"/>
      <c r="BG67" s="85"/>
      <c r="BH67" s="85"/>
      <c r="BI67" s="85"/>
      <c r="BJ67" s="85"/>
      <c r="BK67" s="85"/>
      <c r="BL67" s="204"/>
      <c r="BM67" s="85"/>
      <c r="BN67" s="85"/>
      <c r="BO67" s="85"/>
      <c r="BP67" s="85"/>
      <c r="BQ67" s="85"/>
      <c r="BR67" s="85"/>
      <c r="BS67" s="192"/>
      <c r="BT67" s="208"/>
      <c r="BU67" s="208"/>
      <c r="BV67" s="208"/>
      <c r="BW67" s="208"/>
      <c r="BX67" s="208"/>
      <c r="BY67" s="192"/>
      <c r="BZ67" s="205"/>
      <c r="CA67" s="85"/>
      <c r="CB67" s="85"/>
      <c r="CC67" s="194"/>
      <c r="CD67" s="96"/>
    </row>
    <row r="68" customFormat="false" ht="3" hidden="true" customHeight="true" outlineLevel="0" collapsed="false">
      <c r="B68" s="77"/>
      <c r="C68" s="190"/>
      <c r="D68" s="85"/>
      <c r="E68" s="191"/>
      <c r="F68" s="85"/>
      <c r="G68" s="200"/>
      <c r="H68" s="85"/>
      <c r="I68" s="191"/>
      <c r="J68" s="85"/>
      <c r="K68" s="85"/>
      <c r="L68" s="85"/>
      <c r="M68" s="85"/>
      <c r="N68" s="192"/>
      <c r="O68" s="206"/>
      <c r="P68" s="206"/>
      <c r="Q68" s="206"/>
      <c r="R68" s="206"/>
      <c r="S68" s="206"/>
      <c r="T68" s="192"/>
      <c r="U68" s="202"/>
      <c r="V68" s="85"/>
      <c r="W68" s="191"/>
      <c r="X68" s="194"/>
      <c r="Y68" s="207"/>
      <c r="AD68" s="190"/>
      <c r="AE68" s="85"/>
      <c r="AF68" s="191"/>
      <c r="AG68" s="85"/>
      <c r="AH68" s="200"/>
      <c r="AI68" s="85"/>
      <c r="AJ68" s="191"/>
      <c r="AK68" s="85"/>
      <c r="AL68" s="85"/>
      <c r="AM68" s="85"/>
      <c r="AN68" s="85"/>
      <c r="AO68" s="192"/>
      <c r="AP68" s="206"/>
      <c r="AQ68" s="206"/>
      <c r="AR68" s="206"/>
      <c r="AS68" s="206"/>
      <c r="AT68" s="206"/>
      <c r="AU68" s="192"/>
      <c r="AV68" s="202"/>
      <c r="AW68" s="85"/>
      <c r="AX68" s="191"/>
      <c r="AY68" s="194"/>
      <c r="AZ68" s="207"/>
      <c r="BE68" s="196"/>
      <c r="BF68" s="85"/>
      <c r="BG68" s="85"/>
      <c r="BH68" s="85"/>
      <c r="BI68" s="85"/>
      <c r="BJ68" s="85"/>
      <c r="BK68" s="85"/>
      <c r="BL68" s="204"/>
      <c r="BM68" s="85"/>
      <c r="BN68" s="85"/>
      <c r="BO68" s="85"/>
      <c r="BP68" s="85"/>
      <c r="BQ68" s="85"/>
      <c r="BR68" s="85"/>
      <c r="BS68" s="192"/>
      <c r="BT68" s="208"/>
      <c r="BU68" s="208"/>
      <c r="BV68" s="208"/>
      <c r="BW68" s="208"/>
      <c r="BX68" s="208"/>
      <c r="BY68" s="192"/>
      <c r="BZ68" s="205"/>
      <c r="CA68" s="85"/>
      <c r="CB68" s="85"/>
      <c r="CC68" s="194"/>
      <c r="CD68" s="96"/>
    </row>
    <row r="69" customFormat="false" ht="3" hidden="true" customHeight="true" outlineLevel="0" collapsed="false">
      <c r="B69" s="77"/>
      <c r="C69" s="190"/>
      <c r="D69" s="85"/>
      <c r="E69" s="191"/>
      <c r="F69" s="85"/>
      <c r="G69" s="200"/>
      <c r="H69" s="85"/>
      <c r="I69" s="191"/>
      <c r="J69" s="85"/>
      <c r="K69" s="85"/>
      <c r="L69" s="85"/>
      <c r="M69" s="85"/>
      <c r="N69" s="85"/>
      <c r="O69" s="206"/>
      <c r="P69" s="206"/>
      <c r="Q69" s="206"/>
      <c r="R69" s="206"/>
      <c r="S69" s="206"/>
      <c r="T69" s="192"/>
      <c r="U69" s="192"/>
      <c r="V69" s="85"/>
      <c r="W69" s="191"/>
      <c r="X69" s="85"/>
      <c r="Y69" s="207"/>
      <c r="AD69" s="190"/>
      <c r="AE69" s="85"/>
      <c r="AF69" s="191"/>
      <c r="AG69" s="85"/>
      <c r="AH69" s="200"/>
      <c r="AI69" s="85"/>
      <c r="AJ69" s="191"/>
      <c r="AK69" s="85"/>
      <c r="AL69" s="85"/>
      <c r="AM69" s="85"/>
      <c r="AN69" s="85"/>
      <c r="AO69" s="85"/>
      <c r="AP69" s="206"/>
      <c r="AQ69" s="206"/>
      <c r="AR69" s="206"/>
      <c r="AS69" s="206"/>
      <c r="AT69" s="206"/>
      <c r="AU69" s="192"/>
      <c r="AV69" s="192"/>
      <c r="AW69" s="85"/>
      <c r="AX69" s="191"/>
      <c r="AY69" s="85"/>
      <c r="AZ69" s="207"/>
      <c r="BE69" s="196"/>
      <c r="BF69" s="85"/>
      <c r="BG69" s="85"/>
      <c r="BH69" s="85"/>
      <c r="BI69" s="85"/>
      <c r="BJ69" s="85"/>
      <c r="BK69" s="85"/>
      <c r="BL69" s="204"/>
      <c r="BM69" s="85"/>
      <c r="BN69" s="85"/>
      <c r="BO69" s="85"/>
      <c r="BP69" s="85"/>
      <c r="BQ69" s="85"/>
      <c r="BR69" s="85"/>
      <c r="BS69" s="85"/>
      <c r="BT69" s="208"/>
      <c r="BU69" s="208"/>
      <c r="BV69" s="208"/>
      <c r="BW69" s="208"/>
      <c r="BX69" s="208"/>
      <c r="BY69" s="192"/>
      <c r="BZ69" s="192"/>
      <c r="CA69" s="85"/>
      <c r="CB69" s="85"/>
      <c r="CC69" s="85"/>
      <c r="CD69" s="96"/>
    </row>
    <row r="70" customFormat="false" ht="3" hidden="true" customHeight="true" outlineLevel="0" collapsed="false">
      <c r="B70" s="77"/>
      <c r="C70" s="190"/>
      <c r="D70" s="85"/>
      <c r="E70" s="191"/>
      <c r="F70" s="85"/>
      <c r="G70" s="200"/>
      <c r="H70" s="85"/>
      <c r="I70" s="191"/>
      <c r="J70" s="85"/>
      <c r="K70" s="85"/>
      <c r="L70" s="85"/>
      <c r="M70" s="85"/>
      <c r="N70" s="85"/>
      <c r="O70" s="206"/>
      <c r="P70" s="206"/>
      <c r="Q70" s="206"/>
      <c r="R70" s="206"/>
      <c r="S70" s="206"/>
      <c r="T70" s="192"/>
      <c r="U70" s="192"/>
      <c r="V70" s="85"/>
      <c r="W70" s="191"/>
      <c r="X70" s="85"/>
      <c r="Y70" s="207"/>
      <c r="AD70" s="190"/>
      <c r="AE70" s="85"/>
      <c r="AF70" s="191"/>
      <c r="AG70" s="85"/>
      <c r="AH70" s="200"/>
      <c r="AI70" s="85"/>
      <c r="AJ70" s="191"/>
      <c r="AK70" s="85"/>
      <c r="AL70" s="85"/>
      <c r="AM70" s="85"/>
      <c r="AN70" s="85"/>
      <c r="AO70" s="85"/>
      <c r="AP70" s="206"/>
      <c r="AQ70" s="206"/>
      <c r="AR70" s="206"/>
      <c r="AS70" s="206"/>
      <c r="AT70" s="206"/>
      <c r="AU70" s="192"/>
      <c r="AV70" s="192"/>
      <c r="AW70" s="85"/>
      <c r="AX70" s="191"/>
      <c r="AY70" s="85"/>
      <c r="AZ70" s="207"/>
      <c r="BE70" s="196"/>
      <c r="BF70" s="85"/>
      <c r="BG70" s="85"/>
      <c r="BH70" s="85"/>
      <c r="BI70" s="85"/>
      <c r="BJ70" s="85"/>
      <c r="BK70" s="85"/>
      <c r="BL70" s="204"/>
      <c r="BM70" s="85"/>
      <c r="BN70" s="85"/>
      <c r="BO70" s="85"/>
      <c r="BP70" s="85"/>
      <c r="BQ70" s="85"/>
      <c r="BR70" s="85"/>
      <c r="BS70" s="85"/>
      <c r="BT70" s="208"/>
      <c r="BU70" s="208"/>
      <c r="BV70" s="208"/>
      <c r="BW70" s="208"/>
      <c r="BX70" s="208"/>
      <c r="BY70" s="192"/>
      <c r="BZ70" s="192"/>
      <c r="CA70" s="85"/>
      <c r="CB70" s="85"/>
      <c r="CC70" s="85"/>
      <c r="CD70" s="96"/>
    </row>
    <row r="71" customFormat="false" ht="3" hidden="true" customHeight="true" outlineLevel="0" collapsed="false">
      <c r="B71" s="77"/>
      <c r="C71" s="190"/>
      <c r="D71" s="85"/>
      <c r="E71" s="191"/>
      <c r="F71" s="85"/>
      <c r="G71" s="200"/>
      <c r="H71" s="85"/>
      <c r="I71" s="191"/>
      <c r="J71" s="85"/>
      <c r="K71" s="85"/>
      <c r="L71" s="85"/>
      <c r="M71" s="85"/>
      <c r="N71" s="192"/>
      <c r="O71" s="206"/>
      <c r="P71" s="206"/>
      <c r="Q71" s="206"/>
      <c r="R71" s="206"/>
      <c r="S71" s="206"/>
      <c r="T71" s="192"/>
      <c r="U71" s="192"/>
      <c r="V71" s="85"/>
      <c r="W71" s="191"/>
      <c r="X71" s="85"/>
      <c r="Y71" s="207"/>
      <c r="AD71" s="190"/>
      <c r="AE71" s="85"/>
      <c r="AF71" s="191"/>
      <c r="AG71" s="85"/>
      <c r="AH71" s="200"/>
      <c r="AI71" s="85"/>
      <c r="AJ71" s="191"/>
      <c r="AK71" s="85"/>
      <c r="AL71" s="85"/>
      <c r="AM71" s="85"/>
      <c r="AN71" s="85"/>
      <c r="AO71" s="192"/>
      <c r="AP71" s="206"/>
      <c r="AQ71" s="206"/>
      <c r="AR71" s="206"/>
      <c r="AS71" s="206"/>
      <c r="AT71" s="206"/>
      <c r="AU71" s="192"/>
      <c r="AV71" s="192"/>
      <c r="AW71" s="85"/>
      <c r="AX71" s="191"/>
      <c r="AY71" s="85"/>
      <c r="AZ71" s="207"/>
      <c r="BE71" s="196"/>
      <c r="BF71" s="85"/>
      <c r="BG71" s="85"/>
      <c r="BH71" s="85"/>
      <c r="BI71" s="85"/>
      <c r="BJ71" s="85"/>
      <c r="BK71" s="85"/>
      <c r="BL71" s="204"/>
      <c r="BM71" s="85"/>
      <c r="BN71" s="85"/>
      <c r="BO71" s="85"/>
      <c r="BP71" s="85"/>
      <c r="BQ71" s="85"/>
      <c r="BR71" s="85"/>
      <c r="BS71" s="192"/>
      <c r="BT71" s="208"/>
      <c r="BU71" s="208"/>
      <c r="BV71" s="208"/>
      <c r="BW71" s="208"/>
      <c r="BX71" s="208"/>
      <c r="BY71" s="192"/>
      <c r="BZ71" s="192"/>
      <c r="CA71" s="85"/>
      <c r="CB71" s="85"/>
      <c r="CC71" s="85"/>
      <c r="CD71" s="96"/>
    </row>
    <row r="72" customFormat="false" ht="3" hidden="true" customHeight="true" outlineLevel="0" collapsed="false">
      <c r="B72" s="77"/>
      <c r="C72" s="190"/>
      <c r="D72" s="192"/>
      <c r="E72" s="191"/>
      <c r="F72" s="85"/>
      <c r="G72" s="200"/>
      <c r="H72" s="85"/>
      <c r="I72" s="1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198"/>
      <c r="AD72" s="190"/>
      <c r="AE72" s="192"/>
      <c r="AF72" s="191"/>
      <c r="AG72" s="85"/>
      <c r="AH72" s="200"/>
      <c r="AI72" s="85"/>
      <c r="AJ72" s="191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198"/>
      <c r="BE72" s="196"/>
      <c r="BF72" s="192"/>
      <c r="BG72" s="85"/>
      <c r="BH72" s="85"/>
      <c r="BI72" s="85"/>
      <c r="BJ72" s="85"/>
      <c r="BK72" s="85"/>
      <c r="BL72" s="204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</row>
    <row r="73" customFormat="false" ht="3" hidden="true" customHeight="true" outlineLevel="0" collapsed="false">
      <c r="B73" s="77"/>
      <c r="C73" s="190"/>
      <c r="D73" s="192"/>
      <c r="E73" s="191"/>
      <c r="F73" s="85"/>
      <c r="G73" s="200"/>
      <c r="H73" s="85"/>
      <c r="I73" s="1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198"/>
      <c r="AD73" s="190"/>
      <c r="AE73" s="192"/>
      <c r="AF73" s="191"/>
      <c r="AG73" s="85"/>
      <c r="AH73" s="200"/>
      <c r="AI73" s="85"/>
      <c r="AJ73" s="191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198"/>
      <c r="BE73" s="196"/>
      <c r="BF73" s="192"/>
      <c r="BG73" s="85"/>
      <c r="BH73" s="85"/>
      <c r="BI73" s="85"/>
      <c r="BJ73" s="85"/>
      <c r="BK73" s="85"/>
      <c r="BL73" s="204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</row>
    <row r="74" customFormat="false" ht="3" hidden="true" customHeight="true" outlineLevel="0" collapsed="false">
      <c r="B74" s="77"/>
      <c r="C74" s="190"/>
      <c r="D74" s="85"/>
      <c r="E74" s="191"/>
      <c r="F74" s="85"/>
      <c r="G74" s="200"/>
      <c r="H74" s="85"/>
      <c r="I74" s="191"/>
      <c r="J74" s="85"/>
      <c r="K74" s="85"/>
      <c r="L74" s="85"/>
      <c r="M74" s="85"/>
      <c r="N74" s="192"/>
      <c r="O74" s="206" t="n">
        <f aca="false">O66</f>
        <v>1</v>
      </c>
      <c r="P74" s="206"/>
      <c r="Q74" s="206"/>
      <c r="R74" s="206"/>
      <c r="S74" s="206"/>
      <c r="T74" s="192"/>
      <c r="U74" s="202" t="n">
        <f aca="false">U50</f>
        <v>48</v>
      </c>
      <c r="V74" s="85"/>
      <c r="W74" s="191" t="s">
        <v>54</v>
      </c>
      <c r="X74" s="194"/>
      <c r="Y74" s="195" t="n">
        <v>1</v>
      </c>
      <c r="AD74" s="190"/>
      <c r="AE74" s="85"/>
      <c r="AF74" s="191"/>
      <c r="AG74" s="85"/>
      <c r="AH74" s="200"/>
      <c r="AI74" s="85"/>
      <c r="AJ74" s="191"/>
      <c r="AK74" s="85"/>
      <c r="AL74" s="85"/>
      <c r="AM74" s="85"/>
      <c r="AN74" s="85"/>
      <c r="AO74" s="192"/>
      <c r="AP74" s="206" t="n">
        <f aca="false">AP66</f>
        <v>1.0204</v>
      </c>
      <c r="AQ74" s="206"/>
      <c r="AR74" s="206"/>
      <c r="AS74" s="206"/>
      <c r="AT74" s="206"/>
      <c r="AU74" s="192"/>
      <c r="AV74" s="202" t="n">
        <f aca="false">AV50</f>
        <v>48</v>
      </c>
      <c r="AW74" s="85"/>
      <c r="AX74" s="191" t="s">
        <v>54</v>
      </c>
      <c r="AY74" s="194"/>
      <c r="AZ74" s="195" t="n">
        <v>1</v>
      </c>
      <c r="BE74" s="196"/>
      <c r="BF74" s="85"/>
      <c r="BG74" s="85"/>
      <c r="BH74" s="85"/>
      <c r="BI74" s="85"/>
      <c r="BJ74" s="85"/>
      <c r="BK74" s="85"/>
      <c r="BL74" s="204"/>
      <c r="BM74" s="85"/>
      <c r="BN74" s="85"/>
      <c r="BO74" s="85"/>
      <c r="BP74" s="85"/>
      <c r="BQ74" s="85"/>
      <c r="BR74" s="85"/>
      <c r="BS74" s="192"/>
      <c r="BT74" s="208"/>
      <c r="BU74" s="208"/>
      <c r="BV74" s="208"/>
      <c r="BW74" s="208"/>
      <c r="BX74" s="208"/>
      <c r="BY74" s="192"/>
      <c r="BZ74" s="205"/>
      <c r="CA74" s="85"/>
      <c r="CB74" s="85"/>
      <c r="CC74" s="194"/>
      <c r="CD74" s="85"/>
    </row>
    <row r="75" customFormat="false" ht="3" hidden="true" customHeight="true" outlineLevel="0" collapsed="false">
      <c r="B75" s="77"/>
      <c r="C75" s="190"/>
      <c r="D75" s="85"/>
      <c r="E75" s="191"/>
      <c r="F75" s="85"/>
      <c r="G75" s="200"/>
      <c r="H75" s="85"/>
      <c r="I75" s="191"/>
      <c r="J75" s="85"/>
      <c r="K75" s="85"/>
      <c r="L75" s="85"/>
      <c r="M75" s="85"/>
      <c r="N75" s="192"/>
      <c r="O75" s="206"/>
      <c r="P75" s="206"/>
      <c r="Q75" s="206"/>
      <c r="R75" s="206"/>
      <c r="S75" s="206"/>
      <c r="T75" s="192"/>
      <c r="U75" s="202"/>
      <c r="V75" s="85"/>
      <c r="W75" s="191"/>
      <c r="X75" s="194"/>
      <c r="Y75" s="195"/>
      <c r="AD75" s="190"/>
      <c r="AE75" s="85"/>
      <c r="AF75" s="191"/>
      <c r="AG75" s="85"/>
      <c r="AH75" s="200"/>
      <c r="AI75" s="85"/>
      <c r="AJ75" s="191"/>
      <c r="AK75" s="85"/>
      <c r="AL75" s="85"/>
      <c r="AM75" s="85"/>
      <c r="AN75" s="85"/>
      <c r="AO75" s="192"/>
      <c r="AP75" s="206"/>
      <c r="AQ75" s="206"/>
      <c r="AR75" s="206"/>
      <c r="AS75" s="206"/>
      <c r="AT75" s="206"/>
      <c r="AU75" s="192"/>
      <c r="AV75" s="202"/>
      <c r="AW75" s="85"/>
      <c r="AX75" s="191"/>
      <c r="AY75" s="194"/>
      <c r="AZ75" s="195"/>
      <c r="BE75" s="196"/>
      <c r="BF75" s="85"/>
      <c r="BG75" s="85"/>
      <c r="BH75" s="85"/>
      <c r="BI75" s="85"/>
      <c r="BJ75" s="85"/>
      <c r="BK75" s="85"/>
      <c r="BL75" s="204"/>
      <c r="BM75" s="85"/>
      <c r="BN75" s="85"/>
      <c r="BO75" s="85"/>
      <c r="BP75" s="85"/>
      <c r="BQ75" s="85"/>
      <c r="BR75" s="85"/>
      <c r="BS75" s="192"/>
      <c r="BT75" s="208"/>
      <c r="BU75" s="208"/>
      <c r="BV75" s="208"/>
      <c r="BW75" s="208"/>
      <c r="BX75" s="208"/>
      <c r="BY75" s="192"/>
      <c r="BZ75" s="205"/>
      <c r="CA75" s="85"/>
      <c r="CB75" s="85"/>
      <c r="CC75" s="194"/>
      <c r="CD75" s="85"/>
    </row>
    <row r="76" customFormat="false" ht="3" hidden="true" customHeight="true" outlineLevel="0" collapsed="false">
      <c r="B76" s="77"/>
      <c r="C76" s="190"/>
      <c r="D76" s="85"/>
      <c r="E76" s="191"/>
      <c r="F76" s="85"/>
      <c r="G76" s="200"/>
      <c r="H76" s="85"/>
      <c r="I76" s="191"/>
      <c r="J76" s="85"/>
      <c r="K76" s="85"/>
      <c r="L76" s="85"/>
      <c r="M76" s="85"/>
      <c r="N76" s="192"/>
      <c r="O76" s="206"/>
      <c r="P76" s="206"/>
      <c r="Q76" s="206"/>
      <c r="R76" s="206"/>
      <c r="S76" s="206"/>
      <c r="T76" s="192"/>
      <c r="U76" s="202"/>
      <c r="V76" s="85"/>
      <c r="W76" s="191"/>
      <c r="X76" s="194"/>
      <c r="Y76" s="195"/>
      <c r="AD76" s="190"/>
      <c r="AE76" s="85"/>
      <c r="AF76" s="191"/>
      <c r="AG76" s="85"/>
      <c r="AH76" s="200"/>
      <c r="AI76" s="85"/>
      <c r="AJ76" s="191"/>
      <c r="AK76" s="85"/>
      <c r="AL76" s="85"/>
      <c r="AM76" s="85"/>
      <c r="AN76" s="85"/>
      <c r="AO76" s="192"/>
      <c r="AP76" s="206"/>
      <c r="AQ76" s="206"/>
      <c r="AR76" s="206"/>
      <c r="AS76" s="206"/>
      <c r="AT76" s="206"/>
      <c r="AU76" s="192"/>
      <c r="AV76" s="202"/>
      <c r="AW76" s="85"/>
      <c r="AX76" s="191"/>
      <c r="AY76" s="194"/>
      <c r="AZ76" s="195"/>
      <c r="BE76" s="196"/>
      <c r="BF76" s="85"/>
      <c r="BG76" s="85"/>
      <c r="BH76" s="85"/>
      <c r="BI76" s="85"/>
      <c r="BJ76" s="85"/>
      <c r="BK76" s="85"/>
      <c r="BL76" s="204"/>
      <c r="BM76" s="85"/>
      <c r="BN76" s="85"/>
      <c r="BO76" s="85"/>
      <c r="BP76" s="85"/>
      <c r="BQ76" s="85"/>
      <c r="BR76" s="85"/>
      <c r="BS76" s="192"/>
      <c r="BT76" s="208"/>
      <c r="BU76" s="208"/>
      <c r="BV76" s="208"/>
      <c r="BW76" s="208"/>
      <c r="BX76" s="208"/>
      <c r="BY76" s="192"/>
      <c r="BZ76" s="205"/>
      <c r="CA76" s="85"/>
      <c r="CB76" s="85"/>
      <c r="CC76" s="194"/>
      <c r="CD76" s="85"/>
    </row>
    <row r="77" customFormat="false" ht="3" hidden="true" customHeight="true" outlineLevel="0" collapsed="false">
      <c r="B77" s="77"/>
      <c r="C77" s="190"/>
      <c r="D77" s="85"/>
      <c r="E77" s="191"/>
      <c r="F77" s="85"/>
      <c r="G77" s="200"/>
      <c r="H77" s="85"/>
      <c r="I77" s="191"/>
      <c r="J77" s="85"/>
      <c r="K77" s="85"/>
      <c r="L77" s="85"/>
      <c r="M77" s="85"/>
      <c r="N77" s="85"/>
      <c r="O77" s="206"/>
      <c r="P77" s="206"/>
      <c r="Q77" s="206"/>
      <c r="R77" s="206"/>
      <c r="S77" s="206"/>
      <c r="T77" s="192"/>
      <c r="U77" s="192"/>
      <c r="V77" s="85"/>
      <c r="W77" s="191"/>
      <c r="X77" s="85"/>
      <c r="Y77" s="195"/>
      <c r="AD77" s="190"/>
      <c r="AE77" s="85"/>
      <c r="AF77" s="191"/>
      <c r="AG77" s="85"/>
      <c r="AH77" s="200"/>
      <c r="AI77" s="85"/>
      <c r="AJ77" s="191"/>
      <c r="AK77" s="85"/>
      <c r="AL77" s="85"/>
      <c r="AM77" s="85"/>
      <c r="AN77" s="85"/>
      <c r="AO77" s="85"/>
      <c r="AP77" s="206"/>
      <c r="AQ77" s="206"/>
      <c r="AR77" s="206"/>
      <c r="AS77" s="206"/>
      <c r="AT77" s="206"/>
      <c r="AU77" s="192"/>
      <c r="AV77" s="192"/>
      <c r="AW77" s="85"/>
      <c r="AX77" s="191"/>
      <c r="AY77" s="85"/>
      <c r="AZ77" s="195"/>
      <c r="BE77" s="196"/>
      <c r="BF77" s="85"/>
      <c r="BG77" s="85"/>
      <c r="BH77" s="85"/>
      <c r="BI77" s="85"/>
      <c r="BJ77" s="85"/>
      <c r="BK77" s="85"/>
      <c r="BL77" s="204"/>
      <c r="BM77" s="85"/>
      <c r="BN77" s="85"/>
      <c r="BO77" s="85"/>
      <c r="BP77" s="85"/>
      <c r="BQ77" s="85"/>
      <c r="BR77" s="85"/>
      <c r="BS77" s="85"/>
      <c r="BT77" s="208"/>
      <c r="BU77" s="208"/>
      <c r="BV77" s="208"/>
      <c r="BW77" s="208"/>
      <c r="BX77" s="208"/>
      <c r="BY77" s="192"/>
      <c r="BZ77" s="192"/>
      <c r="CA77" s="85"/>
      <c r="CB77" s="85"/>
      <c r="CC77" s="85"/>
      <c r="CD77" s="85"/>
    </row>
    <row r="78" customFormat="false" ht="3" hidden="true" customHeight="true" outlineLevel="0" collapsed="false">
      <c r="B78" s="77"/>
      <c r="C78" s="190"/>
      <c r="D78" s="85"/>
      <c r="E78" s="191"/>
      <c r="F78" s="85"/>
      <c r="G78" s="200"/>
      <c r="H78" s="85"/>
      <c r="I78" s="191"/>
      <c r="J78" s="85"/>
      <c r="K78" s="85"/>
      <c r="L78" s="85"/>
      <c r="M78" s="85"/>
      <c r="N78" s="85"/>
      <c r="O78" s="206"/>
      <c r="P78" s="206"/>
      <c r="Q78" s="206"/>
      <c r="R78" s="206"/>
      <c r="S78" s="206"/>
      <c r="T78" s="192"/>
      <c r="U78" s="192"/>
      <c r="V78" s="85"/>
      <c r="W78" s="191"/>
      <c r="X78" s="85"/>
      <c r="Y78" s="195"/>
      <c r="AD78" s="190"/>
      <c r="AE78" s="85"/>
      <c r="AF78" s="191"/>
      <c r="AG78" s="85"/>
      <c r="AH78" s="200"/>
      <c r="AI78" s="85"/>
      <c r="AJ78" s="191"/>
      <c r="AK78" s="85"/>
      <c r="AL78" s="85"/>
      <c r="AM78" s="85"/>
      <c r="AN78" s="85"/>
      <c r="AO78" s="85"/>
      <c r="AP78" s="206"/>
      <c r="AQ78" s="206"/>
      <c r="AR78" s="206"/>
      <c r="AS78" s="206"/>
      <c r="AT78" s="206"/>
      <c r="AU78" s="192"/>
      <c r="AV78" s="192"/>
      <c r="AW78" s="85"/>
      <c r="AX78" s="191"/>
      <c r="AY78" s="85"/>
      <c r="AZ78" s="195"/>
      <c r="BE78" s="196"/>
      <c r="BF78" s="85"/>
      <c r="BG78" s="85"/>
      <c r="BH78" s="85"/>
      <c r="BI78" s="85"/>
      <c r="BJ78" s="85"/>
      <c r="BK78" s="85"/>
      <c r="BL78" s="204"/>
      <c r="BM78" s="85"/>
      <c r="BN78" s="85"/>
      <c r="BO78" s="85"/>
      <c r="BP78" s="85"/>
      <c r="BQ78" s="85"/>
      <c r="BR78" s="85"/>
      <c r="BS78" s="85"/>
      <c r="BT78" s="208"/>
      <c r="BU78" s="208"/>
      <c r="BV78" s="208"/>
      <c r="BW78" s="208"/>
      <c r="BX78" s="208"/>
      <c r="BY78" s="192"/>
      <c r="BZ78" s="192"/>
      <c r="CA78" s="85"/>
      <c r="CB78" s="85"/>
      <c r="CC78" s="85"/>
      <c r="CD78" s="85"/>
    </row>
    <row r="79" customFormat="false" ht="3" hidden="true" customHeight="true" outlineLevel="0" collapsed="false">
      <c r="B79" s="77"/>
      <c r="C79" s="190"/>
      <c r="D79" s="85"/>
      <c r="E79" s="191"/>
      <c r="F79" s="85"/>
      <c r="G79" s="200"/>
      <c r="H79" s="85"/>
      <c r="I79" s="191"/>
      <c r="J79" s="85"/>
      <c r="K79" s="85"/>
      <c r="L79" s="85"/>
      <c r="M79" s="85"/>
      <c r="N79" s="192"/>
      <c r="O79" s="206"/>
      <c r="P79" s="206"/>
      <c r="Q79" s="206"/>
      <c r="R79" s="206"/>
      <c r="S79" s="206"/>
      <c r="T79" s="192"/>
      <c r="U79" s="192"/>
      <c r="V79" s="85"/>
      <c r="W79" s="191"/>
      <c r="X79" s="85"/>
      <c r="Y79" s="195"/>
      <c r="AD79" s="190"/>
      <c r="AE79" s="85"/>
      <c r="AF79" s="191"/>
      <c r="AG79" s="85"/>
      <c r="AH79" s="200"/>
      <c r="AI79" s="85"/>
      <c r="AJ79" s="191"/>
      <c r="AK79" s="85"/>
      <c r="AL79" s="85"/>
      <c r="AM79" s="85"/>
      <c r="AN79" s="85"/>
      <c r="AO79" s="192"/>
      <c r="AP79" s="206"/>
      <c r="AQ79" s="206"/>
      <c r="AR79" s="206"/>
      <c r="AS79" s="206"/>
      <c r="AT79" s="206"/>
      <c r="AU79" s="192"/>
      <c r="AV79" s="192"/>
      <c r="AW79" s="85"/>
      <c r="AX79" s="191"/>
      <c r="AY79" s="85"/>
      <c r="AZ79" s="195"/>
      <c r="BE79" s="196"/>
      <c r="BF79" s="85"/>
      <c r="BG79" s="85"/>
      <c r="BH79" s="85"/>
      <c r="BI79" s="85"/>
      <c r="BJ79" s="85"/>
      <c r="BK79" s="85"/>
      <c r="BL79" s="204"/>
      <c r="BM79" s="85"/>
      <c r="BN79" s="85"/>
      <c r="BO79" s="85"/>
      <c r="BP79" s="85"/>
      <c r="BQ79" s="85"/>
      <c r="BR79" s="85"/>
      <c r="BS79" s="192"/>
      <c r="BT79" s="208"/>
      <c r="BU79" s="208"/>
      <c r="BV79" s="208"/>
      <c r="BW79" s="208"/>
      <c r="BX79" s="208"/>
      <c r="BY79" s="192"/>
      <c r="BZ79" s="192"/>
      <c r="CA79" s="85"/>
      <c r="CB79" s="85"/>
      <c r="CC79" s="85"/>
      <c r="CD79" s="85"/>
    </row>
    <row r="80" customFormat="false" ht="3" hidden="true" customHeight="true" outlineLevel="0" collapsed="false">
      <c r="C80" s="190"/>
      <c r="D80" s="85"/>
      <c r="E80" s="191"/>
      <c r="F80" s="85"/>
      <c r="G80" s="200"/>
      <c r="H80" s="85"/>
      <c r="I80" s="1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198"/>
      <c r="AD80" s="190"/>
      <c r="AE80" s="85"/>
      <c r="AF80" s="191"/>
      <c r="AG80" s="85"/>
      <c r="AH80" s="200"/>
      <c r="AI80" s="85"/>
      <c r="AJ80" s="191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198"/>
      <c r="BE80" s="196"/>
      <c r="BF80" s="85"/>
      <c r="BG80" s="85"/>
      <c r="BH80" s="85"/>
      <c r="BI80" s="85"/>
      <c r="BJ80" s="85"/>
      <c r="BK80" s="85"/>
      <c r="BL80" s="204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</row>
    <row r="81" customFormat="false" ht="9" hidden="true" customHeight="true" outlineLevel="0" collapsed="false">
      <c r="C81" s="172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198"/>
      <c r="AD81" s="172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198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</row>
    <row r="82" customFormat="false" ht="3" hidden="true" customHeight="true" outlineLevel="0" collapsed="false">
      <c r="B82" s="77"/>
      <c r="C82" s="190" t="s">
        <v>55</v>
      </c>
      <c r="D82" s="85"/>
      <c r="E82" s="191" t="s">
        <v>47</v>
      </c>
      <c r="F82" s="85"/>
      <c r="G82" s="200" t="n">
        <f aca="false">G66</f>
        <v>0</v>
      </c>
      <c r="H82" s="85"/>
      <c r="I82" s="191" t="s">
        <v>49</v>
      </c>
      <c r="J82" s="85"/>
      <c r="K82" s="85"/>
      <c r="L82" s="85"/>
      <c r="M82" s="85"/>
      <c r="N82" s="192"/>
      <c r="O82" s="206" t="n">
        <f aca="false">POWER(O66,U66)</f>
        <v>1</v>
      </c>
      <c r="P82" s="206"/>
      <c r="Q82" s="206"/>
      <c r="R82" s="206"/>
      <c r="S82" s="206"/>
      <c r="T82" s="206"/>
      <c r="U82" s="206"/>
      <c r="V82" s="85"/>
      <c r="W82" s="191" t="s">
        <v>49</v>
      </c>
      <c r="X82" s="194"/>
      <c r="Y82" s="207" t="n">
        <f aca="false">Y66</f>
        <v>0</v>
      </c>
      <c r="AD82" s="190" t="s">
        <v>55</v>
      </c>
      <c r="AE82" s="85"/>
      <c r="AF82" s="191" t="s">
        <v>47</v>
      </c>
      <c r="AG82" s="85"/>
      <c r="AH82" s="200" t="n">
        <f aca="false">AH66</f>
        <v>0</v>
      </c>
      <c r="AI82" s="85"/>
      <c r="AJ82" s="191" t="s">
        <v>49</v>
      </c>
      <c r="AK82" s="85"/>
      <c r="AL82" s="85"/>
      <c r="AM82" s="85"/>
      <c r="AN82" s="85"/>
      <c r="AO82" s="192"/>
      <c r="AP82" s="206" t="n">
        <f aca="false">POWER(AP66,AV66)</f>
        <v>2.63621967511143</v>
      </c>
      <c r="AQ82" s="206"/>
      <c r="AR82" s="206"/>
      <c r="AS82" s="206"/>
      <c r="AT82" s="206"/>
      <c r="AU82" s="206"/>
      <c r="AV82" s="206"/>
      <c r="AW82" s="85"/>
      <c r="AX82" s="191" t="s">
        <v>49</v>
      </c>
      <c r="AY82" s="194"/>
      <c r="AZ82" s="207" t="n">
        <f aca="false">AZ66</f>
        <v>0.0204</v>
      </c>
      <c r="BE82" s="196"/>
      <c r="BF82" s="85"/>
      <c r="BG82" s="85"/>
      <c r="BH82" s="85"/>
      <c r="BI82" s="85"/>
      <c r="BJ82" s="85"/>
      <c r="BK82" s="85"/>
      <c r="BL82" s="204"/>
      <c r="BM82" s="85"/>
      <c r="BN82" s="85"/>
      <c r="BO82" s="85"/>
      <c r="BP82" s="85"/>
      <c r="BQ82" s="85"/>
      <c r="BR82" s="85"/>
      <c r="BS82" s="192"/>
      <c r="BT82" s="208"/>
      <c r="BU82" s="208"/>
      <c r="BV82" s="208"/>
      <c r="BW82" s="208"/>
      <c r="BX82" s="208"/>
      <c r="BY82" s="208"/>
      <c r="BZ82" s="208"/>
      <c r="CA82" s="85"/>
      <c r="CB82" s="85"/>
      <c r="CC82" s="194"/>
      <c r="CD82" s="96"/>
    </row>
    <row r="83" customFormat="false" ht="3" hidden="true" customHeight="true" outlineLevel="0" collapsed="false">
      <c r="B83" s="77"/>
      <c r="C83" s="190"/>
      <c r="D83" s="85"/>
      <c r="E83" s="191"/>
      <c r="F83" s="85"/>
      <c r="G83" s="200"/>
      <c r="H83" s="85"/>
      <c r="I83" s="191"/>
      <c r="J83" s="85"/>
      <c r="K83" s="85"/>
      <c r="L83" s="85"/>
      <c r="M83" s="85"/>
      <c r="N83" s="192"/>
      <c r="O83" s="206"/>
      <c r="P83" s="206"/>
      <c r="Q83" s="206"/>
      <c r="R83" s="206"/>
      <c r="S83" s="206"/>
      <c r="T83" s="206"/>
      <c r="U83" s="206"/>
      <c r="V83" s="85"/>
      <c r="W83" s="191"/>
      <c r="X83" s="194"/>
      <c r="Y83" s="207"/>
      <c r="AD83" s="190"/>
      <c r="AE83" s="85"/>
      <c r="AF83" s="191"/>
      <c r="AG83" s="85"/>
      <c r="AH83" s="200"/>
      <c r="AI83" s="85"/>
      <c r="AJ83" s="191"/>
      <c r="AK83" s="85"/>
      <c r="AL83" s="85"/>
      <c r="AM83" s="85"/>
      <c r="AN83" s="85"/>
      <c r="AO83" s="192"/>
      <c r="AP83" s="206"/>
      <c r="AQ83" s="206"/>
      <c r="AR83" s="206"/>
      <c r="AS83" s="206"/>
      <c r="AT83" s="206"/>
      <c r="AU83" s="206"/>
      <c r="AV83" s="206"/>
      <c r="AW83" s="85"/>
      <c r="AX83" s="191"/>
      <c r="AY83" s="194"/>
      <c r="AZ83" s="207"/>
      <c r="BE83" s="196"/>
      <c r="BF83" s="85"/>
      <c r="BG83" s="85"/>
      <c r="BH83" s="85"/>
      <c r="BI83" s="85"/>
      <c r="BJ83" s="85"/>
      <c r="BK83" s="85"/>
      <c r="BL83" s="204"/>
      <c r="BM83" s="85"/>
      <c r="BN83" s="85"/>
      <c r="BO83" s="85"/>
      <c r="BP83" s="85"/>
      <c r="BQ83" s="85"/>
      <c r="BR83" s="85"/>
      <c r="BS83" s="192"/>
      <c r="BT83" s="208"/>
      <c r="BU83" s="208"/>
      <c r="BV83" s="208"/>
      <c r="BW83" s="208"/>
      <c r="BX83" s="208"/>
      <c r="BY83" s="208"/>
      <c r="BZ83" s="208"/>
      <c r="CA83" s="85"/>
      <c r="CB83" s="85"/>
      <c r="CC83" s="194"/>
      <c r="CD83" s="96"/>
    </row>
    <row r="84" customFormat="false" ht="3" hidden="true" customHeight="true" outlineLevel="0" collapsed="false">
      <c r="B84" s="77"/>
      <c r="C84" s="190"/>
      <c r="D84" s="85"/>
      <c r="E84" s="191"/>
      <c r="F84" s="85"/>
      <c r="G84" s="200"/>
      <c r="H84" s="85"/>
      <c r="I84" s="191"/>
      <c r="J84" s="85"/>
      <c r="K84" s="85"/>
      <c r="L84" s="85"/>
      <c r="M84" s="85"/>
      <c r="N84" s="192"/>
      <c r="O84" s="206"/>
      <c r="P84" s="206"/>
      <c r="Q84" s="206"/>
      <c r="R84" s="206"/>
      <c r="S84" s="206"/>
      <c r="T84" s="206"/>
      <c r="U84" s="206"/>
      <c r="V84" s="85"/>
      <c r="W84" s="191"/>
      <c r="X84" s="194"/>
      <c r="Y84" s="207"/>
      <c r="AD84" s="190"/>
      <c r="AE84" s="85"/>
      <c r="AF84" s="191"/>
      <c r="AG84" s="85"/>
      <c r="AH84" s="200"/>
      <c r="AI84" s="85"/>
      <c r="AJ84" s="191"/>
      <c r="AK84" s="85"/>
      <c r="AL84" s="85"/>
      <c r="AM84" s="85"/>
      <c r="AN84" s="85"/>
      <c r="AO84" s="192"/>
      <c r="AP84" s="206"/>
      <c r="AQ84" s="206"/>
      <c r="AR84" s="206"/>
      <c r="AS84" s="206"/>
      <c r="AT84" s="206"/>
      <c r="AU84" s="206"/>
      <c r="AV84" s="206"/>
      <c r="AW84" s="85"/>
      <c r="AX84" s="191"/>
      <c r="AY84" s="194"/>
      <c r="AZ84" s="207"/>
      <c r="BE84" s="196"/>
      <c r="BF84" s="85"/>
      <c r="BG84" s="85"/>
      <c r="BH84" s="85"/>
      <c r="BI84" s="85"/>
      <c r="BJ84" s="85"/>
      <c r="BK84" s="85"/>
      <c r="BL84" s="204"/>
      <c r="BM84" s="85"/>
      <c r="BN84" s="85"/>
      <c r="BO84" s="85"/>
      <c r="BP84" s="85"/>
      <c r="BQ84" s="85"/>
      <c r="BR84" s="85"/>
      <c r="BS84" s="192"/>
      <c r="BT84" s="208"/>
      <c r="BU84" s="208"/>
      <c r="BV84" s="208"/>
      <c r="BW84" s="208"/>
      <c r="BX84" s="208"/>
      <c r="BY84" s="208"/>
      <c r="BZ84" s="208"/>
      <c r="CA84" s="85"/>
      <c r="CB84" s="85"/>
      <c r="CC84" s="194"/>
      <c r="CD84" s="96"/>
    </row>
    <row r="85" customFormat="false" ht="3" hidden="true" customHeight="true" outlineLevel="0" collapsed="false">
      <c r="B85" s="77"/>
      <c r="C85" s="190"/>
      <c r="D85" s="85"/>
      <c r="E85" s="191"/>
      <c r="F85" s="85"/>
      <c r="G85" s="200"/>
      <c r="H85" s="85"/>
      <c r="I85" s="191"/>
      <c r="J85" s="85"/>
      <c r="K85" s="85"/>
      <c r="L85" s="85"/>
      <c r="M85" s="85"/>
      <c r="N85" s="85"/>
      <c r="O85" s="206"/>
      <c r="P85" s="206"/>
      <c r="Q85" s="206"/>
      <c r="R85" s="206"/>
      <c r="S85" s="206"/>
      <c r="T85" s="206"/>
      <c r="U85" s="206"/>
      <c r="V85" s="85"/>
      <c r="W85" s="191"/>
      <c r="X85" s="85"/>
      <c r="Y85" s="207"/>
      <c r="AD85" s="190"/>
      <c r="AE85" s="85"/>
      <c r="AF85" s="191"/>
      <c r="AG85" s="85"/>
      <c r="AH85" s="200"/>
      <c r="AI85" s="85"/>
      <c r="AJ85" s="191"/>
      <c r="AK85" s="85"/>
      <c r="AL85" s="85"/>
      <c r="AM85" s="85"/>
      <c r="AN85" s="85"/>
      <c r="AO85" s="85"/>
      <c r="AP85" s="206"/>
      <c r="AQ85" s="206"/>
      <c r="AR85" s="206"/>
      <c r="AS85" s="206"/>
      <c r="AT85" s="206"/>
      <c r="AU85" s="206"/>
      <c r="AV85" s="206"/>
      <c r="AW85" s="85"/>
      <c r="AX85" s="191"/>
      <c r="AY85" s="85"/>
      <c r="AZ85" s="207"/>
      <c r="BE85" s="196"/>
      <c r="BF85" s="85"/>
      <c r="BG85" s="85"/>
      <c r="BH85" s="85"/>
      <c r="BI85" s="85"/>
      <c r="BJ85" s="85"/>
      <c r="BK85" s="85"/>
      <c r="BL85" s="204"/>
      <c r="BM85" s="85"/>
      <c r="BN85" s="85"/>
      <c r="BO85" s="85"/>
      <c r="BP85" s="85"/>
      <c r="BQ85" s="85"/>
      <c r="BR85" s="85"/>
      <c r="BS85" s="85"/>
      <c r="BT85" s="208"/>
      <c r="BU85" s="208"/>
      <c r="BV85" s="208"/>
      <c r="BW85" s="208"/>
      <c r="BX85" s="208"/>
      <c r="BY85" s="208"/>
      <c r="BZ85" s="208"/>
      <c r="CA85" s="85"/>
      <c r="CB85" s="85"/>
      <c r="CC85" s="85"/>
      <c r="CD85" s="96"/>
    </row>
    <row r="86" customFormat="false" ht="3" hidden="true" customHeight="true" outlineLevel="0" collapsed="false">
      <c r="B86" s="77"/>
      <c r="C86" s="190"/>
      <c r="D86" s="85"/>
      <c r="E86" s="191"/>
      <c r="F86" s="85"/>
      <c r="G86" s="200"/>
      <c r="H86" s="85"/>
      <c r="I86" s="191"/>
      <c r="J86" s="85"/>
      <c r="K86" s="85"/>
      <c r="L86" s="85"/>
      <c r="M86" s="85"/>
      <c r="N86" s="85"/>
      <c r="O86" s="206"/>
      <c r="P86" s="206"/>
      <c r="Q86" s="206"/>
      <c r="R86" s="206"/>
      <c r="S86" s="206"/>
      <c r="T86" s="206"/>
      <c r="U86" s="206"/>
      <c r="V86" s="85"/>
      <c r="W86" s="191"/>
      <c r="X86" s="85"/>
      <c r="Y86" s="207"/>
      <c r="AD86" s="190"/>
      <c r="AE86" s="85"/>
      <c r="AF86" s="191"/>
      <c r="AG86" s="85"/>
      <c r="AH86" s="200"/>
      <c r="AI86" s="85"/>
      <c r="AJ86" s="191"/>
      <c r="AK86" s="85"/>
      <c r="AL86" s="85"/>
      <c r="AM86" s="85"/>
      <c r="AN86" s="85"/>
      <c r="AO86" s="85"/>
      <c r="AP86" s="206"/>
      <c r="AQ86" s="206"/>
      <c r="AR86" s="206"/>
      <c r="AS86" s="206"/>
      <c r="AT86" s="206"/>
      <c r="AU86" s="206"/>
      <c r="AV86" s="206"/>
      <c r="AW86" s="85"/>
      <c r="AX86" s="191"/>
      <c r="AY86" s="85"/>
      <c r="AZ86" s="207"/>
      <c r="BE86" s="196"/>
      <c r="BF86" s="85"/>
      <c r="BG86" s="85"/>
      <c r="BH86" s="85"/>
      <c r="BI86" s="85"/>
      <c r="BJ86" s="85"/>
      <c r="BK86" s="85"/>
      <c r="BL86" s="204"/>
      <c r="BM86" s="85"/>
      <c r="BN86" s="85"/>
      <c r="BO86" s="85"/>
      <c r="BP86" s="85"/>
      <c r="BQ86" s="85"/>
      <c r="BR86" s="85"/>
      <c r="BS86" s="85"/>
      <c r="BT86" s="208"/>
      <c r="BU86" s="208"/>
      <c r="BV86" s="208"/>
      <c r="BW86" s="208"/>
      <c r="BX86" s="208"/>
      <c r="BY86" s="208"/>
      <c r="BZ86" s="208"/>
      <c r="CA86" s="85"/>
      <c r="CB86" s="85"/>
      <c r="CC86" s="85"/>
      <c r="CD86" s="96"/>
    </row>
    <row r="87" customFormat="false" ht="3" hidden="true" customHeight="true" outlineLevel="0" collapsed="false">
      <c r="B87" s="77"/>
      <c r="C87" s="190"/>
      <c r="D87" s="85"/>
      <c r="E87" s="191"/>
      <c r="F87" s="85"/>
      <c r="G87" s="200"/>
      <c r="H87" s="85"/>
      <c r="I87" s="191"/>
      <c r="J87" s="85"/>
      <c r="K87" s="85"/>
      <c r="L87" s="85"/>
      <c r="M87" s="85"/>
      <c r="N87" s="192"/>
      <c r="O87" s="206"/>
      <c r="P87" s="206"/>
      <c r="Q87" s="206"/>
      <c r="R87" s="206"/>
      <c r="S87" s="206"/>
      <c r="T87" s="206"/>
      <c r="U87" s="206"/>
      <c r="V87" s="85"/>
      <c r="W87" s="191"/>
      <c r="X87" s="85"/>
      <c r="Y87" s="207"/>
      <c r="AD87" s="190"/>
      <c r="AE87" s="85"/>
      <c r="AF87" s="191"/>
      <c r="AG87" s="85"/>
      <c r="AH87" s="200"/>
      <c r="AI87" s="85"/>
      <c r="AJ87" s="191"/>
      <c r="AK87" s="85"/>
      <c r="AL87" s="85"/>
      <c r="AM87" s="85"/>
      <c r="AN87" s="85"/>
      <c r="AO87" s="192"/>
      <c r="AP87" s="206"/>
      <c r="AQ87" s="206"/>
      <c r="AR87" s="206"/>
      <c r="AS87" s="206"/>
      <c r="AT87" s="206"/>
      <c r="AU87" s="206"/>
      <c r="AV87" s="206"/>
      <c r="AW87" s="85"/>
      <c r="AX87" s="191"/>
      <c r="AY87" s="85"/>
      <c r="AZ87" s="207"/>
      <c r="BE87" s="196"/>
      <c r="BF87" s="85"/>
      <c r="BG87" s="85"/>
      <c r="BH87" s="85"/>
      <c r="BI87" s="85"/>
      <c r="BJ87" s="85"/>
      <c r="BK87" s="85"/>
      <c r="BL87" s="204"/>
      <c r="BM87" s="85"/>
      <c r="BN87" s="85"/>
      <c r="BO87" s="85"/>
      <c r="BP87" s="85"/>
      <c r="BQ87" s="85"/>
      <c r="BR87" s="85"/>
      <c r="BS87" s="192"/>
      <c r="BT87" s="208"/>
      <c r="BU87" s="208"/>
      <c r="BV87" s="208"/>
      <c r="BW87" s="208"/>
      <c r="BX87" s="208"/>
      <c r="BY87" s="208"/>
      <c r="BZ87" s="208"/>
      <c r="CA87" s="85"/>
      <c r="CB87" s="85"/>
      <c r="CC87" s="85"/>
      <c r="CD87" s="96"/>
    </row>
    <row r="88" customFormat="false" ht="3" hidden="true" customHeight="true" outlineLevel="0" collapsed="false">
      <c r="B88" s="77"/>
      <c r="C88" s="190"/>
      <c r="D88" s="192"/>
      <c r="E88" s="191"/>
      <c r="F88" s="85"/>
      <c r="G88" s="200"/>
      <c r="H88" s="85"/>
      <c r="I88" s="1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198"/>
      <c r="Z88" s="209"/>
      <c r="AD88" s="190"/>
      <c r="AE88" s="192"/>
      <c r="AF88" s="191"/>
      <c r="AG88" s="85"/>
      <c r="AH88" s="200"/>
      <c r="AI88" s="85"/>
      <c r="AJ88" s="191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198"/>
      <c r="BE88" s="196"/>
      <c r="BF88" s="192"/>
      <c r="BG88" s="85"/>
      <c r="BH88" s="85"/>
      <c r="BI88" s="85"/>
      <c r="BJ88" s="85"/>
      <c r="BK88" s="85"/>
      <c r="BL88" s="204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</row>
    <row r="89" customFormat="false" ht="3" hidden="true" customHeight="true" outlineLevel="0" collapsed="false">
      <c r="B89" s="77"/>
      <c r="C89" s="190"/>
      <c r="D89" s="192"/>
      <c r="E89" s="191"/>
      <c r="F89" s="85"/>
      <c r="G89" s="200"/>
      <c r="H89" s="85"/>
      <c r="I89" s="1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198"/>
      <c r="Z89" s="210"/>
      <c r="AD89" s="190"/>
      <c r="AE89" s="192"/>
      <c r="AF89" s="191"/>
      <c r="AG89" s="85"/>
      <c r="AH89" s="200"/>
      <c r="AI89" s="85"/>
      <c r="AJ89" s="191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198"/>
      <c r="BE89" s="196"/>
      <c r="BF89" s="192"/>
      <c r="BG89" s="85"/>
      <c r="BH89" s="85"/>
      <c r="BI89" s="85"/>
      <c r="BJ89" s="85"/>
      <c r="BK89" s="85"/>
      <c r="BL89" s="204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</row>
    <row r="90" customFormat="false" ht="3" hidden="true" customHeight="true" outlineLevel="0" collapsed="false">
      <c r="B90" s="77"/>
      <c r="C90" s="190"/>
      <c r="D90" s="85"/>
      <c r="E90" s="191"/>
      <c r="F90" s="85"/>
      <c r="G90" s="200"/>
      <c r="H90" s="85"/>
      <c r="I90" s="191"/>
      <c r="J90" s="85"/>
      <c r="K90" s="85"/>
      <c r="L90" s="85"/>
      <c r="M90" s="85"/>
      <c r="N90" s="192"/>
      <c r="O90" s="206" t="n">
        <f aca="false">O82</f>
        <v>1</v>
      </c>
      <c r="P90" s="206"/>
      <c r="Q90" s="206"/>
      <c r="R90" s="206"/>
      <c r="S90" s="206"/>
      <c r="T90" s="206"/>
      <c r="U90" s="206"/>
      <c r="V90" s="85"/>
      <c r="W90" s="191" t="s">
        <v>54</v>
      </c>
      <c r="X90" s="194"/>
      <c r="Y90" s="195" t="n">
        <v>1</v>
      </c>
      <c r="AD90" s="190"/>
      <c r="AE90" s="85"/>
      <c r="AF90" s="191"/>
      <c r="AG90" s="85"/>
      <c r="AH90" s="200"/>
      <c r="AI90" s="85"/>
      <c r="AJ90" s="191"/>
      <c r="AK90" s="85"/>
      <c r="AL90" s="85"/>
      <c r="AM90" s="85"/>
      <c r="AN90" s="85"/>
      <c r="AO90" s="192"/>
      <c r="AP90" s="206" t="n">
        <f aca="false">AP82</f>
        <v>2.63621967511143</v>
      </c>
      <c r="AQ90" s="206"/>
      <c r="AR90" s="206"/>
      <c r="AS90" s="206"/>
      <c r="AT90" s="206"/>
      <c r="AU90" s="206"/>
      <c r="AV90" s="206"/>
      <c r="AW90" s="85"/>
      <c r="AX90" s="191" t="s">
        <v>54</v>
      </c>
      <c r="AY90" s="194"/>
      <c r="AZ90" s="195" t="n">
        <v>1</v>
      </c>
      <c r="BE90" s="196"/>
      <c r="BF90" s="85"/>
      <c r="BG90" s="85"/>
      <c r="BH90" s="85"/>
      <c r="BI90" s="85"/>
      <c r="BJ90" s="85"/>
      <c r="BK90" s="85"/>
      <c r="BL90" s="204"/>
      <c r="BM90" s="85"/>
      <c r="BN90" s="85"/>
      <c r="BO90" s="85"/>
      <c r="BP90" s="85"/>
      <c r="BQ90" s="85"/>
      <c r="BR90" s="85"/>
      <c r="BS90" s="192"/>
      <c r="BT90" s="208"/>
      <c r="BU90" s="208"/>
      <c r="BV90" s="208"/>
      <c r="BW90" s="208"/>
      <c r="BX90" s="208"/>
      <c r="BY90" s="208"/>
      <c r="BZ90" s="208"/>
      <c r="CA90" s="85"/>
      <c r="CB90" s="85"/>
      <c r="CC90" s="194"/>
      <c r="CD90" s="85"/>
    </row>
    <row r="91" customFormat="false" ht="3" hidden="true" customHeight="true" outlineLevel="0" collapsed="false">
      <c r="B91" s="77"/>
      <c r="C91" s="190"/>
      <c r="D91" s="85"/>
      <c r="E91" s="191"/>
      <c r="F91" s="85"/>
      <c r="G91" s="200"/>
      <c r="H91" s="85"/>
      <c r="I91" s="191"/>
      <c r="J91" s="85"/>
      <c r="K91" s="85"/>
      <c r="L91" s="85"/>
      <c r="M91" s="85"/>
      <c r="N91" s="192"/>
      <c r="O91" s="206"/>
      <c r="P91" s="206"/>
      <c r="Q91" s="206"/>
      <c r="R91" s="206"/>
      <c r="S91" s="206"/>
      <c r="T91" s="206"/>
      <c r="U91" s="206"/>
      <c r="V91" s="85"/>
      <c r="W91" s="191"/>
      <c r="X91" s="194"/>
      <c r="Y91" s="195"/>
      <c r="AD91" s="190"/>
      <c r="AE91" s="85"/>
      <c r="AF91" s="191"/>
      <c r="AG91" s="85"/>
      <c r="AH91" s="200"/>
      <c r="AI91" s="85"/>
      <c r="AJ91" s="191"/>
      <c r="AK91" s="85"/>
      <c r="AL91" s="85"/>
      <c r="AM91" s="85"/>
      <c r="AN91" s="85"/>
      <c r="AO91" s="192"/>
      <c r="AP91" s="206"/>
      <c r="AQ91" s="206"/>
      <c r="AR91" s="206"/>
      <c r="AS91" s="206"/>
      <c r="AT91" s="206"/>
      <c r="AU91" s="206"/>
      <c r="AV91" s="206"/>
      <c r="AW91" s="85"/>
      <c r="AX91" s="191"/>
      <c r="AY91" s="194"/>
      <c r="AZ91" s="195"/>
      <c r="BE91" s="196"/>
      <c r="BF91" s="85"/>
      <c r="BG91" s="85"/>
      <c r="BH91" s="85"/>
      <c r="BI91" s="85"/>
      <c r="BJ91" s="85"/>
      <c r="BK91" s="85"/>
      <c r="BL91" s="204"/>
      <c r="BM91" s="85"/>
      <c r="BN91" s="85"/>
      <c r="BO91" s="85"/>
      <c r="BP91" s="85"/>
      <c r="BQ91" s="85"/>
      <c r="BR91" s="85"/>
      <c r="BS91" s="192"/>
      <c r="BT91" s="208"/>
      <c r="BU91" s="208"/>
      <c r="BV91" s="208"/>
      <c r="BW91" s="208"/>
      <c r="BX91" s="208"/>
      <c r="BY91" s="208"/>
      <c r="BZ91" s="208"/>
      <c r="CA91" s="85"/>
      <c r="CB91" s="85"/>
      <c r="CC91" s="194"/>
      <c r="CD91" s="85"/>
    </row>
    <row r="92" customFormat="false" ht="3" hidden="true" customHeight="true" outlineLevel="0" collapsed="false">
      <c r="B92" s="77"/>
      <c r="C92" s="190"/>
      <c r="D92" s="85"/>
      <c r="E92" s="191"/>
      <c r="F92" s="85"/>
      <c r="G92" s="200"/>
      <c r="H92" s="85"/>
      <c r="I92" s="191"/>
      <c r="J92" s="85"/>
      <c r="K92" s="85"/>
      <c r="L92" s="85"/>
      <c r="M92" s="85"/>
      <c r="N92" s="192"/>
      <c r="O92" s="206"/>
      <c r="P92" s="206"/>
      <c r="Q92" s="206"/>
      <c r="R92" s="206"/>
      <c r="S92" s="206"/>
      <c r="T92" s="206"/>
      <c r="U92" s="206"/>
      <c r="V92" s="85"/>
      <c r="W92" s="191"/>
      <c r="X92" s="194"/>
      <c r="Y92" s="195"/>
      <c r="AD92" s="190"/>
      <c r="AE92" s="85"/>
      <c r="AF92" s="191"/>
      <c r="AG92" s="85"/>
      <c r="AH92" s="200"/>
      <c r="AI92" s="85"/>
      <c r="AJ92" s="191"/>
      <c r="AK92" s="85"/>
      <c r="AL92" s="85"/>
      <c r="AM92" s="85"/>
      <c r="AN92" s="85"/>
      <c r="AO92" s="192"/>
      <c r="AP92" s="206"/>
      <c r="AQ92" s="206"/>
      <c r="AR92" s="206"/>
      <c r="AS92" s="206"/>
      <c r="AT92" s="206"/>
      <c r="AU92" s="206"/>
      <c r="AV92" s="206"/>
      <c r="AW92" s="85"/>
      <c r="AX92" s="191"/>
      <c r="AY92" s="194"/>
      <c r="AZ92" s="195"/>
      <c r="BE92" s="196"/>
      <c r="BF92" s="85"/>
      <c r="BG92" s="85"/>
      <c r="BH92" s="85"/>
      <c r="BI92" s="85"/>
      <c r="BJ92" s="85"/>
      <c r="BK92" s="85"/>
      <c r="BL92" s="204"/>
      <c r="BM92" s="85"/>
      <c r="BN92" s="85"/>
      <c r="BO92" s="85"/>
      <c r="BP92" s="85"/>
      <c r="BQ92" s="85"/>
      <c r="BR92" s="85"/>
      <c r="BS92" s="192"/>
      <c r="BT92" s="208"/>
      <c r="BU92" s="208"/>
      <c r="BV92" s="208"/>
      <c r="BW92" s="208"/>
      <c r="BX92" s="208"/>
      <c r="BY92" s="208"/>
      <c r="BZ92" s="208"/>
      <c r="CA92" s="85"/>
      <c r="CB92" s="85"/>
      <c r="CC92" s="194"/>
      <c r="CD92" s="85"/>
    </row>
    <row r="93" customFormat="false" ht="3" hidden="true" customHeight="true" outlineLevel="0" collapsed="false">
      <c r="B93" s="77"/>
      <c r="C93" s="190"/>
      <c r="D93" s="85"/>
      <c r="E93" s="191"/>
      <c r="F93" s="85"/>
      <c r="G93" s="200"/>
      <c r="H93" s="85"/>
      <c r="I93" s="191"/>
      <c r="J93" s="85"/>
      <c r="K93" s="85"/>
      <c r="L93" s="85"/>
      <c r="M93" s="85"/>
      <c r="N93" s="85"/>
      <c r="O93" s="206"/>
      <c r="P93" s="206"/>
      <c r="Q93" s="206"/>
      <c r="R93" s="206"/>
      <c r="S93" s="206"/>
      <c r="T93" s="206"/>
      <c r="U93" s="206"/>
      <c r="V93" s="85"/>
      <c r="W93" s="191"/>
      <c r="X93" s="85"/>
      <c r="Y93" s="195"/>
      <c r="AD93" s="190"/>
      <c r="AE93" s="85"/>
      <c r="AF93" s="191"/>
      <c r="AG93" s="85"/>
      <c r="AH93" s="200"/>
      <c r="AI93" s="85"/>
      <c r="AJ93" s="191"/>
      <c r="AK93" s="85"/>
      <c r="AL93" s="85"/>
      <c r="AM93" s="85"/>
      <c r="AN93" s="85"/>
      <c r="AO93" s="85"/>
      <c r="AP93" s="206"/>
      <c r="AQ93" s="206"/>
      <c r="AR93" s="206"/>
      <c r="AS93" s="206"/>
      <c r="AT93" s="206"/>
      <c r="AU93" s="206"/>
      <c r="AV93" s="206"/>
      <c r="AW93" s="85"/>
      <c r="AX93" s="191"/>
      <c r="AY93" s="85"/>
      <c r="AZ93" s="195"/>
      <c r="BE93" s="196"/>
      <c r="BF93" s="85"/>
      <c r="BG93" s="85"/>
      <c r="BH93" s="85"/>
      <c r="BI93" s="85"/>
      <c r="BJ93" s="85"/>
      <c r="BK93" s="85"/>
      <c r="BL93" s="204"/>
      <c r="BM93" s="85"/>
      <c r="BN93" s="85"/>
      <c r="BO93" s="85"/>
      <c r="BP93" s="85"/>
      <c r="BQ93" s="85"/>
      <c r="BR93" s="85"/>
      <c r="BS93" s="85"/>
      <c r="BT93" s="208"/>
      <c r="BU93" s="208"/>
      <c r="BV93" s="208"/>
      <c r="BW93" s="208"/>
      <c r="BX93" s="208"/>
      <c r="BY93" s="208"/>
      <c r="BZ93" s="208"/>
      <c r="CA93" s="85"/>
      <c r="CB93" s="85"/>
      <c r="CC93" s="85"/>
      <c r="CD93" s="85"/>
    </row>
    <row r="94" customFormat="false" ht="3" hidden="true" customHeight="true" outlineLevel="0" collapsed="false">
      <c r="B94" s="77"/>
      <c r="C94" s="190"/>
      <c r="D94" s="85"/>
      <c r="E94" s="191"/>
      <c r="F94" s="85"/>
      <c r="G94" s="200"/>
      <c r="H94" s="85"/>
      <c r="I94" s="191"/>
      <c r="J94" s="85"/>
      <c r="K94" s="85"/>
      <c r="L94" s="85"/>
      <c r="M94" s="85"/>
      <c r="N94" s="85"/>
      <c r="O94" s="206"/>
      <c r="P94" s="206"/>
      <c r="Q94" s="206"/>
      <c r="R94" s="206"/>
      <c r="S94" s="206"/>
      <c r="T94" s="206"/>
      <c r="U94" s="206"/>
      <c r="V94" s="85"/>
      <c r="W94" s="191"/>
      <c r="X94" s="85"/>
      <c r="Y94" s="195"/>
      <c r="AD94" s="190"/>
      <c r="AE94" s="85"/>
      <c r="AF94" s="191"/>
      <c r="AG94" s="85"/>
      <c r="AH94" s="200"/>
      <c r="AI94" s="85"/>
      <c r="AJ94" s="191"/>
      <c r="AK94" s="85"/>
      <c r="AL94" s="85"/>
      <c r="AM94" s="85"/>
      <c r="AN94" s="85"/>
      <c r="AO94" s="85"/>
      <c r="AP94" s="206"/>
      <c r="AQ94" s="206"/>
      <c r="AR94" s="206"/>
      <c r="AS94" s="206"/>
      <c r="AT94" s="206"/>
      <c r="AU94" s="206"/>
      <c r="AV94" s="206"/>
      <c r="AW94" s="85"/>
      <c r="AX94" s="191"/>
      <c r="AY94" s="85"/>
      <c r="AZ94" s="195"/>
      <c r="BE94" s="196"/>
      <c r="BF94" s="85"/>
      <c r="BG94" s="85"/>
      <c r="BH94" s="85"/>
      <c r="BI94" s="85"/>
      <c r="BJ94" s="85"/>
      <c r="BK94" s="85"/>
      <c r="BL94" s="204"/>
      <c r="BM94" s="85"/>
      <c r="BN94" s="85"/>
      <c r="BO94" s="85"/>
      <c r="BP94" s="85"/>
      <c r="BQ94" s="85"/>
      <c r="BR94" s="85"/>
      <c r="BS94" s="85"/>
      <c r="BT94" s="208"/>
      <c r="BU94" s="208"/>
      <c r="BV94" s="208"/>
      <c r="BW94" s="208"/>
      <c r="BX94" s="208"/>
      <c r="BY94" s="208"/>
      <c r="BZ94" s="208"/>
      <c r="CA94" s="85"/>
      <c r="CB94" s="85"/>
      <c r="CC94" s="85"/>
      <c r="CD94" s="85"/>
    </row>
    <row r="95" customFormat="false" ht="3" hidden="true" customHeight="true" outlineLevel="0" collapsed="false">
      <c r="B95" s="77"/>
      <c r="C95" s="190"/>
      <c r="D95" s="85"/>
      <c r="E95" s="191"/>
      <c r="F95" s="85"/>
      <c r="G95" s="200"/>
      <c r="H95" s="85"/>
      <c r="I95" s="191"/>
      <c r="J95" s="85"/>
      <c r="K95" s="85"/>
      <c r="L95" s="85"/>
      <c r="M95" s="85"/>
      <c r="N95" s="192"/>
      <c r="O95" s="206"/>
      <c r="P95" s="206"/>
      <c r="Q95" s="206"/>
      <c r="R95" s="206"/>
      <c r="S95" s="206"/>
      <c r="T95" s="206"/>
      <c r="U95" s="206"/>
      <c r="V95" s="85"/>
      <c r="W95" s="191"/>
      <c r="X95" s="85"/>
      <c r="Y95" s="195"/>
      <c r="AD95" s="190"/>
      <c r="AE95" s="85"/>
      <c r="AF95" s="191"/>
      <c r="AG95" s="85"/>
      <c r="AH95" s="200"/>
      <c r="AI95" s="85"/>
      <c r="AJ95" s="191"/>
      <c r="AK95" s="85"/>
      <c r="AL95" s="85"/>
      <c r="AM95" s="85"/>
      <c r="AN95" s="85"/>
      <c r="AO95" s="192"/>
      <c r="AP95" s="206"/>
      <c r="AQ95" s="206"/>
      <c r="AR95" s="206"/>
      <c r="AS95" s="206"/>
      <c r="AT95" s="206"/>
      <c r="AU95" s="206"/>
      <c r="AV95" s="206"/>
      <c r="AW95" s="85"/>
      <c r="AX95" s="191"/>
      <c r="AY95" s="85"/>
      <c r="AZ95" s="195"/>
      <c r="BE95" s="196"/>
      <c r="BF95" s="85"/>
      <c r="BG95" s="85"/>
      <c r="BH95" s="85"/>
      <c r="BI95" s="85"/>
      <c r="BJ95" s="85"/>
      <c r="BK95" s="85"/>
      <c r="BL95" s="204"/>
      <c r="BM95" s="85"/>
      <c r="BN95" s="85"/>
      <c r="BO95" s="85"/>
      <c r="BP95" s="85"/>
      <c r="BQ95" s="85"/>
      <c r="BR95" s="85"/>
      <c r="BS95" s="192"/>
      <c r="BT95" s="208"/>
      <c r="BU95" s="208"/>
      <c r="BV95" s="208"/>
      <c r="BW95" s="208"/>
      <c r="BX95" s="208"/>
      <c r="BY95" s="208"/>
      <c r="BZ95" s="208"/>
      <c r="CA95" s="85"/>
      <c r="CB95" s="85"/>
      <c r="CC95" s="85"/>
      <c r="CD95" s="85"/>
    </row>
    <row r="96" customFormat="false" ht="3" hidden="true" customHeight="true" outlineLevel="0" collapsed="false">
      <c r="C96" s="190"/>
      <c r="D96" s="85"/>
      <c r="E96" s="191"/>
      <c r="F96" s="85"/>
      <c r="G96" s="200"/>
      <c r="H96" s="85"/>
      <c r="I96" s="1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198"/>
      <c r="AD96" s="190"/>
      <c r="AE96" s="85"/>
      <c r="AF96" s="191"/>
      <c r="AG96" s="85"/>
      <c r="AH96" s="200"/>
      <c r="AI96" s="85"/>
      <c r="AJ96" s="191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198"/>
      <c r="BE96" s="196"/>
      <c r="BF96" s="85"/>
      <c r="BG96" s="85"/>
      <c r="BH96" s="85"/>
      <c r="BI96" s="85"/>
      <c r="BJ96" s="85"/>
      <c r="BK96" s="85"/>
      <c r="BL96" s="204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</row>
    <row r="97" customFormat="false" ht="9" hidden="true" customHeight="true" outlineLevel="0" collapsed="false">
      <c r="C97" s="172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198"/>
      <c r="AD97" s="172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198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</row>
    <row r="98" customFormat="false" ht="3" hidden="true" customHeight="true" outlineLevel="0" collapsed="false">
      <c r="B98" s="77"/>
      <c r="C98" s="190" t="s">
        <v>55</v>
      </c>
      <c r="D98" s="85"/>
      <c r="E98" s="191" t="s">
        <v>47</v>
      </c>
      <c r="F98" s="85"/>
      <c r="G98" s="200" t="n">
        <f aca="false">G82</f>
        <v>0</v>
      </c>
      <c r="H98" s="85"/>
      <c r="I98" s="191" t="s">
        <v>49</v>
      </c>
      <c r="J98" s="85"/>
      <c r="K98" s="85"/>
      <c r="L98" s="85"/>
      <c r="M98" s="85"/>
      <c r="N98" s="192"/>
      <c r="O98" s="206" t="n">
        <f aca="false">O82*Y82</f>
        <v>0</v>
      </c>
      <c r="P98" s="206"/>
      <c r="Q98" s="206"/>
      <c r="R98" s="206"/>
      <c r="S98" s="206"/>
      <c r="T98" s="206"/>
      <c r="U98" s="206"/>
      <c r="V98" s="85"/>
      <c r="W98" s="85"/>
      <c r="X98" s="85"/>
      <c r="Y98" s="198"/>
      <c r="AD98" s="190" t="s">
        <v>55</v>
      </c>
      <c r="AE98" s="85"/>
      <c r="AF98" s="191" t="s">
        <v>47</v>
      </c>
      <c r="AG98" s="85"/>
      <c r="AH98" s="200" t="n">
        <f aca="false">AH82</f>
        <v>0</v>
      </c>
      <c r="AI98" s="85"/>
      <c r="AJ98" s="191" t="s">
        <v>49</v>
      </c>
      <c r="AK98" s="85"/>
      <c r="AL98" s="85"/>
      <c r="AM98" s="85"/>
      <c r="AN98" s="85"/>
      <c r="AO98" s="192"/>
      <c r="AP98" s="206" t="n">
        <f aca="false">AP82*AZ82</f>
        <v>0.0537788813722731</v>
      </c>
      <c r="AQ98" s="206"/>
      <c r="AR98" s="206"/>
      <c r="AS98" s="206"/>
      <c r="AT98" s="206"/>
      <c r="AU98" s="206"/>
      <c r="AV98" s="206"/>
      <c r="AW98" s="85"/>
      <c r="AX98" s="85"/>
      <c r="AY98" s="85"/>
      <c r="AZ98" s="198"/>
      <c r="BE98" s="196"/>
      <c r="BF98" s="85"/>
      <c r="BG98" s="85"/>
      <c r="BH98" s="85"/>
      <c r="BI98" s="85"/>
      <c r="BJ98" s="85"/>
      <c r="BK98" s="85"/>
      <c r="BL98" s="204"/>
      <c r="BM98" s="85"/>
      <c r="BN98" s="85"/>
      <c r="BO98" s="85"/>
      <c r="BP98" s="85"/>
      <c r="BQ98" s="85"/>
      <c r="BR98" s="85"/>
      <c r="BS98" s="192"/>
      <c r="BT98" s="208"/>
      <c r="BU98" s="211"/>
      <c r="BV98" s="211"/>
      <c r="BW98" s="211"/>
      <c r="BX98" s="211"/>
      <c r="BY98" s="211"/>
      <c r="BZ98" s="211"/>
      <c r="CA98" s="85"/>
      <c r="CB98" s="85"/>
      <c r="CC98" s="85"/>
      <c r="CD98" s="85"/>
    </row>
    <row r="99" customFormat="false" ht="3" hidden="true" customHeight="true" outlineLevel="0" collapsed="false">
      <c r="B99" s="77"/>
      <c r="C99" s="190"/>
      <c r="D99" s="85"/>
      <c r="E99" s="191"/>
      <c r="F99" s="85"/>
      <c r="G99" s="200"/>
      <c r="H99" s="85"/>
      <c r="I99" s="191"/>
      <c r="J99" s="85"/>
      <c r="K99" s="85"/>
      <c r="L99" s="85"/>
      <c r="M99" s="85"/>
      <c r="N99" s="192"/>
      <c r="O99" s="206"/>
      <c r="P99" s="206"/>
      <c r="Q99" s="206"/>
      <c r="R99" s="206"/>
      <c r="S99" s="206"/>
      <c r="T99" s="206"/>
      <c r="U99" s="206"/>
      <c r="V99" s="106"/>
      <c r="W99" s="106"/>
      <c r="X99" s="106"/>
      <c r="Y99" s="212"/>
      <c r="Z99" s="213"/>
      <c r="AA99" s="213"/>
      <c r="AD99" s="190"/>
      <c r="AE99" s="85"/>
      <c r="AF99" s="191"/>
      <c r="AG99" s="85"/>
      <c r="AH99" s="200"/>
      <c r="AI99" s="85"/>
      <c r="AJ99" s="191"/>
      <c r="AK99" s="85"/>
      <c r="AL99" s="85"/>
      <c r="AM99" s="85"/>
      <c r="AN99" s="85"/>
      <c r="AO99" s="192"/>
      <c r="AP99" s="206"/>
      <c r="AQ99" s="206"/>
      <c r="AR99" s="206"/>
      <c r="AS99" s="206"/>
      <c r="AT99" s="206"/>
      <c r="AU99" s="206"/>
      <c r="AV99" s="206"/>
      <c r="AW99" s="106"/>
      <c r="AX99" s="106"/>
      <c r="AY99" s="106"/>
      <c r="AZ99" s="212"/>
      <c r="BE99" s="196"/>
      <c r="BF99" s="85"/>
      <c r="BG99" s="85"/>
      <c r="BH99" s="85"/>
      <c r="BI99" s="85"/>
      <c r="BJ99" s="85"/>
      <c r="BK99" s="85"/>
      <c r="BL99" s="204"/>
      <c r="BM99" s="85"/>
      <c r="BN99" s="85"/>
      <c r="BO99" s="85"/>
      <c r="BP99" s="85"/>
      <c r="BQ99" s="85"/>
      <c r="BR99" s="85"/>
      <c r="BS99" s="192"/>
      <c r="BT99" s="211"/>
      <c r="BU99" s="211"/>
      <c r="BV99" s="211"/>
      <c r="BW99" s="211"/>
      <c r="BX99" s="211"/>
      <c r="BY99" s="211"/>
      <c r="BZ99" s="211"/>
      <c r="CA99" s="106"/>
      <c r="CB99" s="106"/>
      <c r="CC99" s="106"/>
      <c r="CD99" s="106"/>
    </row>
    <row r="100" customFormat="false" ht="3" hidden="true" customHeight="true" outlineLevel="0" collapsed="false">
      <c r="B100" s="77"/>
      <c r="C100" s="190"/>
      <c r="D100" s="85"/>
      <c r="E100" s="191"/>
      <c r="F100" s="85"/>
      <c r="G100" s="200"/>
      <c r="H100" s="85"/>
      <c r="I100" s="191"/>
      <c r="J100" s="85"/>
      <c r="K100" s="85"/>
      <c r="L100" s="85"/>
      <c r="M100" s="85"/>
      <c r="N100" s="192"/>
      <c r="O100" s="206"/>
      <c r="P100" s="206"/>
      <c r="Q100" s="206"/>
      <c r="R100" s="206"/>
      <c r="S100" s="206"/>
      <c r="T100" s="206"/>
      <c r="U100" s="206"/>
      <c r="V100" s="106"/>
      <c r="W100" s="106"/>
      <c r="X100" s="106"/>
      <c r="Y100" s="212"/>
      <c r="Z100" s="213"/>
      <c r="AA100" s="213"/>
      <c r="AD100" s="190"/>
      <c r="AE100" s="85"/>
      <c r="AF100" s="191"/>
      <c r="AG100" s="85"/>
      <c r="AH100" s="200"/>
      <c r="AI100" s="85"/>
      <c r="AJ100" s="191"/>
      <c r="AK100" s="85"/>
      <c r="AL100" s="85"/>
      <c r="AM100" s="85"/>
      <c r="AN100" s="85"/>
      <c r="AO100" s="192"/>
      <c r="AP100" s="206"/>
      <c r="AQ100" s="206"/>
      <c r="AR100" s="206"/>
      <c r="AS100" s="206"/>
      <c r="AT100" s="206"/>
      <c r="AU100" s="206"/>
      <c r="AV100" s="206"/>
      <c r="AW100" s="106"/>
      <c r="AX100" s="106"/>
      <c r="AY100" s="106"/>
      <c r="AZ100" s="212"/>
      <c r="BE100" s="196"/>
      <c r="BF100" s="85"/>
      <c r="BG100" s="85"/>
      <c r="BH100" s="85"/>
      <c r="BI100" s="85"/>
      <c r="BJ100" s="85"/>
      <c r="BK100" s="85"/>
      <c r="BL100" s="204"/>
      <c r="BM100" s="85"/>
      <c r="BN100" s="85"/>
      <c r="BO100" s="85"/>
      <c r="BP100" s="85"/>
      <c r="BQ100" s="85"/>
      <c r="BR100" s="85"/>
      <c r="BS100" s="192"/>
      <c r="BT100" s="211"/>
      <c r="BU100" s="211"/>
      <c r="BV100" s="211"/>
      <c r="BW100" s="211"/>
      <c r="BX100" s="211"/>
      <c r="BY100" s="211"/>
      <c r="BZ100" s="211"/>
      <c r="CA100" s="106"/>
      <c r="CB100" s="106"/>
      <c r="CC100" s="106"/>
      <c r="CD100" s="106"/>
    </row>
    <row r="101" customFormat="false" ht="3" hidden="true" customHeight="true" outlineLevel="0" collapsed="false">
      <c r="B101" s="77"/>
      <c r="C101" s="190"/>
      <c r="D101" s="85"/>
      <c r="E101" s="191"/>
      <c r="F101" s="85"/>
      <c r="G101" s="200"/>
      <c r="H101" s="85"/>
      <c r="I101" s="191"/>
      <c r="J101" s="85"/>
      <c r="K101" s="85"/>
      <c r="L101" s="85"/>
      <c r="M101" s="85"/>
      <c r="N101" s="85"/>
      <c r="O101" s="206"/>
      <c r="P101" s="206"/>
      <c r="Q101" s="206"/>
      <c r="R101" s="206"/>
      <c r="S101" s="206"/>
      <c r="T101" s="206"/>
      <c r="U101" s="206"/>
      <c r="V101" s="106"/>
      <c r="W101" s="106"/>
      <c r="X101" s="106"/>
      <c r="Y101" s="212"/>
      <c r="Z101" s="213"/>
      <c r="AA101" s="213"/>
      <c r="AD101" s="190"/>
      <c r="AE101" s="85"/>
      <c r="AF101" s="191"/>
      <c r="AG101" s="85"/>
      <c r="AH101" s="200"/>
      <c r="AI101" s="85"/>
      <c r="AJ101" s="191"/>
      <c r="AK101" s="85"/>
      <c r="AL101" s="85"/>
      <c r="AM101" s="85"/>
      <c r="AN101" s="85"/>
      <c r="AO101" s="85"/>
      <c r="AP101" s="206"/>
      <c r="AQ101" s="206"/>
      <c r="AR101" s="206"/>
      <c r="AS101" s="206"/>
      <c r="AT101" s="206"/>
      <c r="AU101" s="206"/>
      <c r="AV101" s="206"/>
      <c r="AW101" s="106"/>
      <c r="AX101" s="106"/>
      <c r="AY101" s="106"/>
      <c r="AZ101" s="212"/>
      <c r="BE101" s="196"/>
      <c r="BF101" s="85"/>
      <c r="BG101" s="85"/>
      <c r="BH101" s="85"/>
      <c r="BI101" s="85"/>
      <c r="BJ101" s="85"/>
      <c r="BK101" s="85"/>
      <c r="BL101" s="204"/>
      <c r="BM101" s="85"/>
      <c r="BN101" s="85"/>
      <c r="BO101" s="85"/>
      <c r="BP101" s="85"/>
      <c r="BQ101" s="85"/>
      <c r="BR101" s="85"/>
      <c r="BS101" s="85"/>
      <c r="BT101" s="211"/>
      <c r="BU101" s="211"/>
      <c r="BV101" s="211"/>
      <c r="BW101" s="211"/>
      <c r="BX101" s="211"/>
      <c r="BY101" s="211"/>
      <c r="BZ101" s="211"/>
      <c r="CA101" s="106"/>
      <c r="CB101" s="106"/>
      <c r="CC101" s="106"/>
      <c r="CD101" s="106"/>
    </row>
    <row r="102" customFormat="false" ht="3" hidden="true" customHeight="true" outlineLevel="0" collapsed="false">
      <c r="B102" s="77"/>
      <c r="C102" s="190"/>
      <c r="D102" s="85"/>
      <c r="E102" s="191"/>
      <c r="F102" s="85"/>
      <c r="G102" s="200"/>
      <c r="H102" s="85"/>
      <c r="I102" s="191"/>
      <c r="J102" s="85"/>
      <c r="K102" s="85"/>
      <c r="L102" s="85"/>
      <c r="M102" s="85"/>
      <c r="N102" s="85"/>
      <c r="O102" s="206"/>
      <c r="P102" s="206"/>
      <c r="Q102" s="206"/>
      <c r="R102" s="206"/>
      <c r="S102" s="206"/>
      <c r="T102" s="206"/>
      <c r="U102" s="206"/>
      <c r="V102" s="106"/>
      <c r="W102" s="106"/>
      <c r="X102" s="106"/>
      <c r="Y102" s="212"/>
      <c r="Z102" s="213"/>
      <c r="AA102" s="213"/>
      <c r="AD102" s="190"/>
      <c r="AE102" s="85"/>
      <c r="AF102" s="191"/>
      <c r="AG102" s="85"/>
      <c r="AH102" s="200"/>
      <c r="AI102" s="85"/>
      <c r="AJ102" s="191"/>
      <c r="AK102" s="85"/>
      <c r="AL102" s="85"/>
      <c r="AM102" s="85"/>
      <c r="AN102" s="85"/>
      <c r="AO102" s="85"/>
      <c r="AP102" s="206"/>
      <c r="AQ102" s="206"/>
      <c r="AR102" s="206"/>
      <c r="AS102" s="206"/>
      <c r="AT102" s="206"/>
      <c r="AU102" s="206"/>
      <c r="AV102" s="206"/>
      <c r="AW102" s="106"/>
      <c r="AX102" s="106"/>
      <c r="AY102" s="106"/>
      <c r="AZ102" s="212"/>
      <c r="BE102" s="196"/>
      <c r="BF102" s="85"/>
      <c r="BG102" s="85"/>
      <c r="BH102" s="85"/>
      <c r="BI102" s="85"/>
      <c r="BJ102" s="85"/>
      <c r="BK102" s="85"/>
      <c r="BL102" s="204"/>
      <c r="BM102" s="85"/>
      <c r="BN102" s="85"/>
      <c r="BO102" s="85"/>
      <c r="BP102" s="85"/>
      <c r="BQ102" s="85"/>
      <c r="BR102" s="85"/>
      <c r="BS102" s="85"/>
      <c r="BT102" s="211"/>
      <c r="BU102" s="211"/>
      <c r="BV102" s="211"/>
      <c r="BW102" s="211"/>
      <c r="BX102" s="211"/>
      <c r="BY102" s="211"/>
      <c r="BZ102" s="211"/>
      <c r="CA102" s="106"/>
      <c r="CB102" s="106"/>
      <c r="CC102" s="106"/>
      <c r="CD102" s="106"/>
    </row>
    <row r="103" customFormat="false" ht="3" hidden="true" customHeight="true" outlineLevel="0" collapsed="false">
      <c r="B103" s="77"/>
      <c r="C103" s="190"/>
      <c r="D103" s="85"/>
      <c r="E103" s="191"/>
      <c r="F103" s="85"/>
      <c r="G103" s="200"/>
      <c r="H103" s="85"/>
      <c r="I103" s="191"/>
      <c r="J103" s="85"/>
      <c r="K103" s="85"/>
      <c r="L103" s="85"/>
      <c r="M103" s="85"/>
      <c r="N103" s="192"/>
      <c r="O103" s="206"/>
      <c r="P103" s="206"/>
      <c r="Q103" s="206"/>
      <c r="R103" s="206"/>
      <c r="S103" s="206"/>
      <c r="T103" s="206"/>
      <c r="U103" s="206"/>
      <c r="V103" s="106"/>
      <c r="W103" s="106"/>
      <c r="X103" s="106"/>
      <c r="Y103" s="212"/>
      <c r="Z103" s="213"/>
      <c r="AA103" s="213"/>
      <c r="AD103" s="190"/>
      <c r="AE103" s="85"/>
      <c r="AF103" s="191"/>
      <c r="AG103" s="85"/>
      <c r="AH103" s="200"/>
      <c r="AI103" s="85"/>
      <c r="AJ103" s="191"/>
      <c r="AK103" s="85"/>
      <c r="AL103" s="85"/>
      <c r="AM103" s="85"/>
      <c r="AN103" s="85"/>
      <c r="AO103" s="192"/>
      <c r="AP103" s="206"/>
      <c r="AQ103" s="206"/>
      <c r="AR103" s="206"/>
      <c r="AS103" s="206"/>
      <c r="AT103" s="206"/>
      <c r="AU103" s="206"/>
      <c r="AV103" s="206"/>
      <c r="AW103" s="106"/>
      <c r="AX103" s="106"/>
      <c r="AY103" s="106"/>
      <c r="AZ103" s="212"/>
      <c r="BE103" s="196"/>
      <c r="BF103" s="85"/>
      <c r="BG103" s="85"/>
      <c r="BH103" s="85"/>
      <c r="BI103" s="85"/>
      <c r="BJ103" s="85"/>
      <c r="BK103" s="85"/>
      <c r="BL103" s="204"/>
      <c r="BM103" s="85"/>
      <c r="BN103" s="85"/>
      <c r="BO103" s="85"/>
      <c r="BP103" s="85"/>
      <c r="BQ103" s="85"/>
      <c r="BR103" s="85"/>
      <c r="BS103" s="192"/>
      <c r="BT103" s="211"/>
      <c r="BU103" s="211"/>
      <c r="BV103" s="211"/>
      <c r="BW103" s="211"/>
      <c r="BX103" s="211"/>
      <c r="BY103" s="211"/>
      <c r="BZ103" s="211"/>
      <c r="CA103" s="106"/>
      <c r="CB103" s="106"/>
      <c r="CC103" s="106"/>
      <c r="CD103" s="106"/>
    </row>
    <row r="104" customFormat="false" ht="3" hidden="true" customHeight="true" outlineLevel="0" collapsed="false">
      <c r="B104" s="77"/>
      <c r="C104" s="190"/>
      <c r="D104" s="192"/>
      <c r="E104" s="191"/>
      <c r="F104" s="85"/>
      <c r="G104" s="200"/>
      <c r="H104" s="85"/>
      <c r="I104" s="1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106"/>
      <c r="W104" s="106"/>
      <c r="X104" s="106"/>
      <c r="Y104" s="212"/>
      <c r="Z104" s="213"/>
      <c r="AA104" s="213"/>
      <c r="AD104" s="190"/>
      <c r="AE104" s="192"/>
      <c r="AF104" s="191"/>
      <c r="AG104" s="85"/>
      <c r="AH104" s="200"/>
      <c r="AI104" s="85"/>
      <c r="AJ104" s="191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106"/>
      <c r="AX104" s="106"/>
      <c r="AY104" s="106"/>
      <c r="AZ104" s="212"/>
      <c r="BE104" s="196"/>
      <c r="BF104" s="192"/>
      <c r="BG104" s="85"/>
      <c r="BH104" s="85"/>
      <c r="BI104" s="85"/>
      <c r="BJ104" s="85"/>
      <c r="BK104" s="85"/>
      <c r="BL104" s="204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106"/>
      <c r="CB104" s="106"/>
      <c r="CC104" s="106"/>
      <c r="CD104" s="106"/>
    </row>
    <row r="105" customFormat="false" ht="3" hidden="true" customHeight="true" outlineLevel="0" collapsed="false">
      <c r="B105" s="77"/>
      <c r="C105" s="190"/>
      <c r="D105" s="192"/>
      <c r="E105" s="191"/>
      <c r="F105" s="85"/>
      <c r="G105" s="200"/>
      <c r="H105" s="85"/>
      <c r="I105" s="1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106"/>
      <c r="W105" s="106"/>
      <c r="X105" s="106"/>
      <c r="Y105" s="212"/>
      <c r="Z105" s="213"/>
      <c r="AA105" s="213"/>
      <c r="AD105" s="190"/>
      <c r="AE105" s="192"/>
      <c r="AF105" s="191"/>
      <c r="AG105" s="85"/>
      <c r="AH105" s="200"/>
      <c r="AI105" s="85"/>
      <c r="AJ105" s="191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106"/>
      <c r="AX105" s="106"/>
      <c r="AY105" s="106"/>
      <c r="AZ105" s="212"/>
      <c r="BE105" s="196"/>
      <c r="BF105" s="192"/>
      <c r="BG105" s="85"/>
      <c r="BH105" s="85"/>
      <c r="BI105" s="85"/>
      <c r="BJ105" s="85"/>
      <c r="BK105" s="85"/>
      <c r="BL105" s="204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106"/>
      <c r="CB105" s="106"/>
      <c r="CC105" s="106"/>
      <c r="CD105" s="106"/>
    </row>
    <row r="106" customFormat="false" ht="3" hidden="true" customHeight="true" outlineLevel="0" collapsed="false">
      <c r="B106" s="77"/>
      <c r="C106" s="190"/>
      <c r="D106" s="85"/>
      <c r="E106" s="191"/>
      <c r="F106" s="85"/>
      <c r="G106" s="200"/>
      <c r="H106" s="85"/>
      <c r="I106" s="191"/>
      <c r="J106" s="85"/>
      <c r="K106" s="85"/>
      <c r="L106" s="85"/>
      <c r="M106" s="85"/>
      <c r="N106" s="192"/>
      <c r="O106" s="206" t="n">
        <f aca="false">O90-Y90</f>
        <v>0</v>
      </c>
      <c r="P106" s="206"/>
      <c r="Q106" s="206"/>
      <c r="R106" s="206"/>
      <c r="S106" s="206"/>
      <c r="T106" s="206"/>
      <c r="U106" s="206"/>
      <c r="V106" s="106"/>
      <c r="W106" s="106"/>
      <c r="X106" s="106"/>
      <c r="Y106" s="212"/>
      <c r="Z106" s="213"/>
      <c r="AA106" s="213"/>
      <c r="AD106" s="190"/>
      <c r="AE106" s="85"/>
      <c r="AF106" s="191"/>
      <c r="AG106" s="85"/>
      <c r="AH106" s="200"/>
      <c r="AI106" s="85"/>
      <c r="AJ106" s="191"/>
      <c r="AK106" s="85"/>
      <c r="AL106" s="85"/>
      <c r="AM106" s="85"/>
      <c r="AN106" s="85"/>
      <c r="AO106" s="192"/>
      <c r="AP106" s="206" t="n">
        <f aca="false">AP90-AZ90</f>
        <v>1.63621967511143</v>
      </c>
      <c r="AQ106" s="206"/>
      <c r="AR106" s="206"/>
      <c r="AS106" s="206"/>
      <c r="AT106" s="206"/>
      <c r="AU106" s="206"/>
      <c r="AV106" s="206"/>
      <c r="AW106" s="106"/>
      <c r="AX106" s="106"/>
      <c r="AY106" s="106"/>
      <c r="AZ106" s="212"/>
      <c r="BE106" s="196"/>
      <c r="BF106" s="85"/>
      <c r="BG106" s="85"/>
      <c r="BH106" s="85"/>
      <c r="BI106" s="85"/>
      <c r="BJ106" s="85"/>
      <c r="BK106" s="85"/>
      <c r="BL106" s="204"/>
      <c r="BM106" s="85"/>
      <c r="BN106" s="85"/>
      <c r="BO106" s="85"/>
      <c r="BP106" s="85"/>
      <c r="BQ106" s="85"/>
      <c r="BR106" s="85"/>
      <c r="BS106" s="192"/>
      <c r="BT106" s="208"/>
      <c r="BU106" s="211"/>
      <c r="BV106" s="211"/>
      <c r="BW106" s="211"/>
      <c r="BX106" s="211"/>
      <c r="BY106" s="211"/>
      <c r="BZ106" s="211"/>
      <c r="CA106" s="106"/>
      <c r="CB106" s="106"/>
      <c r="CC106" s="106"/>
      <c r="CD106" s="106"/>
    </row>
    <row r="107" customFormat="false" ht="3" hidden="true" customHeight="true" outlineLevel="0" collapsed="false">
      <c r="B107" s="77"/>
      <c r="C107" s="190"/>
      <c r="D107" s="85"/>
      <c r="E107" s="191"/>
      <c r="F107" s="85"/>
      <c r="G107" s="200"/>
      <c r="H107" s="85"/>
      <c r="I107" s="191"/>
      <c r="J107" s="85"/>
      <c r="K107" s="85"/>
      <c r="L107" s="85"/>
      <c r="M107" s="85"/>
      <c r="N107" s="192"/>
      <c r="O107" s="206"/>
      <c r="P107" s="206"/>
      <c r="Q107" s="206"/>
      <c r="R107" s="206"/>
      <c r="S107" s="206"/>
      <c r="T107" s="206"/>
      <c r="U107" s="206"/>
      <c r="V107" s="106"/>
      <c r="W107" s="106"/>
      <c r="X107" s="106"/>
      <c r="Y107" s="212"/>
      <c r="Z107" s="213"/>
      <c r="AA107" s="213"/>
      <c r="AD107" s="190"/>
      <c r="AE107" s="85"/>
      <c r="AF107" s="191"/>
      <c r="AG107" s="85"/>
      <c r="AH107" s="200"/>
      <c r="AI107" s="85"/>
      <c r="AJ107" s="191"/>
      <c r="AK107" s="85"/>
      <c r="AL107" s="85"/>
      <c r="AM107" s="85"/>
      <c r="AN107" s="85"/>
      <c r="AO107" s="192"/>
      <c r="AP107" s="206"/>
      <c r="AQ107" s="206"/>
      <c r="AR107" s="206"/>
      <c r="AS107" s="206"/>
      <c r="AT107" s="206"/>
      <c r="AU107" s="206"/>
      <c r="AV107" s="206"/>
      <c r="AW107" s="106"/>
      <c r="AX107" s="106"/>
      <c r="AY107" s="106"/>
      <c r="AZ107" s="212"/>
      <c r="BE107" s="196"/>
      <c r="BF107" s="85"/>
      <c r="BG107" s="85"/>
      <c r="BH107" s="85"/>
      <c r="BI107" s="85"/>
      <c r="BJ107" s="85"/>
      <c r="BK107" s="85"/>
      <c r="BL107" s="204"/>
      <c r="BM107" s="85"/>
      <c r="BN107" s="85"/>
      <c r="BO107" s="85"/>
      <c r="BP107" s="85"/>
      <c r="BQ107" s="85"/>
      <c r="BR107" s="85"/>
      <c r="BS107" s="192"/>
      <c r="BT107" s="211"/>
      <c r="BU107" s="211"/>
      <c r="BV107" s="211"/>
      <c r="BW107" s="211"/>
      <c r="BX107" s="211"/>
      <c r="BY107" s="211"/>
      <c r="BZ107" s="211"/>
      <c r="CA107" s="106"/>
      <c r="CB107" s="106"/>
      <c r="CC107" s="106"/>
      <c r="CD107" s="106"/>
    </row>
    <row r="108" customFormat="false" ht="3" hidden="true" customHeight="true" outlineLevel="0" collapsed="false">
      <c r="B108" s="77"/>
      <c r="C108" s="190"/>
      <c r="D108" s="85"/>
      <c r="E108" s="191"/>
      <c r="F108" s="85"/>
      <c r="G108" s="200"/>
      <c r="H108" s="85"/>
      <c r="I108" s="191"/>
      <c r="J108" s="85"/>
      <c r="K108" s="85"/>
      <c r="L108" s="85"/>
      <c r="M108" s="85"/>
      <c r="N108" s="192"/>
      <c r="O108" s="206"/>
      <c r="P108" s="206"/>
      <c r="Q108" s="206"/>
      <c r="R108" s="206"/>
      <c r="S108" s="206"/>
      <c r="T108" s="206"/>
      <c r="U108" s="206"/>
      <c r="V108" s="106"/>
      <c r="W108" s="106"/>
      <c r="X108" s="106"/>
      <c r="Y108" s="212"/>
      <c r="Z108" s="213"/>
      <c r="AA108" s="213"/>
      <c r="AD108" s="190"/>
      <c r="AE108" s="85"/>
      <c r="AF108" s="191"/>
      <c r="AG108" s="85"/>
      <c r="AH108" s="200"/>
      <c r="AI108" s="85"/>
      <c r="AJ108" s="191"/>
      <c r="AK108" s="85"/>
      <c r="AL108" s="85"/>
      <c r="AM108" s="85"/>
      <c r="AN108" s="85"/>
      <c r="AO108" s="192"/>
      <c r="AP108" s="206"/>
      <c r="AQ108" s="206"/>
      <c r="AR108" s="206"/>
      <c r="AS108" s="206"/>
      <c r="AT108" s="206"/>
      <c r="AU108" s="206"/>
      <c r="AV108" s="206"/>
      <c r="AW108" s="106"/>
      <c r="AX108" s="106"/>
      <c r="AY108" s="106"/>
      <c r="AZ108" s="212"/>
      <c r="BE108" s="196"/>
      <c r="BF108" s="85"/>
      <c r="BG108" s="85"/>
      <c r="BH108" s="85"/>
      <c r="BI108" s="85"/>
      <c r="BJ108" s="85"/>
      <c r="BK108" s="85"/>
      <c r="BL108" s="204"/>
      <c r="BM108" s="85"/>
      <c r="BN108" s="85"/>
      <c r="BO108" s="85"/>
      <c r="BP108" s="85"/>
      <c r="BQ108" s="85"/>
      <c r="BR108" s="85"/>
      <c r="BS108" s="192"/>
      <c r="BT108" s="211"/>
      <c r="BU108" s="211"/>
      <c r="BV108" s="211"/>
      <c r="BW108" s="211"/>
      <c r="BX108" s="211"/>
      <c r="BY108" s="211"/>
      <c r="BZ108" s="211"/>
      <c r="CA108" s="106"/>
      <c r="CB108" s="106"/>
      <c r="CC108" s="106"/>
      <c r="CD108" s="106"/>
    </row>
    <row r="109" customFormat="false" ht="3" hidden="true" customHeight="true" outlineLevel="0" collapsed="false">
      <c r="B109" s="77"/>
      <c r="C109" s="190"/>
      <c r="D109" s="85"/>
      <c r="E109" s="191"/>
      <c r="F109" s="85"/>
      <c r="G109" s="200"/>
      <c r="H109" s="85"/>
      <c r="I109" s="191"/>
      <c r="J109" s="85"/>
      <c r="K109" s="85"/>
      <c r="L109" s="85"/>
      <c r="M109" s="85"/>
      <c r="N109" s="85"/>
      <c r="O109" s="206"/>
      <c r="P109" s="206"/>
      <c r="Q109" s="206"/>
      <c r="R109" s="206"/>
      <c r="S109" s="206"/>
      <c r="T109" s="206"/>
      <c r="U109" s="206"/>
      <c r="V109" s="106"/>
      <c r="W109" s="106"/>
      <c r="X109" s="106"/>
      <c r="Y109" s="212"/>
      <c r="Z109" s="213"/>
      <c r="AA109" s="213"/>
      <c r="AD109" s="190"/>
      <c r="AE109" s="85"/>
      <c r="AF109" s="191"/>
      <c r="AG109" s="85"/>
      <c r="AH109" s="200"/>
      <c r="AI109" s="85"/>
      <c r="AJ109" s="191"/>
      <c r="AK109" s="85"/>
      <c r="AL109" s="85"/>
      <c r="AM109" s="85"/>
      <c r="AN109" s="85"/>
      <c r="AO109" s="85"/>
      <c r="AP109" s="206"/>
      <c r="AQ109" s="206"/>
      <c r="AR109" s="206"/>
      <c r="AS109" s="206"/>
      <c r="AT109" s="206"/>
      <c r="AU109" s="206"/>
      <c r="AV109" s="206"/>
      <c r="AW109" s="106"/>
      <c r="AX109" s="106"/>
      <c r="AY109" s="106"/>
      <c r="AZ109" s="212"/>
      <c r="BE109" s="196"/>
      <c r="BF109" s="85"/>
      <c r="BG109" s="85"/>
      <c r="BH109" s="85"/>
      <c r="BI109" s="85"/>
      <c r="BJ109" s="85"/>
      <c r="BK109" s="85"/>
      <c r="BL109" s="204"/>
      <c r="BM109" s="85"/>
      <c r="BN109" s="85"/>
      <c r="BO109" s="85"/>
      <c r="BP109" s="85"/>
      <c r="BQ109" s="85"/>
      <c r="BR109" s="85"/>
      <c r="BS109" s="85"/>
      <c r="BT109" s="211"/>
      <c r="BU109" s="211"/>
      <c r="BV109" s="211"/>
      <c r="BW109" s="211"/>
      <c r="BX109" s="211"/>
      <c r="BY109" s="211"/>
      <c r="BZ109" s="211"/>
      <c r="CA109" s="106"/>
      <c r="CB109" s="106"/>
      <c r="CC109" s="106"/>
      <c r="CD109" s="106"/>
    </row>
    <row r="110" customFormat="false" ht="3" hidden="true" customHeight="true" outlineLevel="0" collapsed="false">
      <c r="B110" s="77"/>
      <c r="C110" s="190"/>
      <c r="D110" s="85"/>
      <c r="E110" s="191"/>
      <c r="F110" s="85"/>
      <c r="G110" s="200"/>
      <c r="H110" s="85"/>
      <c r="I110" s="191"/>
      <c r="J110" s="85"/>
      <c r="K110" s="85"/>
      <c r="L110" s="85"/>
      <c r="M110" s="85"/>
      <c r="N110" s="85"/>
      <c r="O110" s="206"/>
      <c r="P110" s="206"/>
      <c r="Q110" s="206"/>
      <c r="R110" s="206"/>
      <c r="S110" s="206"/>
      <c r="T110" s="206"/>
      <c r="U110" s="206"/>
      <c r="V110" s="106"/>
      <c r="W110" s="106"/>
      <c r="X110" s="106"/>
      <c r="Y110" s="212"/>
      <c r="Z110" s="213"/>
      <c r="AA110" s="213"/>
      <c r="AD110" s="190"/>
      <c r="AE110" s="85"/>
      <c r="AF110" s="191"/>
      <c r="AG110" s="85"/>
      <c r="AH110" s="200"/>
      <c r="AI110" s="85"/>
      <c r="AJ110" s="191"/>
      <c r="AK110" s="85"/>
      <c r="AL110" s="85"/>
      <c r="AM110" s="85"/>
      <c r="AN110" s="85"/>
      <c r="AO110" s="85"/>
      <c r="AP110" s="206"/>
      <c r="AQ110" s="206"/>
      <c r="AR110" s="206"/>
      <c r="AS110" s="206"/>
      <c r="AT110" s="206"/>
      <c r="AU110" s="206"/>
      <c r="AV110" s="206"/>
      <c r="AW110" s="106"/>
      <c r="AX110" s="106"/>
      <c r="AY110" s="106"/>
      <c r="AZ110" s="212"/>
      <c r="BE110" s="196"/>
      <c r="BF110" s="85"/>
      <c r="BG110" s="85"/>
      <c r="BH110" s="85"/>
      <c r="BI110" s="85"/>
      <c r="BJ110" s="85"/>
      <c r="BK110" s="85"/>
      <c r="BL110" s="204"/>
      <c r="BM110" s="85"/>
      <c r="BN110" s="85"/>
      <c r="BO110" s="85"/>
      <c r="BP110" s="85"/>
      <c r="BQ110" s="85"/>
      <c r="BR110" s="85"/>
      <c r="BS110" s="85"/>
      <c r="BT110" s="211"/>
      <c r="BU110" s="211"/>
      <c r="BV110" s="211"/>
      <c r="BW110" s="211"/>
      <c r="BX110" s="211"/>
      <c r="BY110" s="211"/>
      <c r="BZ110" s="211"/>
      <c r="CA110" s="106"/>
      <c r="CB110" s="106"/>
      <c r="CC110" s="106"/>
      <c r="CD110" s="106"/>
    </row>
    <row r="111" customFormat="false" ht="3" hidden="true" customHeight="true" outlineLevel="0" collapsed="false">
      <c r="B111" s="77"/>
      <c r="C111" s="190"/>
      <c r="D111" s="85"/>
      <c r="E111" s="191"/>
      <c r="F111" s="85"/>
      <c r="G111" s="200"/>
      <c r="H111" s="85"/>
      <c r="I111" s="191"/>
      <c r="J111" s="85"/>
      <c r="K111" s="85"/>
      <c r="L111" s="85"/>
      <c r="M111" s="85"/>
      <c r="N111" s="192"/>
      <c r="O111" s="206"/>
      <c r="P111" s="206"/>
      <c r="Q111" s="206"/>
      <c r="R111" s="206"/>
      <c r="S111" s="206"/>
      <c r="T111" s="206"/>
      <c r="U111" s="206"/>
      <c r="V111" s="85"/>
      <c r="W111" s="85"/>
      <c r="X111" s="85"/>
      <c r="Y111" s="198"/>
      <c r="AD111" s="190"/>
      <c r="AE111" s="85"/>
      <c r="AF111" s="191"/>
      <c r="AG111" s="85"/>
      <c r="AH111" s="200"/>
      <c r="AI111" s="85"/>
      <c r="AJ111" s="191"/>
      <c r="AK111" s="85"/>
      <c r="AL111" s="85"/>
      <c r="AM111" s="85"/>
      <c r="AN111" s="85"/>
      <c r="AO111" s="192"/>
      <c r="AP111" s="206"/>
      <c r="AQ111" s="206"/>
      <c r="AR111" s="206"/>
      <c r="AS111" s="206"/>
      <c r="AT111" s="206"/>
      <c r="AU111" s="206"/>
      <c r="AV111" s="206"/>
      <c r="AW111" s="85"/>
      <c r="AX111" s="85"/>
      <c r="AY111" s="85"/>
      <c r="AZ111" s="198"/>
      <c r="BE111" s="196"/>
      <c r="BF111" s="85"/>
      <c r="BG111" s="85"/>
      <c r="BH111" s="85"/>
      <c r="BI111" s="85"/>
      <c r="BJ111" s="85"/>
      <c r="BK111" s="85"/>
      <c r="BL111" s="204"/>
      <c r="BM111" s="85"/>
      <c r="BN111" s="85"/>
      <c r="BO111" s="85"/>
      <c r="BP111" s="85"/>
      <c r="BQ111" s="85"/>
      <c r="BR111" s="85"/>
      <c r="BS111" s="192"/>
      <c r="BT111" s="211"/>
      <c r="BU111" s="211"/>
      <c r="BV111" s="211"/>
      <c r="BW111" s="211"/>
      <c r="BX111" s="211"/>
      <c r="BY111" s="211"/>
      <c r="BZ111" s="211"/>
      <c r="CA111" s="85"/>
      <c r="CB111" s="85"/>
      <c r="CC111" s="85"/>
      <c r="CD111" s="85"/>
    </row>
    <row r="112" customFormat="false" ht="3" hidden="true" customHeight="true" outlineLevel="0" collapsed="false">
      <c r="C112" s="190"/>
      <c r="D112" s="85"/>
      <c r="E112" s="191"/>
      <c r="F112" s="85"/>
      <c r="G112" s="200"/>
      <c r="H112" s="85"/>
      <c r="I112" s="1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198"/>
      <c r="AD112" s="190"/>
      <c r="AE112" s="85"/>
      <c r="AF112" s="191"/>
      <c r="AG112" s="85"/>
      <c r="AH112" s="200"/>
      <c r="AI112" s="85"/>
      <c r="AJ112" s="191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198"/>
      <c r="BE112" s="196"/>
      <c r="BF112" s="85"/>
      <c r="BG112" s="85"/>
      <c r="BH112" s="85"/>
      <c r="BI112" s="85"/>
      <c r="BJ112" s="85"/>
      <c r="BK112" s="85"/>
      <c r="BL112" s="204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</row>
    <row r="113" customFormat="false" ht="9" hidden="true" customHeight="true" outlineLevel="0" collapsed="false">
      <c r="C113" s="172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198"/>
      <c r="AD113" s="172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198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</row>
    <row r="114" customFormat="false" ht="3" hidden="true" customHeight="true" outlineLevel="0" collapsed="false">
      <c r="B114" s="77"/>
      <c r="C114" s="190" t="s">
        <v>55</v>
      </c>
      <c r="E114" s="214" t="s">
        <v>47</v>
      </c>
      <c r="G114" s="200" t="n">
        <f aca="false">G98</f>
        <v>0</v>
      </c>
      <c r="I114" s="214" t="s">
        <v>49</v>
      </c>
      <c r="K114" s="206" t="e">
        <f aca="false">O98/O106</f>
        <v>#DIV/0!</v>
      </c>
      <c r="L114" s="206"/>
      <c r="M114" s="206"/>
      <c r="N114" s="206"/>
      <c r="O114" s="206"/>
      <c r="P114" s="206"/>
      <c r="Q114" s="206"/>
      <c r="R114" s="206"/>
      <c r="S114" s="206"/>
      <c r="T114" s="215"/>
      <c r="U114" s="215"/>
      <c r="Y114" s="171"/>
      <c r="AD114" s="190" t="s">
        <v>55</v>
      </c>
      <c r="AF114" s="214" t="s">
        <v>47</v>
      </c>
      <c r="AH114" s="200" t="n">
        <f aca="false">AH98</f>
        <v>0</v>
      </c>
      <c r="AJ114" s="214" t="s">
        <v>49</v>
      </c>
      <c r="AL114" s="206" t="n">
        <f aca="false">AP98/AP106</f>
        <v>0.032867763534631</v>
      </c>
      <c r="AM114" s="206"/>
      <c r="AN114" s="206"/>
      <c r="AO114" s="206"/>
      <c r="AP114" s="206"/>
      <c r="AQ114" s="206"/>
      <c r="AR114" s="206"/>
      <c r="AS114" s="206"/>
      <c r="AT114" s="206"/>
      <c r="AU114" s="215"/>
      <c r="AV114" s="215"/>
      <c r="AZ114" s="171"/>
      <c r="BE114" s="196"/>
      <c r="BL114" s="204"/>
      <c r="BP114" s="208"/>
      <c r="BQ114" s="208"/>
      <c r="BR114" s="208"/>
      <c r="BS114" s="208"/>
      <c r="BT114" s="208"/>
      <c r="BU114" s="208"/>
      <c r="BV114" s="208"/>
      <c r="BW114" s="208"/>
      <c r="BX114" s="208"/>
      <c r="BY114" s="215"/>
      <c r="BZ114" s="215"/>
    </row>
    <row r="115" customFormat="false" ht="3" hidden="true" customHeight="true" outlineLevel="0" collapsed="false">
      <c r="B115" s="77"/>
      <c r="C115" s="190"/>
      <c r="E115" s="214"/>
      <c r="G115" s="200"/>
      <c r="I115" s="214"/>
      <c r="K115" s="206"/>
      <c r="L115" s="206"/>
      <c r="M115" s="206"/>
      <c r="N115" s="206"/>
      <c r="O115" s="206"/>
      <c r="P115" s="206"/>
      <c r="Q115" s="206"/>
      <c r="R115" s="206"/>
      <c r="S115" s="206"/>
      <c r="T115" s="215"/>
      <c r="U115" s="215"/>
      <c r="Y115" s="171"/>
      <c r="AD115" s="190"/>
      <c r="AF115" s="214"/>
      <c r="AH115" s="200"/>
      <c r="AJ115" s="214"/>
      <c r="AL115" s="206"/>
      <c r="AM115" s="206"/>
      <c r="AN115" s="206"/>
      <c r="AO115" s="206"/>
      <c r="AP115" s="206"/>
      <c r="AQ115" s="206"/>
      <c r="AR115" s="206"/>
      <c r="AS115" s="206"/>
      <c r="AT115" s="206"/>
      <c r="AU115" s="215"/>
      <c r="AV115" s="215"/>
      <c r="AZ115" s="171"/>
      <c r="BE115" s="196"/>
      <c r="BL115" s="204"/>
      <c r="BP115" s="208"/>
      <c r="BQ115" s="208"/>
      <c r="BR115" s="208"/>
      <c r="BS115" s="208"/>
      <c r="BT115" s="208"/>
      <c r="BU115" s="208"/>
      <c r="BV115" s="208"/>
      <c r="BW115" s="208"/>
      <c r="BX115" s="208"/>
      <c r="BY115" s="215"/>
      <c r="BZ115" s="215"/>
    </row>
    <row r="116" customFormat="false" ht="3" hidden="true" customHeight="true" outlineLevel="0" collapsed="false">
      <c r="B116" s="77"/>
      <c r="C116" s="190"/>
      <c r="E116" s="214"/>
      <c r="G116" s="200"/>
      <c r="I116" s="214"/>
      <c r="K116" s="206"/>
      <c r="L116" s="206"/>
      <c r="M116" s="206"/>
      <c r="N116" s="206"/>
      <c r="O116" s="206"/>
      <c r="P116" s="206"/>
      <c r="Q116" s="206"/>
      <c r="R116" s="206"/>
      <c r="S116" s="206"/>
      <c r="T116" s="215"/>
      <c r="U116" s="215"/>
      <c r="Y116" s="171"/>
      <c r="AD116" s="190"/>
      <c r="AF116" s="214"/>
      <c r="AH116" s="200"/>
      <c r="AJ116" s="214"/>
      <c r="AL116" s="206"/>
      <c r="AM116" s="206"/>
      <c r="AN116" s="206"/>
      <c r="AO116" s="206"/>
      <c r="AP116" s="206"/>
      <c r="AQ116" s="206"/>
      <c r="AR116" s="206"/>
      <c r="AS116" s="206"/>
      <c r="AT116" s="206"/>
      <c r="AU116" s="215"/>
      <c r="AV116" s="215"/>
      <c r="AZ116" s="171"/>
      <c r="BE116" s="196"/>
      <c r="BL116" s="204"/>
      <c r="BP116" s="208"/>
      <c r="BQ116" s="208"/>
      <c r="BR116" s="208"/>
      <c r="BS116" s="208"/>
      <c r="BT116" s="208"/>
      <c r="BU116" s="208"/>
      <c r="BV116" s="208"/>
      <c r="BW116" s="208"/>
      <c r="BX116" s="208"/>
      <c r="BY116" s="215"/>
      <c r="BZ116" s="215"/>
    </row>
    <row r="117" customFormat="false" ht="3" hidden="true" customHeight="true" outlineLevel="0" collapsed="false">
      <c r="B117" s="77"/>
      <c r="C117" s="190"/>
      <c r="E117" s="214"/>
      <c r="G117" s="200"/>
      <c r="I117" s="214"/>
      <c r="K117" s="206"/>
      <c r="L117" s="206"/>
      <c r="M117" s="206"/>
      <c r="N117" s="206"/>
      <c r="O117" s="206"/>
      <c r="P117" s="206"/>
      <c r="Q117" s="206"/>
      <c r="R117" s="206"/>
      <c r="S117" s="206"/>
      <c r="T117" s="215"/>
      <c r="U117" s="215"/>
      <c r="Y117" s="171"/>
      <c r="AD117" s="190"/>
      <c r="AF117" s="214"/>
      <c r="AH117" s="200"/>
      <c r="AJ117" s="214"/>
      <c r="AL117" s="206"/>
      <c r="AM117" s="206"/>
      <c r="AN117" s="206"/>
      <c r="AO117" s="206"/>
      <c r="AP117" s="206"/>
      <c r="AQ117" s="206"/>
      <c r="AR117" s="206"/>
      <c r="AS117" s="206"/>
      <c r="AT117" s="206"/>
      <c r="AU117" s="215"/>
      <c r="AV117" s="215"/>
      <c r="AZ117" s="171"/>
      <c r="BE117" s="196"/>
      <c r="BL117" s="204"/>
      <c r="BP117" s="208"/>
      <c r="BQ117" s="208"/>
      <c r="BR117" s="208"/>
      <c r="BS117" s="208"/>
      <c r="BT117" s="208"/>
      <c r="BU117" s="208"/>
      <c r="BV117" s="208"/>
      <c r="BW117" s="208"/>
      <c r="BX117" s="208"/>
      <c r="BY117" s="215"/>
      <c r="BZ117" s="215"/>
    </row>
    <row r="118" customFormat="false" ht="3" hidden="true" customHeight="true" outlineLevel="0" collapsed="false">
      <c r="B118" s="77"/>
      <c r="C118" s="190"/>
      <c r="E118" s="214"/>
      <c r="G118" s="200"/>
      <c r="I118" s="214"/>
      <c r="K118" s="206"/>
      <c r="L118" s="206"/>
      <c r="M118" s="206"/>
      <c r="N118" s="206"/>
      <c r="O118" s="206"/>
      <c r="P118" s="206"/>
      <c r="Q118" s="206"/>
      <c r="R118" s="206"/>
      <c r="S118" s="206"/>
      <c r="T118" s="215"/>
      <c r="U118" s="215"/>
      <c r="Y118" s="171"/>
      <c r="AD118" s="190"/>
      <c r="AF118" s="214"/>
      <c r="AH118" s="200"/>
      <c r="AJ118" s="214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15"/>
      <c r="AV118" s="215"/>
      <c r="AZ118" s="171"/>
      <c r="BE118" s="196"/>
      <c r="BL118" s="204"/>
      <c r="BP118" s="208"/>
      <c r="BQ118" s="208"/>
      <c r="BR118" s="208"/>
      <c r="BS118" s="208"/>
      <c r="BT118" s="208"/>
      <c r="BU118" s="208"/>
      <c r="BV118" s="208"/>
      <c r="BW118" s="208"/>
      <c r="BX118" s="208"/>
      <c r="BY118" s="215"/>
      <c r="BZ118" s="215"/>
    </row>
    <row r="119" customFormat="false" ht="3" hidden="true" customHeight="true" outlineLevel="0" collapsed="false">
      <c r="B119" s="77"/>
      <c r="C119" s="190"/>
      <c r="E119" s="214"/>
      <c r="G119" s="200"/>
      <c r="I119" s="214"/>
      <c r="K119" s="206"/>
      <c r="L119" s="206"/>
      <c r="M119" s="206"/>
      <c r="N119" s="206"/>
      <c r="O119" s="206"/>
      <c r="P119" s="206"/>
      <c r="Q119" s="206"/>
      <c r="R119" s="206"/>
      <c r="S119" s="206"/>
      <c r="T119" s="215"/>
      <c r="U119" s="215"/>
      <c r="Y119" s="171"/>
      <c r="AD119" s="190"/>
      <c r="AF119" s="214"/>
      <c r="AH119" s="200"/>
      <c r="AJ119" s="214"/>
      <c r="AL119" s="206"/>
      <c r="AM119" s="206"/>
      <c r="AN119" s="206"/>
      <c r="AO119" s="206"/>
      <c r="AP119" s="206"/>
      <c r="AQ119" s="206"/>
      <c r="AR119" s="206"/>
      <c r="AS119" s="206"/>
      <c r="AT119" s="206"/>
      <c r="AU119" s="215"/>
      <c r="AV119" s="215"/>
      <c r="AZ119" s="171"/>
      <c r="BE119" s="196"/>
      <c r="BL119" s="204"/>
      <c r="BP119" s="208"/>
      <c r="BQ119" s="208"/>
      <c r="BR119" s="208"/>
      <c r="BS119" s="208"/>
      <c r="BT119" s="208"/>
      <c r="BU119" s="208"/>
      <c r="BV119" s="208"/>
      <c r="BW119" s="208"/>
      <c r="BX119" s="208"/>
      <c r="BY119" s="215"/>
      <c r="BZ119" s="215"/>
    </row>
    <row r="120" customFormat="false" ht="3" hidden="true" customHeight="true" outlineLevel="0" collapsed="false">
      <c r="B120" s="77"/>
      <c r="C120" s="190"/>
      <c r="D120" s="77"/>
      <c r="E120" s="214"/>
      <c r="G120" s="200"/>
      <c r="I120" s="214"/>
      <c r="K120" s="206"/>
      <c r="L120" s="206"/>
      <c r="M120" s="206"/>
      <c r="N120" s="206"/>
      <c r="O120" s="206"/>
      <c r="P120" s="206"/>
      <c r="Q120" s="206"/>
      <c r="R120" s="206"/>
      <c r="S120" s="206"/>
      <c r="Y120" s="171"/>
      <c r="AD120" s="190"/>
      <c r="AE120" s="77"/>
      <c r="AF120" s="214"/>
      <c r="AH120" s="200"/>
      <c r="AJ120" s="214"/>
      <c r="AL120" s="206"/>
      <c r="AM120" s="206"/>
      <c r="AN120" s="206"/>
      <c r="AO120" s="206"/>
      <c r="AP120" s="206"/>
      <c r="AQ120" s="206"/>
      <c r="AR120" s="206"/>
      <c r="AS120" s="206"/>
      <c r="AT120" s="206"/>
      <c r="AZ120" s="171"/>
      <c r="BE120" s="196"/>
      <c r="BF120" s="77"/>
      <c r="BL120" s="204"/>
      <c r="BP120" s="208"/>
      <c r="BQ120" s="208"/>
      <c r="BR120" s="208"/>
      <c r="BS120" s="208"/>
      <c r="BT120" s="208"/>
      <c r="BU120" s="208"/>
      <c r="BV120" s="208"/>
      <c r="BW120" s="208"/>
      <c r="BX120" s="208"/>
    </row>
    <row r="121" customFormat="false" ht="9" hidden="true" customHeight="true" outlineLevel="0" collapsed="false">
      <c r="C121" s="170"/>
      <c r="Y121" s="171"/>
      <c r="AD121" s="170"/>
      <c r="AZ121" s="171"/>
    </row>
    <row r="122" customFormat="false" ht="3" hidden="false" customHeight="true" outlineLevel="0" collapsed="false">
      <c r="B122" s="77"/>
      <c r="C122" s="216" t="s">
        <v>46</v>
      </c>
      <c r="E122" s="217" t="s">
        <v>47</v>
      </c>
      <c r="G122" s="218" t="e">
        <f aca="false">(G114*K114)</f>
        <v>#DIV/0!</v>
      </c>
      <c r="I122" s="7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5"/>
      <c r="U122" s="215"/>
      <c r="Y122" s="171"/>
      <c r="AD122" s="216" t="s">
        <v>46</v>
      </c>
      <c r="AF122" s="217" t="s">
        <v>47</v>
      </c>
      <c r="AH122" s="218" t="n">
        <f aca="false">(AH114*AL114)</f>
        <v>0</v>
      </c>
      <c r="AJ122" s="77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5"/>
      <c r="AV122" s="215"/>
      <c r="AZ122" s="171"/>
      <c r="BE122" s="196"/>
      <c r="BG122" s="85"/>
      <c r="BL122" s="204"/>
      <c r="BN122" s="77"/>
      <c r="BP122" s="219"/>
      <c r="BQ122" s="219"/>
      <c r="BR122" s="219"/>
      <c r="BS122" s="219"/>
      <c r="BT122" s="219"/>
      <c r="BU122" s="219"/>
      <c r="BV122" s="219"/>
      <c r="BW122" s="219"/>
      <c r="BX122" s="219"/>
      <c r="BY122" s="215"/>
      <c r="BZ122" s="215"/>
    </row>
    <row r="123" customFormat="false" ht="3" hidden="false" customHeight="true" outlineLevel="0" collapsed="false">
      <c r="B123" s="77"/>
      <c r="C123" s="216"/>
      <c r="E123" s="217"/>
      <c r="G123" s="218"/>
      <c r="I123" s="7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5"/>
      <c r="U123" s="215"/>
      <c r="Y123" s="171"/>
      <c r="AD123" s="216"/>
      <c r="AF123" s="217"/>
      <c r="AH123" s="218"/>
      <c r="AJ123" s="77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5"/>
      <c r="AV123" s="215"/>
      <c r="AZ123" s="171"/>
      <c r="BE123" s="196"/>
      <c r="BG123" s="85"/>
      <c r="BL123" s="204"/>
      <c r="BN123" s="77"/>
      <c r="BP123" s="219"/>
      <c r="BQ123" s="219"/>
      <c r="BR123" s="219"/>
      <c r="BS123" s="219"/>
      <c r="BT123" s="219"/>
      <c r="BU123" s="219"/>
      <c r="BV123" s="219"/>
      <c r="BW123" s="219"/>
      <c r="BX123" s="219"/>
      <c r="BY123" s="215"/>
      <c r="BZ123" s="215"/>
    </row>
    <row r="124" customFormat="false" ht="3" hidden="false" customHeight="true" outlineLevel="0" collapsed="false">
      <c r="B124" s="77"/>
      <c r="C124" s="216"/>
      <c r="E124" s="217"/>
      <c r="G124" s="218"/>
      <c r="I124" s="7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5"/>
      <c r="U124" s="215"/>
      <c r="Y124" s="171"/>
      <c r="AD124" s="216"/>
      <c r="AF124" s="217"/>
      <c r="AH124" s="218"/>
      <c r="AJ124" s="77"/>
      <c r="AL124" s="219"/>
      <c r="AM124" s="219"/>
      <c r="AN124" s="219"/>
      <c r="AO124" s="219"/>
      <c r="AP124" s="219"/>
      <c r="AQ124" s="219"/>
      <c r="AR124" s="219"/>
      <c r="AS124" s="219"/>
      <c r="AT124" s="219"/>
      <c r="AU124" s="215"/>
      <c r="AV124" s="215"/>
      <c r="AZ124" s="171"/>
      <c r="BE124" s="196"/>
      <c r="BG124" s="85"/>
      <c r="BL124" s="204"/>
      <c r="BN124" s="77"/>
      <c r="BP124" s="219"/>
      <c r="BQ124" s="219"/>
      <c r="BR124" s="219"/>
      <c r="BS124" s="219"/>
      <c r="BT124" s="219"/>
      <c r="BU124" s="219"/>
      <c r="BV124" s="219"/>
      <c r="BW124" s="219"/>
      <c r="BX124" s="219"/>
      <c r="BY124" s="215"/>
      <c r="BZ124" s="215"/>
    </row>
    <row r="125" customFormat="false" ht="3" hidden="false" customHeight="true" outlineLevel="0" collapsed="false">
      <c r="B125" s="77"/>
      <c r="C125" s="216"/>
      <c r="E125" s="217"/>
      <c r="G125" s="218"/>
      <c r="I125" s="7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5"/>
      <c r="U125" s="215"/>
      <c r="Y125" s="171"/>
      <c r="AD125" s="216"/>
      <c r="AF125" s="217"/>
      <c r="AH125" s="218"/>
      <c r="AJ125" s="77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5"/>
      <c r="AV125" s="215"/>
      <c r="AZ125" s="171"/>
      <c r="BE125" s="196"/>
      <c r="BG125" s="85"/>
      <c r="BL125" s="204"/>
      <c r="BN125" s="77"/>
      <c r="BP125" s="219"/>
      <c r="BQ125" s="219"/>
      <c r="BR125" s="219"/>
      <c r="BS125" s="219"/>
      <c r="BT125" s="219"/>
      <c r="BU125" s="219"/>
      <c r="BV125" s="219"/>
      <c r="BW125" s="219"/>
      <c r="BX125" s="219"/>
      <c r="BY125" s="215"/>
      <c r="BZ125" s="215"/>
    </row>
    <row r="126" customFormat="false" ht="3" hidden="false" customHeight="true" outlineLevel="0" collapsed="false">
      <c r="B126" s="77"/>
      <c r="C126" s="216"/>
      <c r="E126" s="217"/>
      <c r="G126" s="218"/>
      <c r="I126" s="7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5"/>
      <c r="U126" s="215"/>
      <c r="Y126" s="171"/>
      <c r="AD126" s="216"/>
      <c r="AF126" s="217"/>
      <c r="AH126" s="218"/>
      <c r="AJ126" s="77"/>
      <c r="AL126" s="219"/>
      <c r="AM126" s="219"/>
      <c r="AN126" s="219"/>
      <c r="AO126" s="219"/>
      <c r="AP126" s="219"/>
      <c r="AQ126" s="219"/>
      <c r="AR126" s="219"/>
      <c r="AS126" s="219"/>
      <c r="AT126" s="219"/>
      <c r="AU126" s="215"/>
      <c r="AV126" s="215"/>
      <c r="AZ126" s="171"/>
      <c r="BE126" s="196"/>
      <c r="BG126" s="85"/>
      <c r="BL126" s="204"/>
      <c r="BN126" s="77"/>
      <c r="BP126" s="219"/>
      <c r="BQ126" s="219"/>
      <c r="BR126" s="219"/>
      <c r="BS126" s="219"/>
      <c r="BT126" s="219"/>
      <c r="BU126" s="219"/>
      <c r="BV126" s="219"/>
      <c r="BW126" s="219"/>
      <c r="BX126" s="219"/>
      <c r="BY126" s="215"/>
      <c r="BZ126" s="215"/>
    </row>
    <row r="127" customFormat="false" ht="2.25" hidden="false" customHeight="true" outlineLevel="0" collapsed="false">
      <c r="B127" s="77"/>
      <c r="C127" s="216"/>
      <c r="E127" s="217"/>
      <c r="G127" s="218"/>
      <c r="I127" s="7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5"/>
      <c r="U127" s="215"/>
      <c r="Y127" s="171"/>
      <c r="AD127" s="216"/>
      <c r="AF127" s="217"/>
      <c r="AH127" s="218"/>
      <c r="AJ127" s="77"/>
      <c r="AL127" s="219"/>
      <c r="AM127" s="219"/>
      <c r="AN127" s="219"/>
      <c r="AO127" s="219"/>
      <c r="AP127" s="219"/>
      <c r="AQ127" s="219"/>
      <c r="AR127" s="219"/>
      <c r="AS127" s="219"/>
      <c r="AT127" s="219"/>
      <c r="AU127" s="215"/>
      <c r="AV127" s="215"/>
      <c r="AZ127" s="171"/>
      <c r="BE127" s="196"/>
      <c r="BG127" s="85"/>
      <c r="BL127" s="204"/>
      <c r="BN127" s="77"/>
      <c r="BP127" s="219"/>
      <c r="BQ127" s="219"/>
      <c r="BR127" s="219"/>
      <c r="BS127" s="219"/>
      <c r="BT127" s="219"/>
      <c r="BU127" s="219"/>
      <c r="BV127" s="219"/>
      <c r="BW127" s="219"/>
      <c r="BX127" s="219"/>
      <c r="BY127" s="215"/>
      <c r="BZ127" s="215"/>
    </row>
    <row r="128" customFormat="false" ht="3" hidden="true" customHeight="true" outlineLevel="0" collapsed="false">
      <c r="B128" s="77"/>
      <c r="C128" s="216"/>
      <c r="E128" s="217"/>
      <c r="G128" s="218"/>
      <c r="I128" s="7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5"/>
      <c r="U128" s="215"/>
      <c r="Y128" s="171"/>
      <c r="AD128" s="216"/>
      <c r="AF128" s="217"/>
      <c r="AH128" s="218"/>
      <c r="AJ128" s="77"/>
      <c r="AL128" s="219"/>
      <c r="AM128" s="219"/>
      <c r="AN128" s="219"/>
      <c r="AO128" s="219"/>
      <c r="AP128" s="219"/>
      <c r="AQ128" s="219"/>
      <c r="AR128" s="219"/>
      <c r="AS128" s="219"/>
      <c r="AT128" s="219"/>
      <c r="AU128" s="215"/>
      <c r="AV128" s="215"/>
      <c r="AZ128" s="171"/>
      <c r="BE128" s="196"/>
      <c r="BG128" s="85"/>
      <c r="BL128" s="204"/>
      <c r="BN128" s="77"/>
      <c r="BP128" s="219"/>
      <c r="BQ128" s="219"/>
      <c r="BR128" s="219"/>
      <c r="BS128" s="219"/>
      <c r="BT128" s="219"/>
      <c r="BU128" s="219"/>
      <c r="BV128" s="219"/>
      <c r="BW128" s="219"/>
      <c r="BX128" s="219"/>
      <c r="BY128" s="215"/>
      <c r="BZ128" s="215"/>
    </row>
    <row r="129" customFormat="false" ht="3" hidden="false" customHeight="true" outlineLevel="0" collapsed="false">
      <c r="B129" s="77"/>
      <c r="C129" s="216"/>
      <c r="D129" s="220"/>
      <c r="E129" s="217"/>
      <c r="F129" s="209"/>
      <c r="G129" s="218"/>
      <c r="H129" s="209"/>
      <c r="I129" s="220"/>
      <c r="J129" s="209"/>
      <c r="K129" s="221"/>
      <c r="L129" s="221"/>
      <c r="M129" s="221"/>
      <c r="N129" s="221"/>
      <c r="O129" s="221"/>
      <c r="P129" s="221"/>
      <c r="Q129" s="221"/>
      <c r="R129" s="221"/>
      <c r="S129" s="221"/>
      <c r="T129" s="209"/>
      <c r="U129" s="209"/>
      <c r="V129" s="209"/>
      <c r="W129" s="209"/>
      <c r="X129" s="209"/>
      <c r="Y129" s="222"/>
      <c r="AD129" s="216"/>
      <c r="AE129" s="220"/>
      <c r="AF129" s="217"/>
      <c r="AG129" s="209"/>
      <c r="AH129" s="218"/>
      <c r="AI129" s="209"/>
      <c r="AJ129" s="220"/>
      <c r="AK129" s="209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09"/>
      <c r="AV129" s="209"/>
      <c r="AW129" s="209"/>
      <c r="AX129" s="209"/>
      <c r="AY129" s="209"/>
      <c r="AZ129" s="222"/>
      <c r="BE129" s="196"/>
      <c r="BF129" s="77"/>
      <c r="BG129" s="85"/>
      <c r="BL129" s="204"/>
      <c r="BN129" s="77"/>
      <c r="BP129" s="219"/>
      <c r="BQ129" s="219"/>
      <c r="BR129" s="219"/>
      <c r="BS129" s="219"/>
      <c r="BT129" s="219"/>
      <c r="BU129" s="219"/>
      <c r="BV129" s="219"/>
      <c r="BW129" s="219"/>
      <c r="BX129" s="219"/>
    </row>
    <row r="130" customFormat="false" ht="15" hidden="false" customHeight="true" outlineLevel="0" collapsed="false">
      <c r="B130" s="77"/>
      <c r="C130" s="223"/>
      <c r="D130" s="77"/>
      <c r="E130" s="85"/>
      <c r="G130" s="224"/>
      <c r="I130" s="77"/>
      <c r="K130" s="219"/>
      <c r="L130" s="219"/>
      <c r="M130" s="219"/>
      <c r="N130" s="219"/>
      <c r="O130" s="219"/>
      <c r="P130" s="219"/>
      <c r="Q130" s="219"/>
      <c r="R130" s="219"/>
      <c r="S130" s="219"/>
      <c r="AD130" s="223"/>
      <c r="AE130" s="77"/>
      <c r="AF130" s="85"/>
      <c r="AH130" s="224"/>
      <c r="AJ130" s="77"/>
      <c r="AL130" s="219"/>
      <c r="AM130" s="219"/>
      <c r="AN130" s="219"/>
      <c r="AO130" s="219"/>
      <c r="AP130" s="219"/>
      <c r="AQ130" s="219"/>
      <c r="AR130" s="219"/>
      <c r="AS130" s="219"/>
      <c r="AT130" s="219"/>
      <c r="BE130" s="223"/>
      <c r="BF130" s="77"/>
      <c r="BG130" s="85"/>
      <c r="BL130" s="224"/>
      <c r="BN130" s="77"/>
      <c r="BP130" s="219"/>
      <c r="BQ130" s="219"/>
      <c r="BR130" s="219"/>
      <c r="BS130" s="219"/>
      <c r="BT130" s="219"/>
      <c r="BU130" s="219"/>
      <c r="BV130" s="219"/>
      <c r="BW130" s="219"/>
      <c r="BX130" s="219"/>
    </row>
    <row r="131" customFormat="false" ht="12.75" hidden="false" customHeight="true" outlineLevel="0" collapsed="false">
      <c r="C131" s="225" t="s">
        <v>56</v>
      </c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6"/>
      <c r="AA131" s="226"/>
      <c r="AB131" s="226"/>
      <c r="AC131" s="226"/>
      <c r="AD131" s="227" t="s">
        <v>57</v>
      </c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6"/>
      <c r="BB131" s="226"/>
      <c r="BC131" s="226"/>
      <c r="BD131" s="226"/>
      <c r="BE131" s="227" t="s">
        <v>58</v>
      </c>
      <c r="BF131" s="227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227"/>
      <c r="BR131" s="227"/>
      <c r="BS131" s="227"/>
      <c r="BT131" s="227"/>
      <c r="BU131" s="227"/>
      <c r="BV131" s="227"/>
      <c r="BW131" s="227"/>
      <c r="BX131" s="227"/>
      <c r="BY131" s="227"/>
      <c r="BZ131" s="227"/>
      <c r="CA131" s="227"/>
      <c r="CB131" s="227"/>
      <c r="CC131" s="227"/>
      <c r="CI131" s="46"/>
    </row>
    <row r="132" customFormat="false" ht="12.75" hidden="false" customHeight="true" outlineLevel="0" collapsed="false">
      <c r="C132" s="228" t="s">
        <v>59</v>
      </c>
      <c r="D132" s="229" t="s">
        <v>60</v>
      </c>
      <c r="E132" s="229"/>
      <c r="F132" s="229"/>
      <c r="G132" s="229"/>
      <c r="H132" s="229"/>
      <c r="I132" s="229"/>
      <c r="J132" s="229"/>
      <c r="K132" s="229"/>
      <c r="L132" s="229"/>
      <c r="M132" s="229"/>
      <c r="N132" s="230" t="s">
        <v>61</v>
      </c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26"/>
      <c r="AA132" s="226"/>
      <c r="AB132" s="226"/>
      <c r="AC132" s="226"/>
      <c r="AD132" s="228" t="s">
        <v>59</v>
      </c>
      <c r="AE132" s="229" t="s">
        <v>60</v>
      </c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30" t="s">
        <v>62</v>
      </c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26"/>
      <c r="BB132" s="226"/>
      <c r="BC132" s="226"/>
      <c r="BD132" s="226"/>
      <c r="BE132" s="228" t="s">
        <v>59</v>
      </c>
      <c r="BF132" s="229" t="s">
        <v>60</v>
      </c>
      <c r="BG132" s="229"/>
      <c r="BH132" s="229"/>
      <c r="BI132" s="229"/>
      <c r="BJ132" s="229"/>
      <c r="BK132" s="229"/>
      <c r="BL132" s="229"/>
      <c r="BM132" s="229"/>
      <c r="BN132" s="229"/>
      <c r="BO132" s="229"/>
      <c r="BP132" s="231" t="s">
        <v>63</v>
      </c>
      <c r="BQ132" s="231"/>
      <c r="BR132" s="231"/>
      <c r="BS132" s="231"/>
      <c r="BT132" s="231"/>
      <c r="BU132" s="231"/>
      <c r="BV132" s="231"/>
      <c r="BW132" s="231"/>
      <c r="BX132" s="231"/>
      <c r="BY132" s="231"/>
      <c r="BZ132" s="231"/>
      <c r="CA132" s="231"/>
      <c r="CB132" s="231"/>
      <c r="CC132" s="231"/>
      <c r="CI132" s="46"/>
    </row>
    <row r="133" customFormat="false" ht="12.75" hidden="false" customHeight="true" outlineLevel="0" collapsed="false">
      <c r="C133" s="232" t="n">
        <v>1</v>
      </c>
      <c r="D133" s="233" t="n">
        <f aca="false">IF(C133&lt;=$I$16, $D$6, "")</f>
        <v>0</v>
      </c>
      <c r="E133" s="233"/>
      <c r="F133" s="233"/>
      <c r="G133" s="233"/>
      <c r="H133" s="233"/>
      <c r="I133" s="233"/>
      <c r="J133" s="233"/>
      <c r="K133" s="233"/>
      <c r="L133" s="233"/>
      <c r="M133" s="233"/>
      <c r="N133" s="234" t="n">
        <f aca="false">IF(C133&lt;=$I$16, $I$17, "")</f>
        <v>0</v>
      </c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26"/>
      <c r="AA133" s="226"/>
      <c r="AB133" s="226"/>
      <c r="AC133" s="226"/>
      <c r="AD133" s="232" t="n">
        <v>1</v>
      </c>
      <c r="AE133" s="233" t="n">
        <f aca="false">D133</f>
        <v>0</v>
      </c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4" t="n">
        <f aca="false">AH122</f>
        <v>0</v>
      </c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  <c r="AZ133" s="234"/>
      <c r="BA133" s="226"/>
      <c r="BB133" s="226"/>
      <c r="BC133" s="226"/>
      <c r="BD133" s="226"/>
      <c r="BE133" s="232" t="n">
        <v>1</v>
      </c>
      <c r="BF133" s="233" t="n">
        <f aca="false">AE133</f>
        <v>0</v>
      </c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45" t="n">
        <f aca="false">N133</f>
        <v>0</v>
      </c>
      <c r="BQ133" s="245"/>
      <c r="BR133" s="245"/>
      <c r="BS133" s="245"/>
      <c r="BT133" s="245"/>
      <c r="BU133" s="245"/>
      <c r="BV133" s="245"/>
      <c r="BW133" s="245"/>
      <c r="BX133" s="245"/>
      <c r="BY133" s="245"/>
      <c r="BZ133" s="245"/>
      <c r="CA133" s="245"/>
      <c r="CB133" s="245"/>
      <c r="CC133" s="245"/>
      <c r="CI133" s="46"/>
    </row>
    <row r="134" customFormat="false" ht="12.75" hidden="false" customHeight="true" outlineLevel="0" collapsed="false">
      <c r="C134" s="235" t="n">
        <v>2</v>
      </c>
      <c r="D134" s="236" t="n">
        <f aca="false">IF(C134&lt;=$I$16, EDATE($D$6, C134-1), "")</f>
        <v>31</v>
      </c>
      <c r="E134" s="236"/>
      <c r="F134" s="236"/>
      <c r="G134" s="236"/>
      <c r="H134" s="236"/>
      <c r="I134" s="236"/>
      <c r="J134" s="236"/>
      <c r="K134" s="236"/>
      <c r="L134" s="236"/>
      <c r="M134" s="236"/>
      <c r="N134" s="237" t="n">
        <f aca="false">IF(C134&lt;=$I$16, $I$17, "")</f>
        <v>0</v>
      </c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26"/>
      <c r="AA134" s="226"/>
      <c r="AB134" s="226"/>
      <c r="AC134" s="226"/>
      <c r="AD134" s="235" t="n">
        <v>2</v>
      </c>
      <c r="AE134" s="236" t="n">
        <f aca="false">D134</f>
        <v>31</v>
      </c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7" t="n">
        <f aca="false">AO133</f>
        <v>0</v>
      </c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26"/>
      <c r="BB134" s="226"/>
      <c r="BC134" s="226"/>
      <c r="BD134" s="226"/>
      <c r="BE134" s="235" t="n">
        <v>2</v>
      </c>
      <c r="BF134" s="236" t="n">
        <f aca="false">AE134</f>
        <v>31</v>
      </c>
      <c r="BG134" s="236"/>
      <c r="BH134" s="236"/>
      <c r="BI134" s="236"/>
      <c r="BJ134" s="236"/>
      <c r="BK134" s="236"/>
      <c r="BL134" s="236"/>
      <c r="BM134" s="236"/>
      <c r="BN134" s="236"/>
      <c r="BO134" s="236"/>
      <c r="BP134" s="246" t="n">
        <f aca="false">BP133</f>
        <v>0</v>
      </c>
      <c r="BQ134" s="246"/>
      <c r="BR134" s="246"/>
      <c r="BS134" s="246"/>
      <c r="BT134" s="246"/>
      <c r="BU134" s="246"/>
      <c r="BV134" s="246"/>
      <c r="BW134" s="246"/>
      <c r="BX134" s="246"/>
      <c r="BY134" s="246"/>
      <c r="BZ134" s="246"/>
      <c r="CA134" s="246"/>
      <c r="CB134" s="246"/>
      <c r="CC134" s="246"/>
      <c r="CI134" s="46"/>
    </row>
    <row r="135" customFormat="false" ht="12.75" hidden="false" customHeight="true" outlineLevel="0" collapsed="false">
      <c r="C135" s="235" t="n">
        <v>3</v>
      </c>
      <c r="D135" s="236" t="n">
        <f aca="false">IF(C135&lt;=$I$16, EDATE($D$6, C135-1), "")</f>
        <v>60</v>
      </c>
      <c r="E135" s="236"/>
      <c r="F135" s="236"/>
      <c r="G135" s="236"/>
      <c r="H135" s="236"/>
      <c r="I135" s="236"/>
      <c r="J135" s="236"/>
      <c r="K135" s="236"/>
      <c r="L135" s="236"/>
      <c r="M135" s="236"/>
      <c r="N135" s="237" t="n">
        <f aca="false">IF(C135&lt;=$I$16, $I$17, "")</f>
        <v>0</v>
      </c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26"/>
      <c r="AA135" s="226"/>
      <c r="AB135" s="226"/>
      <c r="AC135" s="226"/>
      <c r="AD135" s="235" t="n">
        <v>3</v>
      </c>
      <c r="AE135" s="236" t="n">
        <f aca="false">D135</f>
        <v>60</v>
      </c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7" t="n">
        <f aca="false">AO134</f>
        <v>0</v>
      </c>
      <c r="AP135" s="237"/>
      <c r="AQ135" s="237"/>
      <c r="AR135" s="237"/>
      <c r="AS135" s="237"/>
      <c r="AT135" s="237"/>
      <c r="AU135" s="237"/>
      <c r="AV135" s="237"/>
      <c r="AW135" s="237"/>
      <c r="AX135" s="237"/>
      <c r="AY135" s="237"/>
      <c r="AZ135" s="237"/>
      <c r="BA135" s="226"/>
      <c r="BB135" s="226"/>
      <c r="BC135" s="226"/>
      <c r="BD135" s="226"/>
      <c r="BE135" s="235" t="n">
        <v>3</v>
      </c>
      <c r="BF135" s="236" t="n">
        <f aca="false">AE135</f>
        <v>60</v>
      </c>
      <c r="BG135" s="236"/>
      <c r="BH135" s="236"/>
      <c r="BI135" s="236"/>
      <c r="BJ135" s="236"/>
      <c r="BK135" s="236"/>
      <c r="BL135" s="236"/>
      <c r="BM135" s="236"/>
      <c r="BN135" s="236"/>
      <c r="BO135" s="236"/>
      <c r="BP135" s="245" t="n">
        <f aca="false">N135</f>
        <v>0</v>
      </c>
      <c r="BQ135" s="245"/>
      <c r="BR135" s="245"/>
      <c r="BS135" s="245"/>
      <c r="BT135" s="245"/>
      <c r="BU135" s="245"/>
      <c r="BV135" s="245"/>
      <c r="BW135" s="245"/>
      <c r="BX135" s="245"/>
      <c r="BY135" s="245"/>
      <c r="BZ135" s="245"/>
      <c r="CA135" s="245"/>
      <c r="CB135" s="245"/>
      <c r="CC135" s="245"/>
      <c r="CI135" s="46"/>
    </row>
    <row r="136" customFormat="false" ht="12.75" hidden="false" customHeight="true" outlineLevel="0" collapsed="false">
      <c r="C136" s="235" t="n">
        <v>4</v>
      </c>
      <c r="D136" s="233" t="n">
        <f aca="false">IF(C136&lt;=$I$16, EDATE($D$6, C136-1), "")</f>
        <v>90</v>
      </c>
      <c r="E136" s="233"/>
      <c r="F136" s="233"/>
      <c r="G136" s="233"/>
      <c r="H136" s="233"/>
      <c r="I136" s="233"/>
      <c r="J136" s="233"/>
      <c r="K136" s="233"/>
      <c r="L136" s="233"/>
      <c r="M136" s="233"/>
      <c r="N136" s="237" t="n">
        <f aca="false">IF(C136&lt;=$I$16, $I$17, "")</f>
        <v>0</v>
      </c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26"/>
      <c r="AA136" s="226"/>
      <c r="AB136" s="226"/>
      <c r="AC136" s="226"/>
      <c r="AD136" s="235" t="n">
        <v>4</v>
      </c>
      <c r="AE136" s="236" t="n">
        <f aca="false">D136</f>
        <v>90</v>
      </c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7" t="n">
        <f aca="false">AO135</f>
        <v>0</v>
      </c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26"/>
      <c r="BB136" s="226"/>
      <c r="BC136" s="226"/>
      <c r="BD136" s="226"/>
      <c r="BE136" s="235" t="n">
        <v>4</v>
      </c>
      <c r="BF136" s="236" t="n">
        <f aca="false">AE136</f>
        <v>90</v>
      </c>
      <c r="BG136" s="236"/>
      <c r="BH136" s="236"/>
      <c r="BI136" s="236"/>
      <c r="BJ136" s="236"/>
      <c r="BK136" s="236"/>
      <c r="BL136" s="236"/>
      <c r="BM136" s="236"/>
      <c r="BN136" s="236"/>
      <c r="BO136" s="236"/>
      <c r="BP136" s="246" t="n">
        <f aca="false">BP135</f>
        <v>0</v>
      </c>
      <c r="BQ136" s="246"/>
      <c r="BR136" s="246"/>
      <c r="BS136" s="246"/>
      <c r="BT136" s="246"/>
      <c r="BU136" s="246"/>
      <c r="BV136" s="246"/>
      <c r="BW136" s="246"/>
      <c r="BX136" s="246"/>
      <c r="BY136" s="246"/>
      <c r="BZ136" s="246"/>
      <c r="CA136" s="246"/>
      <c r="CB136" s="246"/>
      <c r="CC136" s="246"/>
      <c r="CI136" s="46"/>
    </row>
    <row r="137" customFormat="false" ht="12.75" hidden="false" customHeight="true" outlineLevel="0" collapsed="false">
      <c r="C137" s="235" t="n">
        <v>5</v>
      </c>
      <c r="D137" s="236" t="n">
        <f aca="false">IF(C137&lt;=$I$16, EDATE($D$6, C137-1), "")</f>
        <v>121</v>
      </c>
      <c r="E137" s="236"/>
      <c r="F137" s="236"/>
      <c r="G137" s="236"/>
      <c r="H137" s="236"/>
      <c r="I137" s="236"/>
      <c r="J137" s="236"/>
      <c r="K137" s="236"/>
      <c r="L137" s="236"/>
      <c r="M137" s="236"/>
      <c r="N137" s="237" t="n">
        <f aca="false">IF(C137&lt;=$I$16, $I$17, "")</f>
        <v>0</v>
      </c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26"/>
      <c r="AA137" s="226"/>
      <c r="AB137" s="226"/>
      <c r="AC137" s="226"/>
      <c r="AD137" s="235" t="n">
        <v>5</v>
      </c>
      <c r="AE137" s="236" t="n">
        <f aca="false">D137</f>
        <v>121</v>
      </c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7" t="n">
        <f aca="false">AO136</f>
        <v>0</v>
      </c>
      <c r="AP137" s="237"/>
      <c r="AQ137" s="237"/>
      <c r="AR137" s="237"/>
      <c r="AS137" s="237"/>
      <c r="AT137" s="237"/>
      <c r="AU137" s="237"/>
      <c r="AV137" s="237"/>
      <c r="AW137" s="237"/>
      <c r="AX137" s="237"/>
      <c r="AY137" s="237"/>
      <c r="AZ137" s="237"/>
      <c r="BA137" s="226"/>
      <c r="BB137" s="226"/>
      <c r="BC137" s="226"/>
      <c r="BD137" s="226"/>
      <c r="BE137" s="235" t="n">
        <v>5</v>
      </c>
      <c r="BF137" s="236" t="n">
        <f aca="false">AE137</f>
        <v>121</v>
      </c>
      <c r="BG137" s="236"/>
      <c r="BH137" s="236"/>
      <c r="BI137" s="236"/>
      <c r="BJ137" s="236"/>
      <c r="BK137" s="236"/>
      <c r="BL137" s="236"/>
      <c r="BM137" s="236"/>
      <c r="BN137" s="236"/>
      <c r="BO137" s="236"/>
      <c r="BP137" s="246"/>
      <c r="BQ137" s="246"/>
      <c r="BR137" s="246"/>
      <c r="BS137" s="246"/>
      <c r="BT137" s="246"/>
      <c r="BU137" s="246"/>
      <c r="BV137" s="246"/>
      <c r="BW137" s="246"/>
      <c r="BX137" s="246"/>
      <c r="BY137" s="246"/>
      <c r="BZ137" s="246"/>
      <c r="CA137" s="246"/>
      <c r="CB137" s="246"/>
      <c r="CC137" s="246"/>
      <c r="CI137" s="46"/>
    </row>
    <row r="138" customFormat="false" ht="12.75" hidden="false" customHeight="true" outlineLevel="0" collapsed="false">
      <c r="C138" s="235" t="n">
        <v>6</v>
      </c>
      <c r="D138" s="236" t="n">
        <f aca="false">IF(C138&lt;=$I$16, EDATE($D$6, C138-1), "")</f>
        <v>151</v>
      </c>
      <c r="E138" s="236"/>
      <c r="F138" s="236"/>
      <c r="G138" s="236"/>
      <c r="H138" s="236"/>
      <c r="I138" s="236"/>
      <c r="J138" s="236"/>
      <c r="K138" s="236"/>
      <c r="L138" s="236"/>
      <c r="M138" s="236"/>
      <c r="N138" s="237" t="n">
        <f aca="false">IF(C138&lt;=$I$16, $I$17, "")</f>
        <v>0</v>
      </c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26"/>
      <c r="AA138" s="226"/>
      <c r="AB138" s="226"/>
      <c r="AC138" s="226"/>
      <c r="AD138" s="235" t="n">
        <v>6</v>
      </c>
      <c r="AE138" s="236" t="n">
        <f aca="false">D138</f>
        <v>151</v>
      </c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7" t="n">
        <f aca="false">AO137</f>
        <v>0</v>
      </c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26"/>
      <c r="BB138" s="226"/>
      <c r="BC138" s="226"/>
      <c r="BD138" s="226"/>
      <c r="BE138" s="235" t="n">
        <v>6</v>
      </c>
      <c r="BF138" s="236" t="n">
        <f aca="false">AE138</f>
        <v>151</v>
      </c>
      <c r="BG138" s="236"/>
      <c r="BH138" s="236"/>
      <c r="BI138" s="236"/>
      <c r="BJ138" s="236"/>
      <c r="BK138" s="236"/>
      <c r="BL138" s="236"/>
      <c r="BM138" s="236"/>
      <c r="BN138" s="236"/>
      <c r="BO138" s="236"/>
      <c r="BP138" s="246"/>
      <c r="BQ138" s="246"/>
      <c r="BR138" s="246"/>
      <c r="BS138" s="246"/>
      <c r="BT138" s="246"/>
      <c r="BU138" s="246"/>
      <c r="BV138" s="246"/>
      <c r="BW138" s="246"/>
      <c r="BX138" s="246"/>
      <c r="BY138" s="246"/>
      <c r="BZ138" s="246"/>
      <c r="CA138" s="246"/>
      <c r="CB138" s="246"/>
      <c r="CC138" s="246"/>
      <c r="CI138" s="46"/>
    </row>
    <row r="139" customFormat="false" ht="12.75" hidden="false" customHeight="true" outlineLevel="0" collapsed="false">
      <c r="C139" s="235" t="n">
        <v>7</v>
      </c>
      <c r="D139" s="233" t="n">
        <f aca="false">IF(C139&lt;=$I$16, EDATE($D$6, C139-1), "")</f>
        <v>182</v>
      </c>
      <c r="E139" s="233"/>
      <c r="F139" s="233"/>
      <c r="G139" s="233"/>
      <c r="H139" s="233"/>
      <c r="I139" s="233"/>
      <c r="J139" s="233"/>
      <c r="K139" s="233"/>
      <c r="L139" s="233"/>
      <c r="M139" s="233"/>
      <c r="N139" s="237" t="n">
        <f aca="false">IF(C139&lt;=$I$16, $I$17, "")</f>
        <v>0</v>
      </c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26"/>
      <c r="AA139" s="226"/>
      <c r="AB139" s="226"/>
      <c r="AC139" s="226"/>
      <c r="AD139" s="235" t="n">
        <v>7</v>
      </c>
      <c r="AE139" s="236" t="n">
        <f aca="false">D139</f>
        <v>182</v>
      </c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7" t="n">
        <f aca="false">AO138</f>
        <v>0</v>
      </c>
      <c r="AP139" s="237"/>
      <c r="AQ139" s="237"/>
      <c r="AR139" s="237"/>
      <c r="AS139" s="237"/>
      <c r="AT139" s="237"/>
      <c r="AU139" s="237"/>
      <c r="AV139" s="237"/>
      <c r="AW139" s="237"/>
      <c r="AX139" s="237"/>
      <c r="AY139" s="237"/>
      <c r="AZ139" s="237"/>
      <c r="BA139" s="226"/>
      <c r="BB139" s="226"/>
      <c r="BC139" s="226"/>
      <c r="BD139" s="226"/>
      <c r="BE139" s="235" t="n">
        <v>7</v>
      </c>
      <c r="BF139" s="236" t="n">
        <f aca="false">AE139</f>
        <v>182</v>
      </c>
      <c r="BG139" s="236"/>
      <c r="BH139" s="236"/>
      <c r="BI139" s="236"/>
      <c r="BJ139" s="236"/>
      <c r="BK139" s="236"/>
      <c r="BL139" s="236"/>
      <c r="BM139" s="236"/>
      <c r="BN139" s="236"/>
      <c r="BO139" s="236"/>
      <c r="BP139" s="246"/>
      <c r="BQ139" s="246"/>
      <c r="BR139" s="246"/>
      <c r="BS139" s="246"/>
      <c r="BT139" s="246"/>
      <c r="BU139" s="246"/>
      <c r="BV139" s="246"/>
      <c r="BW139" s="246"/>
      <c r="BX139" s="246"/>
      <c r="BY139" s="246"/>
      <c r="BZ139" s="246"/>
      <c r="CA139" s="246"/>
      <c r="CB139" s="246"/>
      <c r="CC139" s="246"/>
      <c r="CI139" s="46"/>
    </row>
    <row r="140" customFormat="false" ht="12.75" hidden="false" customHeight="true" outlineLevel="0" collapsed="false">
      <c r="C140" s="235" t="n">
        <v>8</v>
      </c>
      <c r="D140" s="236" t="n">
        <f aca="false">IF(C140&lt;=$I$16, EDATE($D$6, C140-1), "")</f>
        <v>212</v>
      </c>
      <c r="E140" s="236"/>
      <c r="F140" s="236"/>
      <c r="G140" s="236"/>
      <c r="H140" s="236"/>
      <c r="I140" s="236"/>
      <c r="J140" s="236"/>
      <c r="K140" s="236"/>
      <c r="L140" s="236"/>
      <c r="M140" s="236"/>
      <c r="N140" s="237" t="n">
        <f aca="false">IF(C140&lt;=$I$16, $I$17, "")</f>
        <v>0</v>
      </c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26"/>
      <c r="AA140" s="226"/>
      <c r="AB140" s="226"/>
      <c r="AC140" s="226"/>
      <c r="AD140" s="235" t="n">
        <v>8</v>
      </c>
      <c r="AE140" s="236" t="n">
        <f aca="false">D140</f>
        <v>212</v>
      </c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7" t="n">
        <f aca="false">AO139</f>
        <v>0</v>
      </c>
      <c r="AP140" s="237"/>
      <c r="AQ140" s="237"/>
      <c r="AR140" s="237"/>
      <c r="AS140" s="237"/>
      <c r="AT140" s="237"/>
      <c r="AU140" s="237"/>
      <c r="AV140" s="237"/>
      <c r="AW140" s="237"/>
      <c r="AX140" s="237"/>
      <c r="AY140" s="237"/>
      <c r="AZ140" s="237"/>
      <c r="BA140" s="226"/>
      <c r="BB140" s="226"/>
      <c r="BC140" s="226"/>
      <c r="BD140" s="226"/>
      <c r="BE140" s="235" t="n">
        <v>8</v>
      </c>
      <c r="BF140" s="236" t="n">
        <f aca="false">AE140</f>
        <v>212</v>
      </c>
      <c r="BG140" s="236"/>
      <c r="BH140" s="236"/>
      <c r="BI140" s="236"/>
      <c r="BJ140" s="236"/>
      <c r="BK140" s="236"/>
      <c r="BL140" s="236"/>
      <c r="BM140" s="236"/>
      <c r="BN140" s="236"/>
      <c r="BO140" s="236"/>
      <c r="BP140" s="246"/>
      <c r="BQ140" s="246"/>
      <c r="BR140" s="246"/>
      <c r="BS140" s="246"/>
      <c r="BT140" s="246"/>
      <c r="BU140" s="246"/>
      <c r="BV140" s="246"/>
      <c r="BW140" s="246"/>
      <c r="BX140" s="246"/>
      <c r="BY140" s="246"/>
      <c r="BZ140" s="246"/>
      <c r="CA140" s="246"/>
      <c r="CB140" s="246"/>
      <c r="CC140" s="246"/>
      <c r="CI140" s="46"/>
    </row>
    <row r="141" customFormat="false" ht="12.75" hidden="false" customHeight="true" outlineLevel="0" collapsed="false">
      <c r="C141" s="235" t="n">
        <v>9</v>
      </c>
      <c r="D141" s="236" t="n">
        <f aca="false">IF(C141&lt;=$I$16, EDATE($D$6, C141-1), "")</f>
        <v>243</v>
      </c>
      <c r="E141" s="236"/>
      <c r="F141" s="236"/>
      <c r="G141" s="236"/>
      <c r="H141" s="236"/>
      <c r="I141" s="236"/>
      <c r="J141" s="236"/>
      <c r="K141" s="236"/>
      <c r="L141" s="236"/>
      <c r="M141" s="236"/>
      <c r="N141" s="237" t="n">
        <f aca="false">IF(C141&lt;=$I$16, $I$17, "")</f>
        <v>0</v>
      </c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26"/>
      <c r="AA141" s="226"/>
      <c r="AB141" s="226"/>
      <c r="AC141" s="226"/>
      <c r="AD141" s="235" t="n">
        <v>9</v>
      </c>
      <c r="AE141" s="236" t="n">
        <f aca="false">D141</f>
        <v>243</v>
      </c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7" t="n">
        <f aca="false">AO140</f>
        <v>0</v>
      </c>
      <c r="AP141" s="237"/>
      <c r="AQ141" s="237"/>
      <c r="AR141" s="237"/>
      <c r="AS141" s="237"/>
      <c r="AT141" s="237"/>
      <c r="AU141" s="237"/>
      <c r="AV141" s="237"/>
      <c r="AW141" s="237"/>
      <c r="AX141" s="237"/>
      <c r="AY141" s="237"/>
      <c r="AZ141" s="237"/>
      <c r="BA141" s="226"/>
      <c r="BB141" s="226"/>
      <c r="BC141" s="226"/>
      <c r="BD141" s="226"/>
      <c r="BE141" s="235" t="n">
        <v>9</v>
      </c>
      <c r="BF141" s="236" t="n">
        <f aca="false">AE141</f>
        <v>243</v>
      </c>
      <c r="BG141" s="236"/>
      <c r="BH141" s="236"/>
      <c r="BI141" s="236"/>
      <c r="BJ141" s="236"/>
      <c r="BK141" s="236"/>
      <c r="BL141" s="236"/>
      <c r="BM141" s="236"/>
      <c r="BN141" s="236"/>
      <c r="BO141" s="236"/>
      <c r="BP141" s="246"/>
      <c r="BQ141" s="246"/>
      <c r="BR141" s="246"/>
      <c r="BS141" s="246"/>
      <c r="BT141" s="246"/>
      <c r="BU141" s="246"/>
      <c r="BV141" s="246"/>
      <c r="BW141" s="246"/>
      <c r="BX141" s="246"/>
      <c r="BY141" s="246"/>
      <c r="BZ141" s="246"/>
      <c r="CA141" s="246"/>
      <c r="CB141" s="246"/>
      <c r="CC141" s="246"/>
      <c r="CI141" s="46"/>
    </row>
    <row r="142" customFormat="false" ht="12.75" hidden="false" customHeight="true" outlineLevel="0" collapsed="false">
      <c r="C142" s="235" t="n">
        <v>10</v>
      </c>
      <c r="D142" s="233" t="n">
        <f aca="false">IF(C142&lt;=$I$16, EDATE($D$6, C142-1), "")</f>
        <v>274</v>
      </c>
      <c r="E142" s="233"/>
      <c r="F142" s="233"/>
      <c r="G142" s="233"/>
      <c r="H142" s="233"/>
      <c r="I142" s="233"/>
      <c r="J142" s="233"/>
      <c r="K142" s="233"/>
      <c r="L142" s="233"/>
      <c r="M142" s="233"/>
      <c r="N142" s="237" t="n">
        <f aca="false">IF(C142&lt;=$I$16, $I$17, "")</f>
        <v>0</v>
      </c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26"/>
      <c r="AA142" s="226"/>
      <c r="AB142" s="226"/>
      <c r="AC142" s="226"/>
      <c r="AD142" s="235" t="n">
        <v>10</v>
      </c>
      <c r="AE142" s="236" t="n">
        <f aca="false">D142</f>
        <v>274</v>
      </c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7" t="n">
        <f aca="false">AO141</f>
        <v>0</v>
      </c>
      <c r="AP142" s="237"/>
      <c r="AQ142" s="237"/>
      <c r="AR142" s="237"/>
      <c r="AS142" s="237"/>
      <c r="AT142" s="237"/>
      <c r="AU142" s="237"/>
      <c r="AV142" s="237"/>
      <c r="AW142" s="237"/>
      <c r="AX142" s="237"/>
      <c r="AY142" s="237"/>
      <c r="AZ142" s="237"/>
      <c r="BA142" s="226"/>
      <c r="BB142" s="226"/>
      <c r="BC142" s="226"/>
      <c r="BD142" s="226"/>
      <c r="BE142" s="235" t="n">
        <v>10</v>
      </c>
      <c r="BF142" s="236" t="n">
        <f aca="false">AE142</f>
        <v>274</v>
      </c>
      <c r="BG142" s="236"/>
      <c r="BH142" s="236"/>
      <c r="BI142" s="236"/>
      <c r="BJ142" s="236"/>
      <c r="BK142" s="236"/>
      <c r="BL142" s="236"/>
      <c r="BM142" s="236"/>
      <c r="BN142" s="236"/>
      <c r="BO142" s="236"/>
      <c r="BP142" s="246"/>
      <c r="BQ142" s="246"/>
      <c r="BR142" s="246"/>
      <c r="BS142" s="246"/>
      <c r="BT142" s="246"/>
      <c r="BU142" s="246"/>
      <c r="BV142" s="246"/>
      <c r="BW142" s="246"/>
      <c r="BX142" s="246"/>
      <c r="BY142" s="246"/>
      <c r="BZ142" s="246"/>
      <c r="CA142" s="246"/>
      <c r="CB142" s="246"/>
      <c r="CC142" s="246"/>
      <c r="CI142" s="46"/>
    </row>
    <row r="143" customFormat="false" ht="12.75" hidden="false" customHeight="true" outlineLevel="0" collapsed="false">
      <c r="C143" s="235" t="n">
        <v>11</v>
      </c>
      <c r="D143" s="236" t="n">
        <f aca="false">IF(C143&lt;=$I$16, EDATE($D$6, C143-1), "")</f>
        <v>304</v>
      </c>
      <c r="E143" s="236"/>
      <c r="F143" s="236"/>
      <c r="G143" s="236"/>
      <c r="H143" s="236"/>
      <c r="I143" s="236"/>
      <c r="J143" s="236"/>
      <c r="K143" s="236"/>
      <c r="L143" s="236"/>
      <c r="M143" s="236"/>
      <c r="N143" s="237" t="n">
        <f aca="false">IF(C143&lt;=$I$16, $I$17, "")</f>
        <v>0</v>
      </c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26"/>
      <c r="AA143" s="226"/>
      <c r="AB143" s="226"/>
      <c r="AC143" s="226"/>
      <c r="AD143" s="235" t="n">
        <v>11</v>
      </c>
      <c r="AE143" s="236" t="n">
        <f aca="false">D143</f>
        <v>304</v>
      </c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7" t="n">
        <f aca="false">AO142</f>
        <v>0</v>
      </c>
      <c r="AP143" s="237"/>
      <c r="AQ143" s="237"/>
      <c r="AR143" s="237"/>
      <c r="AS143" s="237"/>
      <c r="AT143" s="237"/>
      <c r="AU143" s="237"/>
      <c r="AV143" s="237"/>
      <c r="AW143" s="237"/>
      <c r="AX143" s="237"/>
      <c r="AY143" s="237"/>
      <c r="AZ143" s="237"/>
      <c r="BA143" s="226"/>
      <c r="BB143" s="226"/>
      <c r="BC143" s="226"/>
      <c r="BD143" s="226"/>
      <c r="BE143" s="235" t="n">
        <v>11</v>
      </c>
      <c r="BF143" s="236" t="n">
        <f aca="false">AE143</f>
        <v>304</v>
      </c>
      <c r="BG143" s="236"/>
      <c r="BH143" s="236"/>
      <c r="BI143" s="236"/>
      <c r="BJ143" s="236"/>
      <c r="BK143" s="236"/>
      <c r="BL143" s="236"/>
      <c r="BM143" s="236"/>
      <c r="BN143" s="236"/>
      <c r="BO143" s="236"/>
      <c r="BP143" s="246"/>
      <c r="BQ143" s="246"/>
      <c r="BR143" s="246"/>
      <c r="BS143" s="246"/>
      <c r="BT143" s="246"/>
      <c r="BU143" s="246"/>
      <c r="BV143" s="246"/>
      <c r="BW143" s="246"/>
      <c r="BX143" s="246"/>
      <c r="BY143" s="246"/>
      <c r="BZ143" s="246"/>
      <c r="CA143" s="246"/>
      <c r="CB143" s="246"/>
      <c r="CC143" s="246"/>
      <c r="CI143" s="46"/>
    </row>
    <row r="144" customFormat="false" ht="12.75" hidden="false" customHeight="true" outlineLevel="0" collapsed="false">
      <c r="C144" s="235" t="n">
        <v>12</v>
      </c>
      <c r="D144" s="236" t="n">
        <f aca="false">IF(C144&lt;=$I$16, EDATE($D$6, C144-1), "")</f>
        <v>335</v>
      </c>
      <c r="E144" s="236"/>
      <c r="F144" s="236"/>
      <c r="G144" s="236"/>
      <c r="H144" s="236"/>
      <c r="I144" s="236"/>
      <c r="J144" s="236"/>
      <c r="K144" s="236"/>
      <c r="L144" s="236"/>
      <c r="M144" s="236"/>
      <c r="N144" s="237" t="n">
        <f aca="false">IF(C144&lt;=$I$16, $I$17, "")</f>
        <v>0</v>
      </c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26"/>
      <c r="AA144" s="226"/>
      <c r="AB144" s="226"/>
      <c r="AC144" s="226"/>
      <c r="AD144" s="235" t="n">
        <v>12</v>
      </c>
      <c r="AE144" s="236" t="n">
        <f aca="false">D144</f>
        <v>335</v>
      </c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7" t="n">
        <f aca="false">AO143</f>
        <v>0</v>
      </c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26"/>
      <c r="BB144" s="226"/>
      <c r="BC144" s="226"/>
      <c r="BD144" s="226"/>
      <c r="BE144" s="235" t="n">
        <v>12</v>
      </c>
      <c r="BF144" s="236" t="n">
        <f aca="false">AE144</f>
        <v>335</v>
      </c>
      <c r="BG144" s="236"/>
      <c r="BH144" s="236"/>
      <c r="BI144" s="236"/>
      <c r="BJ144" s="236"/>
      <c r="BK144" s="236"/>
      <c r="BL144" s="236"/>
      <c r="BM144" s="236"/>
      <c r="BN144" s="236"/>
      <c r="BO144" s="236"/>
      <c r="BP144" s="238"/>
      <c r="BQ144" s="238"/>
      <c r="BR144" s="238"/>
      <c r="BS144" s="238"/>
      <c r="BT144" s="238"/>
      <c r="BU144" s="238"/>
      <c r="BV144" s="238"/>
      <c r="BW144" s="238"/>
      <c r="BX144" s="238"/>
      <c r="BY144" s="238"/>
      <c r="BZ144" s="238"/>
      <c r="CA144" s="238"/>
      <c r="CB144" s="238"/>
      <c r="CC144" s="238"/>
      <c r="CI144" s="46"/>
    </row>
    <row r="145" customFormat="false" ht="12.75" hidden="false" customHeight="true" outlineLevel="0" collapsed="false">
      <c r="C145" s="235" t="n">
        <v>13</v>
      </c>
      <c r="D145" s="233" t="n">
        <f aca="false">IF(C145&lt;=$I$16, EDATE($D$6, C145-1), "")</f>
        <v>365</v>
      </c>
      <c r="E145" s="233"/>
      <c r="F145" s="233"/>
      <c r="G145" s="233"/>
      <c r="H145" s="233"/>
      <c r="I145" s="233"/>
      <c r="J145" s="233"/>
      <c r="K145" s="233"/>
      <c r="L145" s="233"/>
      <c r="M145" s="233"/>
      <c r="N145" s="237" t="n">
        <f aca="false">IF(C145&lt;=$I$16, $I$17, "")</f>
        <v>0</v>
      </c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26"/>
      <c r="AA145" s="226"/>
      <c r="AB145" s="226"/>
      <c r="AC145" s="226"/>
      <c r="AD145" s="235" t="n">
        <v>13</v>
      </c>
      <c r="AE145" s="236" t="n">
        <f aca="false">D145</f>
        <v>365</v>
      </c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7" t="n">
        <f aca="false">AO144</f>
        <v>0</v>
      </c>
      <c r="AP145" s="237"/>
      <c r="AQ145" s="237"/>
      <c r="AR145" s="237"/>
      <c r="AS145" s="237"/>
      <c r="AT145" s="237"/>
      <c r="AU145" s="237"/>
      <c r="AV145" s="237"/>
      <c r="AW145" s="237"/>
      <c r="AX145" s="237"/>
      <c r="AY145" s="237"/>
      <c r="AZ145" s="237"/>
      <c r="BA145" s="226"/>
      <c r="BB145" s="226"/>
      <c r="BC145" s="226"/>
      <c r="BD145" s="226"/>
      <c r="BE145" s="235" t="n">
        <v>13</v>
      </c>
      <c r="BF145" s="236" t="n">
        <f aca="false">AE145</f>
        <v>365</v>
      </c>
      <c r="BG145" s="236"/>
      <c r="BH145" s="236"/>
      <c r="BI145" s="236"/>
      <c r="BJ145" s="236"/>
      <c r="BK145" s="236"/>
      <c r="BL145" s="236"/>
      <c r="BM145" s="236"/>
      <c r="BN145" s="236"/>
      <c r="BO145" s="236"/>
      <c r="BP145" s="238"/>
      <c r="BQ145" s="238"/>
      <c r="BR145" s="238"/>
      <c r="BS145" s="238"/>
      <c r="BT145" s="238"/>
      <c r="BU145" s="238"/>
      <c r="BV145" s="238"/>
      <c r="BW145" s="238"/>
      <c r="BX145" s="238"/>
      <c r="BY145" s="238"/>
      <c r="BZ145" s="238"/>
      <c r="CA145" s="238"/>
      <c r="CB145" s="238"/>
      <c r="CC145" s="238"/>
      <c r="CI145" s="46"/>
    </row>
    <row r="146" customFormat="false" ht="12.75" hidden="false" customHeight="true" outlineLevel="0" collapsed="false">
      <c r="C146" s="235" t="n">
        <v>14</v>
      </c>
      <c r="D146" s="236" t="n">
        <f aca="false">IF(C146&lt;=$I$16, EDATE($D$6, C146-1), "")</f>
        <v>396</v>
      </c>
      <c r="E146" s="236"/>
      <c r="F146" s="236"/>
      <c r="G146" s="236"/>
      <c r="H146" s="236"/>
      <c r="I146" s="236"/>
      <c r="J146" s="236"/>
      <c r="K146" s="236"/>
      <c r="L146" s="236"/>
      <c r="M146" s="236"/>
      <c r="N146" s="237" t="n">
        <f aca="false">IF(C146&lt;=$I$16, $I$17, "")</f>
        <v>0</v>
      </c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26"/>
      <c r="AA146" s="226"/>
      <c r="AB146" s="226"/>
      <c r="AC146" s="226"/>
      <c r="AD146" s="235" t="n">
        <v>14</v>
      </c>
      <c r="AE146" s="236" t="n">
        <f aca="false">D146</f>
        <v>396</v>
      </c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7" t="n">
        <f aca="false">AO145</f>
        <v>0</v>
      </c>
      <c r="AP146" s="237"/>
      <c r="AQ146" s="237"/>
      <c r="AR146" s="237"/>
      <c r="AS146" s="237"/>
      <c r="AT146" s="237"/>
      <c r="AU146" s="237"/>
      <c r="AV146" s="237"/>
      <c r="AW146" s="237"/>
      <c r="AX146" s="237"/>
      <c r="AY146" s="237"/>
      <c r="AZ146" s="237"/>
      <c r="BA146" s="226"/>
      <c r="BB146" s="226"/>
      <c r="BC146" s="226"/>
      <c r="BD146" s="226"/>
      <c r="BE146" s="235" t="n">
        <v>14</v>
      </c>
      <c r="BF146" s="236" t="n">
        <f aca="false">AE146</f>
        <v>396</v>
      </c>
      <c r="BG146" s="236"/>
      <c r="BH146" s="236"/>
      <c r="BI146" s="236"/>
      <c r="BJ146" s="236"/>
      <c r="BK146" s="236"/>
      <c r="BL146" s="236"/>
      <c r="BM146" s="236"/>
      <c r="BN146" s="236"/>
      <c r="BO146" s="236"/>
      <c r="BP146" s="238"/>
      <c r="BQ146" s="238"/>
      <c r="BR146" s="238"/>
      <c r="BS146" s="238"/>
      <c r="BT146" s="238"/>
      <c r="BU146" s="238"/>
      <c r="BV146" s="238"/>
      <c r="BW146" s="238"/>
      <c r="BX146" s="238"/>
      <c r="BY146" s="238"/>
      <c r="BZ146" s="238"/>
      <c r="CA146" s="238"/>
      <c r="CB146" s="238"/>
      <c r="CC146" s="238"/>
      <c r="CI146" s="46"/>
    </row>
    <row r="147" customFormat="false" ht="12.75" hidden="false" customHeight="true" outlineLevel="0" collapsed="false">
      <c r="C147" s="235" t="n">
        <v>15</v>
      </c>
      <c r="D147" s="236" t="n">
        <f aca="false">IF(C147&lt;=$I$16, EDATE($D$6, C147-1), "")</f>
        <v>425</v>
      </c>
      <c r="E147" s="236"/>
      <c r="F147" s="236"/>
      <c r="G147" s="236"/>
      <c r="H147" s="236"/>
      <c r="I147" s="236"/>
      <c r="J147" s="236"/>
      <c r="K147" s="236"/>
      <c r="L147" s="236"/>
      <c r="M147" s="236"/>
      <c r="N147" s="237" t="n">
        <f aca="false">IF(C147&lt;=$I$16, $I$17, "")</f>
        <v>0</v>
      </c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26"/>
      <c r="AA147" s="226"/>
      <c r="AB147" s="226"/>
      <c r="AC147" s="226"/>
      <c r="AD147" s="235" t="n">
        <v>15</v>
      </c>
      <c r="AE147" s="236" t="n">
        <f aca="false">D147</f>
        <v>425</v>
      </c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7" t="n">
        <f aca="false">AO146</f>
        <v>0</v>
      </c>
      <c r="AP147" s="237"/>
      <c r="AQ147" s="237"/>
      <c r="AR147" s="237"/>
      <c r="AS147" s="237"/>
      <c r="AT147" s="237"/>
      <c r="AU147" s="237"/>
      <c r="AV147" s="237"/>
      <c r="AW147" s="237"/>
      <c r="AX147" s="237"/>
      <c r="AY147" s="237"/>
      <c r="AZ147" s="237"/>
      <c r="BA147" s="226"/>
      <c r="BB147" s="226"/>
      <c r="BC147" s="226"/>
      <c r="BD147" s="226"/>
      <c r="BE147" s="235" t="n">
        <v>15</v>
      </c>
      <c r="BF147" s="236" t="n">
        <f aca="false">AE147</f>
        <v>425</v>
      </c>
      <c r="BG147" s="236"/>
      <c r="BH147" s="236"/>
      <c r="BI147" s="236"/>
      <c r="BJ147" s="236"/>
      <c r="BK147" s="236"/>
      <c r="BL147" s="236"/>
      <c r="BM147" s="236"/>
      <c r="BN147" s="236"/>
      <c r="BO147" s="236"/>
      <c r="BP147" s="238"/>
      <c r="BQ147" s="238"/>
      <c r="BR147" s="238"/>
      <c r="BS147" s="238"/>
      <c r="BT147" s="238"/>
      <c r="BU147" s="238"/>
      <c r="BV147" s="238"/>
      <c r="BW147" s="238"/>
      <c r="BX147" s="238"/>
      <c r="BY147" s="238"/>
      <c r="BZ147" s="238"/>
      <c r="CA147" s="238"/>
      <c r="CB147" s="238"/>
      <c r="CC147" s="238"/>
      <c r="CI147" s="46"/>
    </row>
    <row r="148" customFormat="false" ht="12.75" hidden="false" customHeight="true" outlineLevel="0" collapsed="false">
      <c r="C148" s="235" t="n">
        <v>16</v>
      </c>
      <c r="D148" s="233" t="n">
        <f aca="false">IF(C148&lt;=$I$16, EDATE($D$6, C148-1), "")</f>
        <v>455</v>
      </c>
      <c r="E148" s="233"/>
      <c r="F148" s="233"/>
      <c r="G148" s="233"/>
      <c r="H148" s="233"/>
      <c r="I148" s="233"/>
      <c r="J148" s="233"/>
      <c r="K148" s="233"/>
      <c r="L148" s="233"/>
      <c r="M148" s="233"/>
      <c r="N148" s="237" t="n">
        <f aca="false">IF(C148&lt;=$I$16, $I$17, "")</f>
        <v>0</v>
      </c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26"/>
      <c r="AA148" s="226"/>
      <c r="AB148" s="226"/>
      <c r="AC148" s="226"/>
      <c r="AD148" s="235" t="n">
        <v>16</v>
      </c>
      <c r="AE148" s="236" t="n">
        <f aca="false">D148</f>
        <v>455</v>
      </c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7" t="n">
        <f aca="false">AO147</f>
        <v>0</v>
      </c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26"/>
      <c r="BB148" s="226"/>
      <c r="BC148" s="226"/>
      <c r="BD148" s="226"/>
      <c r="BE148" s="235" t="n">
        <v>16</v>
      </c>
      <c r="BF148" s="236" t="n">
        <f aca="false">AE148</f>
        <v>455</v>
      </c>
      <c r="BG148" s="236"/>
      <c r="BH148" s="236"/>
      <c r="BI148" s="236"/>
      <c r="BJ148" s="236"/>
      <c r="BK148" s="236"/>
      <c r="BL148" s="236"/>
      <c r="BM148" s="236"/>
      <c r="BN148" s="236"/>
      <c r="BO148" s="236"/>
      <c r="BP148" s="238"/>
      <c r="BQ148" s="238"/>
      <c r="BR148" s="238"/>
      <c r="BS148" s="238"/>
      <c r="BT148" s="238"/>
      <c r="BU148" s="238"/>
      <c r="BV148" s="238"/>
      <c r="BW148" s="238"/>
      <c r="BX148" s="238"/>
      <c r="BY148" s="238"/>
      <c r="BZ148" s="238"/>
      <c r="CA148" s="238"/>
      <c r="CB148" s="238"/>
      <c r="CC148" s="238"/>
      <c r="CI148" s="46"/>
    </row>
    <row r="149" customFormat="false" ht="12.75" hidden="false" customHeight="true" outlineLevel="0" collapsed="false">
      <c r="C149" s="235" t="n">
        <v>17</v>
      </c>
      <c r="D149" s="236" t="n">
        <f aca="false">IF(C149&lt;=$I$16, EDATE($D$6, C149-1), "")</f>
        <v>486</v>
      </c>
      <c r="E149" s="236"/>
      <c r="F149" s="236"/>
      <c r="G149" s="236"/>
      <c r="H149" s="236"/>
      <c r="I149" s="236"/>
      <c r="J149" s="236"/>
      <c r="K149" s="236"/>
      <c r="L149" s="236"/>
      <c r="M149" s="236"/>
      <c r="N149" s="237" t="n">
        <f aca="false">IF(C149&lt;=$I$16, $I$17, "")</f>
        <v>0</v>
      </c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26"/>
      <c r="AA149" s="226"/>
      <c r="AB149" s="226"/>
      <c r="AC149" s="226"/>
      <c r="AD149" s="235" t="n">
        <v>17</v>
      </c>
      <c r="AE149" s="236" t="n">
        <f aca="false">D149</f>
        <v>486</v>
      </c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7" t="n">
        <f aca="false">AO148</f>
        <v>0</v>
      </c>
      <c r="AP149" s="237"/>
      <c r="AQ149" s="237"/>
      <c r="AR149" s="237"/>
      <c r="AS149" s="237"/>
      <c r="AT149" s="237"/>
      <c r="AU149" s="237"/>
      <c r="AV149" s="237"/>
      <c r="AW149" s="237"/>
      <c r="AX149" s="237"/>
      <c r="AY149" s="237"/>
      <c r="AZ149" s="237"/>
      <c r="BA149" s="226"/>
      <c r="BB149" s="226"/>
      <c r="BC149" s="226"/>
      <c r="BD149" s="226"/>
      <c r="BE149" s="235" t="n">
        <v>17</v>
      </c>
      <c r="BF149" s="236" t="n">
        <f aca="false">AE149</f>
        <v>486</v>
      </c>
      <c r="BG149" s="236"/>
      <c r="BH149" s="236"/>
      <c r="BI149" s="236"/>
      <c r="BJ149" s="236"/>
      <c r="BK149" s="236"/>
      <c r="BL149" s="236"/>
      <c r="BM149" s="236"/>
      <c r="BN149" s="236"/>
      <c r="BO149" s="236"/>
      <c r="BP149" s="238"/>
      <c r="BQ149" s="238"/>
      <c r="BR149" s="238"/>
      <c r="BS149" s="238"/>
      <c r="BT149" s="238"/>
      <c r="BU149" s="238"/>
      <c r="BV149" s="238"/>
      <c r="BW149" s="238"/>
      <c r="BX149" s="238"/>
      <c r="BY149" s="238"/>
      <c r="BZ149" s="238"/>
      <c r="CA149" s="238"/>
      <c r="CB149" s="238"/>
      <c r="CC149" s="238"/>
      <c r="CI149" s="46"/>
    </row>
    <row r="150" customFormat="false" ht="12.75" hidden="false" customHeight="true" outlineLevel="0" collapsed="false">
      <c r="C150" s="235" t="n">
        <v>18</v>
      </c>
      <c r="D150" s="236" t="n">
        <f aca="false">IF(C150&lt;=$I$16, EDATE($D$6, C150-1), "")</f>
        <v>516</v>
      </c>
      <c r="E150" s="236"/>
      <c r="F150" s="236"/>
      <c r="G150" s="236"/>
      <c r="H150" s="236"/>
      <c r="I150" s="236"/>
      <c r="J150" s="236"/>
      <c r="K150" s="236"/>
      <c r="L150" s="236"/>
      <c r="M150" s="236"/>
      <c r="N150" s="237" t="n">
        <f aca="false">IF(C150&lt;=$I$16, $I$17, "")</f>
        <v>0</v>
      </c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26"/>
      <c r="AA150" s="226"/>
      <c r="AB150" s="226"/>
      <c r="AC150" s="226"/>
      <c r="AD150" s="235" t="n">
        <v>18</v>
      </c>
      <c r="AE150" s="236" t="n">
        <f aca="false">D150</f>
        <v>516</v>
      </c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7" t="n">
        <f aca="false">AO149</f>
        <v>0</v>
      </c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26"/>
      <c r="BB150" s="226"/>
      <c r="BC150" s="226"/>
      <c r="BD150" s="226"/>
      <c r="BE150" s="235" t="n">
        <v>18</v>
      </c>
      <c r="BF150" s="236" t="n">
        <f aca="false">AE150</f>
        <v>516</v>
      </c>
      <c r="BG150" s="236"/>
      <c r="BH150" s="236"/>
      <c r="BI150" s="236"/>
      <c r="BJ150" s="236"/>
      <c r="BK150" s="236"/>
      <c r="BL150" s="236"/>
      <c r="BM150" s="236"/>
      <c r="BN150" s="236"/>
      <c r="BO150" s="236"/>
      <c r="BP150" s="238"/>
      <c r="BQ150" s="238"/>
      <c r="BR150" s="238"/>
      <c r="BS150" s="238"/>
      <c r="BT150" s="238"/>
      <c r="BU150" s="238"/>
      <c r="BV150" s="238"/>
      <c r="BW150" s="238"/>
      <c r="BX150" s="238"/>
      <c r="BY150" s="238"/>
      <c r="BZ150" s="238"/>
      <c r="CA150" s="238"/>
      <c r="CB150" s="238"/>
      <c r="CC150" s="238"/>
      <c r="CI150" s="46"/>
    </row>
    <row r="151" customFormat="false" ht="12.75" hidden="false" customHeight="true" outlineLevel="0" collapsed="false">
      <c r="C151" s="235" t="n">
        <v>19</v>
      </c>
      <c r="D151" s="233" t="n">
        <f aca="false">IF(C151&lt;=$I$16, EDATE($D$6, C151-1), "")</f>
        <v>547</v>
      </c>
      <c r="E151" s="233"/>
      <c r="F151" s="233"/>
      <c r="G151" s="233"/>
      <c r="H151" s="233"/>
      <c r="I151" s="233"/>
      <c r="J151" s="233"/>
      <c r="K151" s="233"/>
      <c r="L151" s="233"/>
      <c r="M151" s="233"/>
      <c r="N151" s="237" t="n">
        <f aca="false">IF(C151&lt;=$I$16, $I$17, "")</f>
        <v>0</v>
      </c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26"/>
      <c r="AA151" s="226"/>
      <c r="AB151" s="226"/>
      <c r="AC151" s="226"/>
      <c r="AD151" s="235" t="n">
        <v>19</v>
      </c>
      <c r="AE151" s="236" t="n">
        <f aca="false">D151</f>
        <v>547</v>
      </c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7" t="n">
        <f aca="false">AO150</f>
        <v>0</v>
      </c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26"/>
      <c r="BB151" s="226"/>
      <c r="BC151" s="226"/>
      <c r="BD151" s="226"/>
      <c r="BE151" s="235" t="n">
        <v>19</v>
      </c>
      <c r="BF151" s="236" t="n">
        <f aca="false">AE151</f>
        <v>547</v>
      </c>
      <c r="BG151" s="236"/>
      <c r="BH151" s="236"/>
      <c r="BI151" s="236"/>
      <c r="BJ151" s="236"/>
      <c r="BK151" s="236"/>
      <c r="BL151" s="236"/>
      <c r="BM151" s="236"/>
      <c r="BN151" s="236"/>
      <c r="BO151" s="236"/>
      <c r="BP151" s="238"/>
      <c r="BQ151" s="238"/>
      <c r="BR151" s="238"/>
      <c r="BS151" s="238"/>
      <c r="BT151" s="238"/>
      <c r="BU151" s="238"/>
      <c r="BV151" s="238"/>
      <c r="BW151" s="238"/>
      <c r="BX151" s="238"/>
      <c r="BY151" s="238"/>
      <c r="BZ151" s="238"/>
      <c r="CA151" s="238"/>
      <c r="CB151" s="238"/>
      <c r="CC151" s="238"/>
      <c r="CI151" s="46"/>
    </row>
    <row r="152" customFormat="false" ht="12.75" hidden="false" customHeight="true" outlineLevel="0" collapsed="false">
      <c r="C152" s="235" t="n">
        <v>20</v>
      </c>
      <c r="D152" s="236" t="n">
        <f aca="false">IF(C152&lt;=$I$16, EDATE($D$6, C152-1), "")</f>
        <v>577</v>
      </c>
      <c r="E152" s="236"/>
      <c r="F152" s="236"/>
      <c r="G152" s="236"/>
      <c r="H152" s="236"/>
      <c r="I152" s="236"/>
      <c r="J152" s="236"/>
      <c r="K152" s="236"/>
      <c r="L152" s="236"/>
      <c r="M152" s="236"/>
      <c r="N152" s="237" t="n">
        <f aca="false">IF(C152&lt;=$I$16, $I$17, "")</f>
        <v>0</v>
      </c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26"/>
      <c r="AA152" s="226"/>
      <c r="AB152" s="226"/>
      <c r="AC152" s="226"/>
      <c r="AD152" s="235" t="n">
        <v>20</v>
      </c>
      <c r="AE152" s="236" t="n">
        <f aca="false">D152</f>
        <v>577</v>
      </c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7" t="n">
        <f aca="false">AO151</f>
        <v>0</v>
      </c>
      <c r="AP152" s="237"/>
      <c r="AQ152" s="237"/>
      <c r="AR152" s="237"/>
      <c r="AS152" s="237"/>
      <c r="AT152" s="237"/>
      <c r="AU152" s="237"/>
      <c r="AV152" s="237"/>
      <c r="AW152" s="237"/>
      <c r="AX152" s="237"/>
      <c r="AY152" s="237"/>
      <c r="AZ152" s="237"/>
      <c r="BA152" s="226"/>
      <c r="BB152" s="226"/>
      <c r="BC152" s="226"/>
      <c r="BD152" s="226"/>
      <c r="BE152" s="235" t="n">
        <v>20</v>
      </c>
      <c r="BF152" s="236" t="n">
        <f aca="false">AE152</f>
        <v>577</v>
      </c>
      <c r="BG152" s="236"/>
      <c r="BH152" s="236"/>
      <c r="BI152" s="236"/>
      <c r="BJ152" s="236"/>
      <c r="BK152" s="236"/>
      <c r="BL152" s="236"/>
      <c r="BM152" s="236"/>
      <c r="BN152" s="236"/>
      <c r="BO152" s="236"/>
      <c r="BP152" s="238"/>
      <c r="BQ152" s="238"/>
      <c r="BR152" s="238"/>
      <c r="BS152" s="238"/>
      <c r="BT152" s="238"/>
      <c r="BU152" s="238"/>
      <c r="BV152" s="238"/>
      <c r="BW152" s="238"/>
      <c r="BX152" s="238"/>
      <c r="BY152" s="238"/>
      <c r="BZ152" s="238"/>
      <c r="CA152" s="238"/>
      <c r="CB152" s="238"/>
      <c r="CC152" s="238"/>
      <c r="CI152" s="46"/>
    </row>
    <row r="153" customFormat="false" ht="12.75" hidden="false" customHeight="true" outlineLevel="0" collapsed="false">
      <c r="C153" s="235" t="n">
        <v>21</v>
      </c>
      <c r="D153" s="236" t="n">
        <f aca="false">IF(C153&lt;=$I$16, EDATE($D$6, C153-1), "")</f>
        <v>608</v>
      </c>
      <c r="E153" s="236"/>
      <c r="F153" s="236"/>
      <c r="G153" s="236"/>
      <c r="H153" s="236"/>
      <c r="I153" s="236"/>
      <c r="J153" s="236"/>
      <c r="K153" s="236"/>
      <c r="L153" s="236"/>
      <c r="M153" s="236"/>
      <c r="N153" s="237" t="n">
        <f aca="false">IF(C153&lt;=$I$16, $I$17, "")</f>
        <v>0</v>
      </c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26"/>
      <c r="AA153" s="226"/>
      <c r="AB153" s="226"/>
      <c r="AC153" s="226"/>
      <c r="AD153" s="235" t="n">
        <v>21</v>
      </c>
      <c r="AE153" s="236" t="n">
        <f aca="false">D153</f>
        <v>608</v>
      </c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7" t="n">
        <f aca="false">AO152</f>
        <v>0</v>
      </c>
      <c r="AP153" s="237"/>
      <c r="AQ153" s="237"/>
      <c r="AR153" s="237"/>
      <c r="AS153" s="237"/>
      <c r="AT153" s="237"/>
      <c r="AU153" s="237"/>
      <c r="AV153" s="237"/>
      <c r="AW153" s="237"/>
      <c r="AX153" s="237"/>
      <c r="AY153" s="237"/>
      <c r="AZ153" s="237"/>
      <c r="BA153" s="226"/>
      <c r="BB153" s="226"/>
      <c r="BC153" s="226"/>
      <c r="BD153" s="226"/>
      <c r="BE153" s="235" t="n">
        <v>21</v>
      </c>
      <c r="BF153" s="236" t="n">
        <f aca="false">AE153</f>
        <v>608</v>
      </c>
      <c r="BG153" s="236"/>
      <c r="BH153" s="236"/>
      <c r="BI153" s="236"/>
      <c r="BJ153" s="236"/>
      <c r="BK153" s="236"/>
      <c r="BL153" s="236"/>
      <c r="BM153" s="236"/>
      <c r="BN153" s="236"/>
      <c r="BO153" s="236"/>
      <c r="BP153" s="238"/>
      <c r="BQ153" s="238"/>
      <c r="BR153" s="238"/>
      <c r="BS153" s="238"/>
      <c r="BT153" s="238"/>
      <c r="BU153" s="238"/>
      <c r="BV153" s="238"/>
      <c r="BW153" s="238"/>
      <c r="BX153" s="238"/>
      <c r="BY153" s="238"/>
      <c r="BZ153" s="238"/>
      <c r="CA153" s="238"/>
      <c r="CB153" s="238"/>
      <c r="CC153" s="238"/>
      <c r="CI153" s="46"/>
    </row>
    <row r="154" customFormat="false" ht="12.75" hidden="false" customHeight="true" outlineLevel="0" collapsed="false">
      <c r="C154" s="235" t="n">
        <v>22</v>
      </c>
      <c r="D154" s="233" t="n">
        <f aca="false">IF(C154&lt;=$I$16, EDATE($D$6, C154-1), "")</f>
        <v>639</v>
      </c>
      <c r="E154" s="233"/>
      <c r="F154" s="233"/>
      <c r="G154" s="233"/>
      <c r="H154" s="233"/>
      <c r="I154" s="233"/>
      <c r="J154" s="233"/>
      <c r="K154" s="233"/>
      <c r="L154" s="233"/>
      <c r="M154" s="233"/>
      <c r="N154" s="237" t="n">
        <f aca="false">IF(C154&lt;=$I$16, $I$17, "")</f>
        <v>0</v>
      </c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26"/>
      <c r="AA154" s="226"/>
      <c r="AB154" s="226"/>
      <c r="AC154" s="226"/>
      <c r="AD154" s="235" t="n">
        <v>22</v>
      </c>
      <c r="AE154" s="236" t="n">
        <f aca="false">D154</f>
        <v>639</v>
      </c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7" t="n">
        <f aca="false">AO153</f>
        <v>0</v>
      </c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26"/>
      <c r="BB154" s="226"/>
      <c r="BC154" s="226"/>
      <c r="BD154" s="226"/>
      <c r="BE154" s="235" t="n">
        <v>22</v>
      </c>
      <c r="BF154" s="236" t="n">
        <f aca="false">AE154</f>
        <v>639</v>
      </c>
      <c r="BG154" s="236"/>
      <c r="BH154" s="236"/>
      <c r="BI154" s="236"/>
      <c r="BJ154" s="236"/>
      <c r="BK154" s="236"/>
      <c r="BL154" s="236"/>
      <c r="BM154" s="236"/>
      <c r="BN154" s="236"/>
      <c r="BO154" s="236"/>
      <c r="BP154" s="238"/>
      <c r="BQ154" s="238"/>
      <c r="BR154" s="238"/>
      <c r="BS154" s="238"/>
      <c r="BT154" s="238"/>
      <c r="BU154" s="238"/>
      <c r="BV154" s="238"/>
      <c r="BW154" s="238"/>
      <c r="BX154" s="238"/>
      <c r="BY154" s="238"/>
      <c r="BZ154" s="238"/>
      <c r="CA154" s="238"/>
      <c r="CB154" s="238"/>
      <c r="CC154" s="238"/>
      <c r="CI154" s="46"/>
    </row>
    <row r="155" customFormat="false" ht="12.75" hidden="false" customHeight="true" outlineLevel="0" collapsed="false">
      <c r="C155" s="235" t="n">
        <v>23</v>
      </c>
      <c r="D155" s="236" t="n">
        <f aca="false">IF(C155&lt;=$I$16, EDATE($D$6, C155-1), "")</f>
        <v>669</v>
      </c>
      <c r="E155" s="236"/>
      <c r="F155" s="236"/>
      <c r="G155" s="236"/>
      <c r="H155" s="236"/>
      <c r="I155" s="236"/>
      <c r="J155" s="236"/>
      <c r="K155" s="236"/>
      <c r="L155" s="236"/>
      <c r="M155" s="236"/>
      <c r="N155" s="237" t="n">
        <f aca="false">IF(C155&lt;=$I$16, $I$17, "")</f>
        <v>0</v>
      </c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26"/>
      <c r="AA155" s="226"/>
      <c r="AB155" s="226"/>
      <c r="AC155" s="226"/>
      <c r="AD155" s="235" t="n">
        <v>23</v>
      </c>
      <c r="AE155" s="236" t="n">
        <f aca="false">D155</f>
        <v>669</v>
      </c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7" t="n">
        <f aca="false">AO154</f>
        <v>0</v>
      </c>
      <c r="AP155" s="237"/>
      <c r="AQ155" s="237"/>
      <c r="AR155" s="237"/>
      <c r="AS155" s="237"/>
      <c r="AT155" s="237"/>
      <c r="AU155" s="237"/>
      <c r="AV155" s="237"/>
      <c r="AW155" s="237"/>
      <c r="AX155" s="237"/>
      <c r="AY155" s="237"/>
      <c r="AZ155" s="237"/>
      <c r="BA155" s="226"/>
      <c r="BB155" s="226"/>
      <c r="BC155" s="226"/>
      <c r="BD155" s="226"/>
      <c r="BE155" s="235" t="n">
        <v>23</v>
      </c>
      <c r="BF155" s="236" t="n">
        <f aca="false">AE155</f>
        <v>669</v>
      </c>
      <c r="BG155" s="236"/>
      <c r="BH155" s="236"/>
      <c r="BI155" s="236"/>
      <c r="BJ155" s="236"/>
      <c r="BK155" s="236"/>
      <c r="BL155" s="236"/>
      <c r="BM155" s="236"/>
      <c r="BN155" s="236"/>
      <c r="BO155" s="236"/>
      <c r="BP155" s="238"/>
      <c r="BQ155" s="238"/>
      <c r="BR155" s="238"/>
      <c r="BS155" s="238"/>
      <c r="BT155" s="238"/>
      <c r="BU155" s="238"/>
      <c r="BV155" s="238"/>
      <c r="BW155" s="238"/>
      <c r="BX155" s="238"/>
      <c r="BY155" s="238"/>
      <c r="BZ155" s="238"/>
      <c r="CA155" s="238"/>
      <c r="CB155" s="238"/>
      <c r="CC155" s="238"/>
      <c r="CI155" s="46"/>
    </row>
    <row r="156" customFormat="false" ht="12.75" hidden="false" customHeight="true" outlineLevel="0" collapsed="false">
      <c r="C156" s="235" t="n">
        <v>24</v>
      </c>
      <c r="D156" s="236" t="n">
        <f aca="false">IF(C156&lt;=$I$16, EDATE($D$6, C156-1), "")</f>
        <v>700</v>
      </c>
      <c r="E156" s="236"/>
      <c r="F156" s="236"/>
      <c r="G156" s="236"/>
      <c r="H156" s="236"/>
      <c r="I156" s="236"/>
      <c r="J156" s="236"/>
      <c r="K156" s="236"/>
      <c r="L156" s="236"/>
      <c r="M156" s="236"/>
      <c r="N156" s="237" t="n">
        <f aca="false">IF(C156&lt;=$I$16, $I$17, "")</f>
        <v>0</v>
      </c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26"/>
      <c r="AA156" s="226"/>
      <c r="AB156" s="226"/>
      <c r="AC156" s="226"/>
      <c r="AD156" s="235" t="n">
        <v>24</v>
      </c>
      <c r="AE156" s="236" t="n">
        <f aca="false">D156</f>
        <v>700</v>
      </c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7" t="n">
        <f aca="false">AO155</f>
        <v>0</v>
      </c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26"/>
      <c r="BB156" s="226"/>
      <c r="BC156" s="226"/>
      <c r="BD156" s="226"/>
      <c r="BE156" s="235" t="n">
        <v>24</v>
      </c>
      <c r="BF156" s="236" t="n">
        <f aca="false">AE156</f>
        <v>700</v>
      </c>
      <c r="BG156" s="236"/>
      <c r="BH156" s="236"/>
      <c r="BI156" s="236"/>
      <c r="BJ156" s="236"/>
      <c r="BK156" s="236"/>
      <c r="BL156" s="236"/>
      <c r="BM156" s="236"/>
      <c r="BN156" s="236"/>
      <c r="BO156" s="236"/>
      <c r="BP156" s="238"/>
      <c r="BQ156" s="238"/>
      <c r="BR156" s="238"/>
      <c r="BS156" s="238"/>
      <c r="BT156" s="238"/>
      <c r="BU156" s="238"/>
      <c r="BV156" s="238"/>
      <c r="BW156" s="238"/>
      <c r="BX156" s="238"/>
      <c r="BY156" s="238"/>
      <c r="BZ156" s="238"/>
      <c r="CA156" s="238"/>
      <c r="CB156" s="238"/>
      <c r="CC156" s="238"/>
      <c r="CI156" s="46"/>
    </row>
    <row r="157" customFormat="false" ht="13.5" hidden="false" customHeight="false" outlineLevel="0" collapsed="false">
      <c r="C157" s="235" t="n">
        <v>25</v>
      </c>
      <c r="D157" s="233" t="n">
        <f aca="false">IF(C157&lt;=$I$16, EDATE($D$6, C157-1), "")</f>
        <v>730</v>
      </c>
      <c r="E157" s="233"/>
      <c r="F157" s="233"/>
      <c r="G157" s="233"/>
      <c r="H157" s="233"/>
      <c r="I157" s="233"/>
      <c r="J157" s="233"/>
      <c r="K157" s="233"/>
      <c r="L157" s="233"/>
      <c r="M157" s="233"/>
      <c r="N157" s="237" t="n">
        <f aca="false">IF(C157&lt;=$I$16, $I$17, "")</f>
        <v>0</v>
      </c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AD157" s="235" t="n">
        <v>25</v>
      </c>
      <c r="AE157" s="236" t="n">
        <f aca="false">D157</f>
        <v>730</v>
      </c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7" t="n">
        <f aca="false">AO156</f>
        <v>0</v>
      </c>
      <c r="AP157" s="237"/>
      <c r="AQ157" s="237"/>
      <c r="AR157" s="237"/>
      <c r="AS157" s="237"/>
      <c r="AT157" s="237"/>
      <c r="AU157" s="237"/>
      <c r="AV157" s="237"/>
      <c r="AW157" s="237"/>
      <c r="AX157" s="237"/>
      <c r="AY157" s="237"/>
      <c r="AZ157" s="237"/>
      <c r="BE157" s="235" t="n">
        <v>25</v>
      </c>
      <c r="BF157" s="236" t="n">
        <f aca="false">AE157</f>
        <v>730</v>
      </c>
      <c r="BG157" s="236"/>
      <c r="BH157" s="236"/>
      <c r="BI157" s="236"/>
      <c r="BJ157" s="236"/>
      <c r="BK157" s="236"/>
      <c r="BL157" s="236"/>
      <c r="BM157" s="236"/>
      <c r="BN157" s="236"/>
      <c r="BO157" s="236"/>
      <c r="BP157" s="238"/>
      <c r="BQ157" s="238"/>
      <c r="BR157" s="238"/>
      <c r="BS157" s="238"/>
      <c r="BT157" s="238"/>
      <c r="BU157" s="238"/>
      <c r="BV157" s="238"/>
      <c r="BW157" s="238"/>
      <c r="BX157" s="238"/>
      <c r="BY157" s="238"/>
      <c r="BZ157" s="238"/>
      <c r="CA157" s="238"/>
      <c r="CB157" s="238"/>
      <c r="CC157" s="238"/>
      <c r="CI157" s="46"/>
    </row>
    <row r="158" customFormat="false" ht="13.5" hidden="false" customHeight="false" outlineLevel="0" collapsed="false">
      <c r="C158" s="235" t="n">
        <v>26</v>
      </c>
      <c r="D158" s="236" t="n">
        <f aca="false">IF(C158&lt;=$I$16, EDATE($D$6, C158-1), "")</f>
        <v>761</v>
      </c>
      <c r="E158" s="236"/>
      <c r="F158" s="236"/>
      <c r="G158" s="236"/>
      <c r="H158" s="236"/>
      <c r="I158" s="236"/>
      <c r="J158" s="236"/>
      <c r="K158" s="236"/>
      <c r="L158" s="236"/>
      <c r="M158" s="236"/>
      <c r="N158" s="237" t="n">
        <f aca="false">IF(C158&lt;=$I$16, $I$17, "")</f>
        <v>0</v>
      </c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AD158" s="235" t="n">
        <v>26</v>
      </c>
      <c r="AE158" s="236" t="n">
        <f aca="false">D158</f>
        <v>761</v>
      </c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7" t="n">
        <f aca="false">AO157</f>
        <v>0</v>
      </c>
      <c r="AP158" s="237"/>
      <c r="AQ158" s="237"/>
      <c r="AR158" s="237"/>
      <c r="AS158" s="237"/>
      <c r="AT158" s="237"/>
      <c r="AU158" s="237"/>
      <c r="AV158" s="237"/>
      <c r="AW158" s="237"/>
      <c r="AX158" s="237"/>
      <c r="AY158" s="237"/>
      <c r="AZ158" s="237"/>
      <c r="BE158" s="235" t="n">
        <v>26</v>
      </c>
      <c r="BF158" s="236" t="n">
        <f aca="false">AE158</f>
        <v>761</v>
      </c>
      <c r="BG158" s="236"/>
      <c r="BH158" s="236"/>
      <c r="BI158" s="236"/>
      <c r="BJ158" s="236"/>
      <c r="BK158" s="236"/>
      <c r="BL158" s="236"/>
      <c r="BM158" s="236"/>
      <c r="BN158" s="236"/>
      <c r="BO158" s="236"/>
      <c r="BP158" s="238"/>
      <c r="BQ158" s="238"/>
      <c r="BR158" s="238"/>
      <c r="BS158" s="238"/>
      <c r="BT158" s="238"/>
      <c r="BU158" s="238"/>
      <c r="BV158" s="238"/>
      <c r="BW158" s="238"/>
      <c r="BX158" s="238"/>
      <c r="BY158" s="238"/>
      <c r="BZ158" s="238"/>
      <c r="CA158" s="238"/>
      <c r="CB158" s="238"/>
      <c r="CC158" s="238"/>
      <c r="CI158" s="46"/>
    </row>
    <row r="159" customFormat="false" ht="13.5" hidden="false" customHeight="false" outlineLevel="0" collapsed="false">
      <c r="C159" s="235" t="n">
        <v>27</v>
      </c>
      <c r="D159" s="236" t="n">
        <f aca="false">IF(C159&lt;=$I$16, EDATE($D$6, C159-1), "")</f>
        <v>790</v>
      </c>
      <c r="E159" s="236"/>
      <c r="F159" s="236"/>
      <c r="G159" s="236"/>
      <c r="H159" s="236"/>
      <c r="I159" s="236"/>
      <c r="J159" s="236"/>
      <c r="K159" s="236"/>
      <c r="L159" s="236"/>
      <c r="M159" s="236"/>
      <c r="N159" s="237" t="n">
        <f aca="false">IF(C159&lt;=$I$16, $I$17, "")</f>
        <v>0</v>
      </c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AD159" s="235" t="n">
        <v>27</v>
      </c>
      <c r="AE159" s="236" t="n">
        <f aca="false">D159</f>
        <v>790</v>
      </c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7" t="n">
        <f aca="false">AO158</f>
        <v>0</v>
      </c>
      <c r="AP159" s="237"/>
      <c r="AQ159" s="237"/>
      <c r="AR159" s="237"/>
      <c r="AS159" s="237"/>
      <c r="AT159" s="237"/>
      <c r="AU159" s="237"/>
      <c r="AV159" s="237"/>
      <c r="AW159" s="237"/>
      <c r="AX159" s="237"/>
      <c r="AY159" s="237"/>
      <c r="AZ159" s="237"/>
      <c r="BE159" s="235" t="n">
        <v>27</v>
      </c>
      <c r="BF159" s="236" t="n">
        <f aca="false">AE159</f>
        <v>790</v>
      </c>
      <c r="BG159" s="236"/>
      <c r="BH159" s="236"/>
      <c r="BI159" s="236"/>
      <c r="BJ159" s="236"/>
      <c r="BK159" s="236"/>
      <c r="BL159" s="236"/>
      <c r="BM159" s="236"/>
      <c r="BN159" s="236"/>
      <c r="BO159" s="236"/>
      <c r="BP159" s="238"/>
      <c r="BQ159" s="238"/>
      <c r="BR159" s="238"/>
      <c r="BS159" s="238"/>
      <c r="BT159" s="238"/>
      <c r="BU159" s="238"/>
      <c r="BV159" s="238"/>
      <c r="BW159" s="238"/>
      <c r="BX159" s="238"/>
      <c r="BY159" s="238"/>
      <c r="BZ159" s="238"/>
      <c r="CA159" s="238"/>
      <c r="CB159" s="238"/>
      <c r="CC159" s="238"/>
      <c r="CI159" s="46"/>
    </row>
    <row r="160" customFormat="false" ht="13.5" hidden="false" customHeight="false" outlineLevel="0" collapsed="false">
      <c r="C160" s="235" t="n">
        <v>28</v>
      </c>
      <c r="D160" s="233" t="n">
        <f aca="false">IF(C160&lt;=$I$16, EDATE($D$6, C160-1), "")</f>
        <v>820</v>
      </c>
      <c r="E160" s="233"/>
      <c r="F160" s="233"/>
      <c r="G160" s="233"/>
      <c r="H160" s="233"/>
      <c r="I160" s="233"/>
      <c r="J160" s="233"/>
      <c r="K160" s="233"/>
      <c r="L160" s="233"/>
      <c r="M160" s="233"/>
      <c r="N160" s="237" t="n">
        <f aca="false">IF(C160&lt;=$I$16, $I$17, "")</f>
        <v>0</v>
      </c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AD160" s="235" t="n">
        <v>28</v>
      </c>
      <c r="AE160" s="236" t="n">
        <f aca="false">D160</f>
        <v>820</v>
      </c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7" t="n">
        <f aca="false">AO159</f>
        <v>0</v>
      </c>
      <c r="AP160" s="237"/>
      <c r="AQ160" s="237"/>
      <c r="AR160" s="237"/>
      <c r="AS160" s="237"/>
      <c r="AT160" s="237"/>
      <c r="AU160" s="237"/>
      <c r="AV160" s="237"/>
      <c r="AW160" s="237"/>
      <c r="AX160" s="237"/>
      <c r="AY160" s="237"/>
      <c r="AZ160" s="237"/>
      <c r="BE160" s="235" t="n">
        <v>28</v>
      </c>
      <c r="BF160" s="236" t="n">
        <f aca="false">AE160</f>
        <v>820</v>
      </c>
      <c r="BG160" s="236"/>
      <c r="BH160" s="236"/>
      <c r="BI160" s="236"/>
      <c r="BJ160" s="236"/>
      <c r="BK160" s="236"/>
      <c r="BL160" s="236"/>
      <c r="BM160" s="236"/>
      <c r="BN160" s="236"/>
      <c r="BO160" s="236"/>
      <c r="BP160" s="238"/>
      <c r="BQ160" s="238"/>
      <c r="BR160" s="238"/>
      <c r="BS160" s="238"/>
      <c r="BT160" s="238"/>
      <c r="BU160" s="238"/>
      <c r="BV160" s="238"/>
      <c r="BW160" s="238"/>
      <c r="BX160" s="238"/>
      <c r="BY160" s="238"/>
      <c r="BZ160" s="238"/>
      <c r="CA160" s="238"/>
      <c r="CB160" s="238"/>
      <c r="CC160" s="238"/>
      <c r="CI160" s="46"/>
    </row>
    <row r="161" customFormat="false" ht="13.5" hidden="false" customHeight="false" outlineLevel="0" collapsed="false">
      <c r="C161" s="235" t="n">
        <v>29</v>
      </c>
      <c r="D161" s="236" t="n">
        <f aca="false">IF(C161&lt;=$I$16, EDATE($D$6, C161-1), "")</f>
        <v>851</v>
      </c>
      <c r="E161" s="236"/>
      <c r="F161" s="236"/>
      <c r="G161" s="236"/>
      <c r="H161" s="236"/>
      <c r="I161" s="236"/>
      <c r="J161" s="236"/>
      <c r="K161" s="236"/>
      <c r="L161" s="236"/>
      <c r="M161" s="236"/>
      <c r="N161" s="237" t="n">
        <f aca="false">IF(C161&lt;=$I$16, $I$17, "")</f>
        <v>0</v>
      </c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AD161" s="235" t="n">
        <v>29</v>
      </c>
      <c r="AE161" s="236" t="n">
        <f aca="false">D161</f>
        <v>851</v>
      </c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7" t="n">
        <f aca="false">AO160</f>
        <v>0</v>
      </c>
      <c r="AP161" s="237"/>
      <c r="AQ161" s="237"/>
      <c r="AR161" s="237"/>
      <c r="AS161" s="237"/>
      <c r="AT161" s="237"/>
      <c r="AU161" s="237"/>
      <c r="AV161" s="237"/>
      <c r="AW161" s="237"/>
      <c r="AX161" s="237"/>
      <c r="AY161" s="237"/>
      <c r="AZ161" s="237"/>
      <c r="BE161" s="235" t="n">
        <v>29</v>
      </c>
      <c r="BF161" s="236" t="n">
        <f aca="false">AE161</f>
        <v>851</v>
      </c>
      <c r="BG161" s="236"/>
      <c r="BH161" s="236"/>
      <c r="BI161" s="236"/>
      <c r="BJ161" s="236"/>
      <c r="BK161" s="236"/>
      <c r="BL161" s="236"/>
      <c r="BM161" s="236"/>
      <c r="BN161" s="236"/>
      <c r="BO161" s="236"/>
      <c r="BP161" s="238"/>
      <c r="BQ161" s="238"/>
      <c r="BR161" s="238"/>
      <c r="BS161" s="238"/>
      <c r="BT161" s="238"/>
      <c r="BU161" s="238"/>
      <c r="BV161" s="238"/>
      <c r="BW161" s="238"/>
      <c r="BX161" s="238"/>
      <c r="BY161" s="238"/>
      <c r="BZ161" s="238"/>
      <c r="CA161" s="238"/>
      <c r="CB161" s="238"/>
      <c r="CC161" s="238"/>
      <c r="CI161" s="46"/>
    </row>
    <row r="162" customFormat="false" ht="13.5" hidden="false" customHeight="false" outlineLevel="0" collapsed="false">
      <c r="C162" s="235" t="n">
        <v>30</v>
      </c>
      <c r="D162" s="236" t="n">
        <f aca="false">IF(C162&lt;=$I$16, EDATE($D$6, C162-1), "")</f>
        <v>881</v>
      </c>
      <c r="E162" s="236"/>
      <c r="F162" s="236"/>
      <c r="G162" s="236"/>
      <c r="H162" s="236"/>
      <c r="I162" s="236"/>
      <c r="J162" s="236"/>
      <c r="K162" s="236"/>
      <c r="L162" s="236"/>
      <c r="M162" s="236"/>
      <c r="N162" s="237" t="n">
        <f aca="false">IF(C162&lt;=$I$16, $I$17, "")</f>
        <v>0</v>
      </c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AD162" s="235" t="n">
        <v>30</v>
      </c>
      <c r="AE162" s="236" t="n">
        <f aca="false">D162</f>
        <v>881</v>
      </c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7" t="n">
        <f aca="false">AO161</f>
        <v>0</v>
      </c>
      <c r="AP162" s="237"/>
      <c r="AQ162" s="237"/>
      <c r="AR162" s="237"/>
      <c r="AS162" s="237"/>
      <c r="AT162" s="237"/>
      <c r="AU162" s="237"/>
      <c r="AV162" s="237"/>
      <c r="AW162" s="237"/>
      <c r="AX162" s="237"/>
      <c r="AY162" s="237"/>
      <c r="AZ162" s="237"/>
      <c r="BE162" s="235" t="n">
        <v>30</v>
      </c>
      <c r="BF162" s="236" t="n">
        <f aca="false">AE162</f>
        <v>881</v>
      </c>
      <c r="BG162" s="236"/>
      <c r="BH162" s="236"/>
      <c r="BI162" s="236"/>
      <c r="BJ162" s="236"/>
      <c r="BK162" s="236"/>
      <c r="BL162" s="236"/>
      <c r="BM162" s="236"/>
      <c r="BN162" s="236"/>
      <c r="BO162" s="236"/>
      <c r="BP162" s="238"/>
      <c r="BQ162" s="238"/>
      <c r="BR162" s="238"/>
      <c r="BS162" s="238"/>
      <c r="BT162" s="238"/>
      <c r="BU162" s="238"/>
      <c r="BV162" s="238"/>
      <c r="BW162" s="238"/>
      <c r="BX162" s="238"/>
      <c r="BY162" s="238"/>
      <c r="BZ162" s="238"/>
      <c r="CA162" s="238"/>
      <c r="CB162" s="238"/>
      <c r="CC162" s="238"/>
      <c r="CI162" s="46"/>
    </row>
    <row r="163" customFormat="false" ht="13.5" hidden="false" customHeight="false" outlineLevel="0" collapsed="false">
      <c r="C163" s="235" t="n">
        <v>31</v>
      </c>
      <c r="D163" s="233" t="n">
        <f aca="false">IF(C163&lt;=$I$16, EDATE($D$6, C163-1), "")</f>
        <v>912</v>
      </c>
      <c r="E163" s="233"/>
      <c r="F163" s="233"/>
      <c r="G163" s="233"/>
      <c r="H163" s="233"/>
      <c r="I163" s="233"/>
      <c r="J163" s="233"/>
      <c r="K163" s="233"/>
      <c r="L163" s="233"/>
      <c r="M163" s="233"/>
      <c r="N163" s="237" t="n">
        <f aca="false">IF(C163&lt;=$I$16, $I$17, "")</f>
        <v>0</v>
      </c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AD163" s="235" t="n">
        <v>31</v>
      </c>
      <c r="AE163" s="236" t="n">
        <f aca="false">D163</f>
        <v>912</v>
      </c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7" t="n">
        <f aca="false">AO162</f>
        <v>0</v>
      </c>
      <c r="AP163" s="237"/>
      <c r="AQ163" s="237"/>
      <c r="AR163" s="237"/>
      <c r="AS163" s="237"/>
      <c r="AT163" s="237"/>
      <c r="AU163" s="237"/>
      <c r="AV163" s="237"/>
      <c r="AW163" s="237"/>
      <c r="AX163" s="237"/>
      <c r="AY163" s="237"/>
      <c r="AZ163" s="237"/>
      <c r="BE163" s="235" t="n">
        <v>31</v>
      </c>
      <c r="BF163" s="236" t="n">
        <f aca="false">AE163</f>
        <v>912</v>
      </c>
      <c r="BG163" s="236"/>
      <c r="BH163" s="236"/>
      <c r="BI163" s="236"/>
      <c r="BJ163" s="236"/>
      <c r="BK163" s="236"/>
      <c r="BL163" s="236"/>
      <c r="BM163" s="236"/>
      <c r="BN163" s="236"/>
      <c r="BO163" s="236"/>
      <c r="BP163" s="238"/>
      <c r="BQ163" s="238"/>
      <c r="BR163" s="238"/>
      <c r="BS163" s="238"/>
      <c r="BT163" s="238"/>
      <c r="BU163" s="238"/>
      <c r="BV163" s="238"/>
      <c r="BW163" s="238"/>
      <c r="BX163" s="238"/>
      <c r="BY163" s="238"/>
      <c r="BZ163" s="238"/>
      <c r="CA163" s="238"/>
      <c r="CB163" s="238"/>
      <c r="CC163" s="238"/>
      <c r="CI163" s="46"/>
    </row>
    <row r="164" customFormat="false" ht="13.5" hidden="false" customHeight="false" outlineLevel="0" collapsed="false">
      <c r="C164" s="235" t="n">
        <v>32</v>
      </c>
      <c r="D164" s="236" t="n">
        <f aca="false">IF(C164&lt;=$I$16, EDATE($D$6, C164-1), "")</f>
        <v>942</v>
      </c>
      <c r="E164" s="236"/>
      <c r="F164" s="236"/>
      <c r="G164" s="236"/>
      <c r="H164" s="236"/>
      <c r="I164" s="236"/>
      <c r="J164" s="236"/>
      <c r="K164" s="236"/>
      <c r="L164" s="236"/>
      <c r="M164" s="236"/>
      <c r="N164" s="237" t="n">
        <f aca="false">IF(C164&lt;=$I$16, $I$17, "")</f>
        <v>0</v>
      </c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AD164" s="235" t="n">
        <v>32</v>
      </c>
      <c r="AE164" s="236" t="n">
        <f aca="false">D164</f>
        <v>942</v>
      </c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7" t="n">
        <f aca="false">AO163</f>
        <v>0</v>
      </c>
      <c r="AP164" s="237"/>
      <c r="AQ164" s="237"/>
      <c r="AR164" s="237"/>
      <c r="AS164" s="237"/>
      <c r="AT164" s="237"/>
      <c r="AU164" s="237"/>
      <c r="AV164" s="237"/>
      <c r="AW164" s="237"/>
      <c r="AX164" s="237"/>
      <c r="AY164" s="237"/>
      <c r="AZ164" s="237"/>
      <c r="BE164" s="235" t="n">
        <v>32</v>
      </c>
      <c r="BF164" s="236" t="n">
        <f aca="false">AE164</f>
        <v>942</v>
      </c>
      <c r="BG164" s="236"/>
      <c r="BH164" s="236"/>
      <c r="BI164" s="236"/>
      <c r="BJ164" s="236"/>
      <c r="BK164" s="236"/>
      <c r="BL164" s="236"/>
      <c r="BM164" s="236"/>
      <c r="BN164" s="236"/>
      <c r="BO164" s="236"/>
      <c r="BP164" s="238"/>
      <c r="BQ164" s="238"/>
      <c r="BR164" s="238"/>
      <c r="BS164" s="238"/>
      <c r="BT164" s="238"/>
      <c r="BU164" s="238"/>
      <c r="BV164" s="238"/>
      <c r="BW164" s="238"/>
      <c r="BX164" s="238"/>
      <c r="BY164" s="238"/>
      <c r="BZ164" s="238"/>
      <c r="CA164" s="238"/>
      <c r="CB164" s="238"/>
      <c r="CC164" s="238"/>
      <c r="CI164" s="46"/>
    </row>
    <row r="165" customFormat="false" ht="13.5" hidden="false" customHeight="false" outlineLevel="0" collapsed="false">
      <c r="C165" s="235" t="n">
        <v>33</v>
      </c>
      <c r="D165" s="236" t="n">
        <f aca="false">IF(C165&lt;=$I$16, EDATE($D$6, C165-1), "")</f>
        <v>973</v>
      </c>
      <c r="E165" s="236"/>
      <c r="F165" s="236"/>
      <c r="G165" s="236"/>
      <c r="H165" s="236"/>
      <c r="I165" s="236"/>
      <c r="J165" s="236"/>
      <c r="K165" s="236"/>
      <c r="L165" s="236"/>
      <c r="M165" s="236"/>
      <c r="N165" s="237" t="n">
        <f aca="false">IF(C165&lt;=$I$16, $I$17, "")</f>
        <v>0</v>
      </c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AD165" s="235" t="n">
        <v>33</v>
      </c>
      <c r="AE165" s="236" t="n">
        <f aca="false">D165</f>
        <v>973</v>
      </c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7" t="n">
        <f aca="false">AO164</f>
        <v>0</v>
      </c>
      <c r="AP165" s="237"/>
      <c r="AQ165" s="237"/>
      <c r="AR165" s="237"/>
      <c r="AS165" s="237"/>
      <c r="AT165" s="237"/>
      <c r="AU165" s="237"/>
      <c r="AV165" s="237"/>
      <c r="AW165" s="237"/>
      <c r="AX165" s="237"/>
      <c r="AY165" s="237"/>
      <c r="AZ165" s="237"/>
      <c r="BE165" s="235" t="n">
        <v>33</v>
      </c>
      <c r="BF165" s="236" t="n">
        <f aca="false">AE165</f>
        <v>973</v>
      </c>
      <c r="BG165" s="236"/>
      <c r="BH165" s="236"/>
      <c r="BI165" s="236"/>
      <c r="BJ165" s="236"/>
      <c r="BK165" s="236"/>
      <c r="BL165" s="236"/>
      <c r="BM165" s="236"/>
      <c r="BN165" s="236"/>
      <c r="BO165" s="236"/>
      <c r="BP165" s="238"/>
      <c r="BQ165" s="238"/>
      <c r="BR165" s="238"/>
      <c r="BS165" s="238"/>
      <c r="BT165" s="238"/>
      <c r="BU165" s="238"/>
      <c r="BV165" s="238"/>
      <c r="BW165" s="238"/>
      <c r="BX165" s="238"/>
      <c r="BY165" s="238"/>
      <c r="BZ165" s="238"/>
      <c r="CA165" s="238"/>
      <c r="CB165" s="238"/>
      <c r="CC165" s="238"/>
      <c r="CI165" s="46"/>
    </row>
    <row r="166" customFormat="false" ht="13.5" hidden="false" customHeight="false" outlineLevel="0" collapsed="false">
      <c r="C166" s="235" t="n">
        <v>34</v>
      </c>
      <c r="D166" s="233" t="n">
        <f aca="false">IF(C166&lt;=$I$16, EDATE($D$6, C166-1), "")</f>
        <v>1004</v>
      </c>
      <c r="E166" s="233"/>
      <c r="F166" s="233"/>
      <c r="G166" s="233"/>
      <c r="H166" s="233"/>
      <c r="I166" s="233"/>
      <c r="J166" s="233"/>
      <c r="K166" s="233"/>
      <c r="L166" s="233"/>
      <c r="M166" s="233"/>
      <c r="N166" s="237" t="n">
        <f aca="false">IF(C166&lt;=$I$16, $I$17, "")</f>
        <v>0</v>
      </c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AD166" s="235" t="n">
        <v>34</v>
      </c>
      <c r="AE166" s="236" t="n">
        <f aca="false">D166</f>
        <v>1004</v>
      </c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7" t="n">
        <f aca="false">AO165</f>
        <v>0</v>
      </c>
      <c r="AP166" s="237"/>
      <c r="AQ166" s="237"/>
      <c r="AR166" s="237"/>
      <c r="AS166" s="237"/>
      <c r="AT166" s="237"/>
      <c r="AU166" s="237"/>
      <c r="AV166" s="237"/>
      <c r="AW166" s="237"/>
      <c r="AX166" s="237"/>
      <c r="AY166" s="237"/>
      <c r="AZ166" s="237"/>
      <c r="BE166" s="235" t="n">
        <v>34</v>
      </c>
      <c r="BF166" s="236" t="n">
        <f aca="false">AE166</f>
        <v>1004</v>
      </c>
      <c r="BG166" s="236"/>
      <c r="BH166" s="236"/>
      <c r="BI166" s="236"/>
      <c r="BJ166" s="236"/>
      <c r="BK166" s="236"/>
      <c r="BL166" s="236"/>
      <c r="BM166" s="236"/>
      <c r="BN166" s="236"/>
      <c r="BO166" s="236"/>
      <c r="BP166" s="238"/>
      <c r="BQ166" s="238"/>
      <c r="BR166" s="238"/>
      <c r="BS166" s="238"/>
      <c r="BT166" s="238"/>
      <c r="BU166" s="238"/>
      <c r="BV166" s="238"/>
      <c r="BW166" s="238"/>
      <c r="BX166" s="238"/>
      <c r="BY166" s="238"/>
      <c r="BZ166" s="238"/>
      <c r="CA166" s="238"/>
      <c r="CB166" s="238"/>
      <c r="CC166" s="238"/>
      <c r="CI166" s="46"/>
    </row>
    <row r="167" customFormat="false" ht="13.5" hidden="false" customHeight="false" outlineLevel="0" collapsed="false">
      <c r="C167" s="235" t="n">
        <v>35</v>
      </c>
      <c r="D167" s="236" t="n">
        <f aca="false">IF(C167&lt;=$I$16, EDATE($D$6, C167-1), "")</f>
        <v>1034</v>
      </c>
      <c r="E167" s="236"/>
      <c r="F167" s="236"/>
      <c r="G167" s="236"/>
      <c r="H167" s="236"/>
      <c r="I167" s="236"/>
      <c r="J167" s="236"/>
      <c r="K167" s="236"/>
      <c r="L167" s="236"/>
      <c r="M167" s="236"/>
      <c r="N167" s="237" t="n">
        <f aca="false">IF(C167&lt;=$I$16, $I$17, "")</f>
        <v>0</v>
      </c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AD167" s="235" t="n">
        <v>35</v>
      </c>
      <c r="AE167" s="236" t="n">
        <f aca="false">D167</f>
        <v>1034</v>
      </c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7" t="n">
        <f aca="false">AO166</f>
        <v>0</v>
      </c>
      <c r="AP167" s="237"/>
      <c r="AQ167" s="237"/>
      <c r="AR167" s="237"/>
      <c r="AS167" s="237"/>
      <c r="AT167" s="237"/>
      <c r="AU167" s="237"/>
      <c r="AV167" s="237"/>
      <c r="AW167" s="237"/>
      <c r="AX167" s="237"/>
      <c r="AY167" s="237"/>
      <c r="AZ167" s="237"/>
      <c r="BE167" s="235" t="n">
        <v>35</v>
      </c>
      <c r="BF167" s="236" t="n">
        <f aca="false">AE167</f>
        <v>1034</v>
      </c>
      <c r="BG167" s="236"/>
      <c r="BH167" s="236"/>
      <c r="BI167" s="236"/>
      <c r="BJ167" s="236"/>
      <c r="BK167" s="236"/>
      <c r="BL167" s="236"/>
      <c r="BM167" s="236"/>
      <c r="BN167" s="236"/>
      <c r="BO167" s="236"/>
      <c r="BP167" s="238"/>
      <c r="BQ167" s="238"/>
      <c r="BR167" s="238"/>
      <c r="BS167" s="238"/>
      <c r="BT167" s="238"/>
      <c r="BU167" s="238"/>
      <c r="BV167" s="238"/>
      <c r="BW167" s="238"/>
      <c r="BX167" s="238"/>
      <c r="BY167" s="238"/>
      <c r="BZ167" s="238"/>
      <c r="CA167" s="238"/>
      <c r="CB167" s="238"/>
      <c r="CC167" s="238"/>
    </row>
    <row r="168" customFormat="false" ht="13.5" hidden="false" customHeight="false" outlineLevel="0" collapsed="false">
      <c r="C168" s="235" t="n">
        <v>36</v>
      </c>
      <c r="D168" s="236" t="n">
        <f aca="false">IF(C168&lt;=$I$16, EDATE($D$6, C168-1), "")</f>
        <v>1065</v>
      </c>
      <c r="E168" s="236"/>
      <c r="F168" s="236"/>
      <c r="G168" s="236"/>
      <c r="H168" s="236"/>
      <c r="I168" s="236"/>
      <c r="J168" s="236"/>
      <c r="K168" s="236"/>
      <c r="L168" s="236"/>
      <c r="M168" s="236"/>
      <c r="N168" s="237" t="n">
        <f aca="false">IF(C168&lt;=$I$16, $I$17, "")</f>
        <v>0</v>
      </c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AD168" s="235" t="n">
        <v>36</v>
      </c>
      <c r="AE168" s="236" t="n">
        <f aca="false">D168</f>
        <v>1065</v>
      </c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7" t="n">
        <f aca="false">AO167</f>
        <v>0</v>
      </c>
      <c r="AP168" s="237"/>
      <c r="AQ168" s="237"/>
      <c r="AR168" s="237"/>
      <c r="AS168" s="237"/>
      <c r="AT168" s="237"/>
      <c r="AU168" s="237"/>
      <c r="AV168" s="237"/>
      <c r="AW168" s="237"/>
      <c r="AX168" s="237"/>
      <c r="AY168" s="237"/>
      <c r="AZ168" s="237"/>
      <c r="BE168" s="235" t="n">
        <v>36</v>
      </c>
      <c r="BF168" s="236" t="n">
        <f aca="false">AE168</f>
        <v>1065</v>
      </c>
      <c r="BG168" s="236"/>
      <c r="BH168" s="236"/>
      <c r="BI168" s="236"/>
      <c r="BJ168" s="236"/>
      <c r="BK168" s="236"/>
      <c r="BL168" s="236"/>
      <c r="BM168" s="236"/>
      <c r="BN168" s="236"/>
      <c r="BO168" s="236"/>
      <c r="BP168" s="238"/>
      <c r="BQ168" s="238"/>
      <c r="BR168" s="238"/>
      <c r="BS168" s="238"/>
      <c r="BT168" s="238"/>
      <c r="BU168" s="238"/>
      <c r="BV168" s="238"/>
      <c r="BW168" s="238"/>
      <c r="BX168" s="238"/>
      <c r="BY168" s="238"/>
      <c r="BZ168" s="238"/>
      <c r="CA168" s="238"/>
      <c r="CB168" s="238"/>
      <c r="CC168" s="238"/>
    </row>
    <row r="169" customFormat="false" ht="13.5" hidden="false" customHeight="false" outlineLevel="0" collapsed="false">
      <c r="C169" s="235" t="n">
        <v>37</v>
      </c>
      <c r="D169" s="233" t="n">
        <f aca="false">IF(C169&lt;=$I$16, EDATE($D$6, C169-1), "")</f>
        <v>1095</v>
      </c>
      <c r="E169" s="233"/>
      <c r="F169" s="233"/>
      <c r="G169" s="233"/>
      <c r="H169" s="233"/>
      <c r="I169" s="233"/>
      <c r="J169" s="233"/>
      <c r="K169" s="233"/>
      <c r="L169" s="233"/>
      <c r="M169" s="233"/>
      <c r="N169" s="237" t="n">
        <f aca="false">IF(C169&lt;=$I$16, $I$17, "")</f>
        <v>0</v>
      </c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AD169" s="235" t="n">
        <v>37</v>
      </c>
      <c r="AE169" s="236" t="n">
        <f aca="false">D169</f>
        <v>1095</v>
      </c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7" t="n">
        <f aca="false">AO168</f>
        <v>0</v>
      </c>
      <c r="AP169" s="237"/>
      <c r="AQ169" s="237"/>
      <c r="AR169" s="237"/>
      <c r="AS169" s="237"/>
      <c r="AT169" s="237"/>
      <c r="AU169" s="237"/>
      <c r="AV169" s="237"/>
      <c r="AW169" s="237"/>
      <c r="AX169" s="237"/>
      <c r="AY169" s="237"/>
      <c r="AZ169" s="237"/>
      <c r="BE169" s="235" t="n">
        <v>37</v>
      </c>
      <c r="BF169" s="236" t="n">
        <f aca="false">AE169</f>
        <v>1095</v>
      </c>
      <c r="BG169" s="236"/>
      <c r="BH169" s="236"/>
      <c r="BI169" s="236"/>
      <c r="BJ169" s="236"/>
      <c r="BK169" s="236"/>
      <c r="BL169" s="236"/>
      <c r="BM169" s="236"/>
      <c r="BN169" s="236"/>
      <c r="BO169" s="236"/>
      <c r="BP169" s="238"/>
      <c r="BQ169" s="238"/>
      <c r="BR169" s="238"/>
      <c r="BS169" s="238"/>
      <c r="BT169" s="238"/>
      <c r="BU169" s="238"/>
      <c r="BV169" s="238"/>
      <c r="BW169" s="238"/>
      <c r="BX169" s="238"/>
      <c r="BY169" s="238"/>
      <c r="BZ169" s="238"/>
      <c r="CA169" s="238"/>
      <c r="CB169" s="238"/>
      <c r="CC169" s="238"/>
    </row>
    <row r="170" customFormat="false" ht="13.5" hidden="false" customHeight="false" outlineLevel="0" collapsed="false">
      <c r="C170" s="235" t="n">
        <v>38</v>
      </c>
      <c r="D170" s="236" t="n">
        <f aca="false">IF(C170&lt;=$I$16, EDATE($D$6, C170-1), "")</f>
        <v>1126</v>
      </c>
      <c r="E170" s="236"/>
      <c r="F170" s="236"/>
      <c r="G170" s="236"/>
      <c r="H170" s="236"/>
      <c r="I170" s="236"/>
      <c r="J170" s="236"/>
      <c r="K170" s="236"/>
      <c r="L170" s="236"/>
      <c r="M170" s="236"/>
      <c r="N170" s="237" t="n">
        <f aca="false">IF(C170&lt;=$I$16, $I$17, "")</f>
        <v>0</v>
      </c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AD170" s="235" t="n">
        <v>38</v>
      </c>
      <c r="AE170" s="236" t="n">
        <f aca="false">D170</f>
        <v>1126</v>
      </c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7" t="n">
        <f aca="false">AO169</f>
        <v>0</v>
      </c>
      <c r="AP170" s="237"/>
      <c r="AQ170" s="237"/>
      <c r="AR170" s="237"/>
      <c r="AS170" s="237"/>
      <c r="AT170" s="237"/>
      <c r="AU170" s="237"/>
      <c r="AV170" s="237"/>
      <c r="AW170" s="237"/>
      <c r="AX170" s="237"/>
      <c r="AY170" s="237"/>
      <c r="AZ170" s="237"/>
      <c r="BE170" s="235" t="n">
        <v>38</v>
      </c>
      <c r="BF170" s="236" t="n">
        <f aca="false">AE170</f>
        <v>1126</v>
      </c>
      <c r="BG170" s="236"/>
      <c r="BH170" s="236"/>
      <c r="BI170" s="236"/>
      <c r="BJ170" s="236"/>
      <c r="BK170" s="236"/>
      <c r="BL170" s="236"/>
      <c r="BM170" s="236"/>
      <c r="BN170" s="236"/>
      <c r="BO170" s="236"/>
      <c r="BP170" s="238"/>
      <c r="BQ170" s="238"/>
      <c r="BR170" s="238"/>
      <c r="BS170" s="238"/>
      <c r="BT170" s="238"/>
      <c r="BU170" s="238"/>
      <c r="BV170" s="238"/>
      <c r="BW170" s="238"/>
      <c r="BX170" s="238"/>
      <c r="BY170" s="238"/>
      <c r="BZ170" s="238"/>
      <c r="CA170" s="238"/>
      <c r="CB170" s="238"/>
      <c r="CC170" s="238"/>
    </row>
    <row r="171" customFormat="false" ht="13.5" hidden="false" customHeight="false" outlineLevel="0" collapsed="false">
      <c r="C171" s="235" t="n">
        <v>39</v>
      </c>
      <c r="D171" s="236" t="n">
        <f aca="false">IF(C171&lt;=$I$16, EDATE($D$6, C171-1), "")</f>
        <v>1155</v>
      </c>
      <c r="E171" s="236"/>
      <c r="F171" s="236"/>
      <c r="G171" s="236"/>
      <c r="H171" s="236"/>
      <c r="I171" s="236"/>
      <c r="J171" s="236"/>
      <c r="K171" s="236"/>
      <c r="L171" s="236"/>
      <c r="M171" s="236"/>
      <c r="N171" s="237" t="n">
        <f aca="false">IF(C171&lt;=$I$16, $I$17, "")</f>
        <v>0</v>
      </c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AD171" s="235" t="n">
        <v>39</v>
      </c>
      <c r="AE171" s="236" t="n">
        <f aca="false">D171</f>
        <v>1155</v>
      </c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7" t="n">
        <f aca="false">AO170</f>
        <v>0</v>
      </c>
      <c r="AP171" s="237"/>
      <c r="AQ171" s="237"/>
      <c r="AR171" s="237"/>
      <c r="AS171" s="237"/>
      <c r="AT171" s="237"/>
      <c r="AU171" s="237"/>
      <c r="AV171" s="237"/>
      <c r="AW171" s="237"/>
      <c r="AX171" s="237"/>
      <c r="AY171" s="237"/>
      <c r="AZ171" s="237"/>
      <c r="BE171" s="235" t="n">
        <v>39</v>
      </c>
      <c r="BF171" s="236" t="n">
        <f aca="false">AE171</f>
        <v>1155</v>
      </c>
      <c r="BG171" s="236"/>
      <c r="BH171" s="236"/>
      <c r="BI171" s="236"/>
      <c r="BJ171" s="236"/>
      <c r="BK171" s="236"/>
      <c r="BL171" s="236"/>
      <c r="BM171" s="236"/>
      <c r="BN171" s="236"/>
      <c r="BO171" s="236"/>
      <c r="BP171" s="238"/>
      <c r="BQ171" s="238"/>
      <c r="BR171" s="238"/>
      <c r="BS171" s="238"/>
      <c r="BT171" s="238"/>
      <c r="BU171" s="238"/>
      <c r="BV171" s="238"/>
      <c r="BW171" s="238"/>
      <c r="BX171" s="238"/>
      <c r="BY171" s="238"/>
      <c r="BZ171" s="238"/>
      <c r="CA171" s="238"/>
      <c r="CB171" s="238"/>
      <c r="CC171" s="238"/>
    </row>
    <row r="172" customFormat="false" ht="13.5" hidden="false" customHeight="false" outlineLevel="0" collapsed="false">
      <c r="C172" s="235" t="n">
        <v>40</v>
      </c>
      <c r="D172" s="233" t="n">
        <f aca="false">IF(C172&lt;=$I$16, EDATE($D$6, C172-1), "")</f>
        <v>1185</v>
      </c>
      <c r="E172" s="233"/>
      <c r="F172" s="233"/>
      <c r="G172" s="233"/>
      <c r="H172" s="233"/>
      <c r="I172" s="233"/>
      <c r="J172" s="233"/>
      <c r="K172" s="233"/>
      <c r="L172" s="233"/>
      <c r="M172" s="233"/>
      <c r="N172" s="237" t="n">
        <f aca="false">IF(C172&lt;=$I$16, $I$17, "")</f>
        <v>0</v>
      </c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AD172" s="235" t="n">
        <v>40</v>
      </c>
      <c r="AE172" s="236" t="n">
        <f aca="false">D172</f>
        <v>1185</v>
      </c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7" t="n">
        <f aca="false">AO171</f>
        <v>0</v>
      </c>
      <c r="AP172" s="237"/>
      <c r="AQ172" s="237"/>
      <c r="AR172" s="237"/>
      <c r="AS172" s="237"/>
      <c r="AT172" s="237"/>
      <c r="AU172" s="237"/>
      <c r="AV172" s="237"/>
      <c r="AW172" s="237"/>
      <c r="AX172" s="237"/>
      <c r="AY172" s="237"/>
      <c r="AZ172" s="237"/>
      <c r="BE172" s="235" t="n">
        <v>40</v>
      </c>
      <c r="BF172" s="236" t="n">
        <f aca="false">AE172</f>
        <v>1185</v>
      </c>
      <c r="BG172" s="236"/>
      <c r="BH172" s="236"/>
      <c r="BI172" s="236"/>
      <c r="BJ172" s="236"/>
      <c r="BK172" s="236"/>
      <c r="BL172" s="236"/>
      <c r="BM172" s="236"/>
      <c r="BN172" s="236"/>
      <c r="BO172" s="236"/>
      <c r="BP172" s="238"/>
      <c r="BQ172" s="238"/>
      <c r="BR172" s="238"/>
      <c r="BS172" s="238"/>
      <c r="BT172" s="238"/>
      <c r="BU172" s="238"/>
      <c r="BV172" s="238"/>
      <c r="BW172" s="238"/>
      <c r="BX172" s="238"/>
      <c r="BY172" s="238"/>
      <c r="BZ172" s="238"/>
      <c r="CA172" s="238"/>
      <c r="CB172" s="238"/>
      <c r="CC172" s="238"/>
    </row>
    <row r="173" customFormat="false" ht="13.5" hidden="false" customHeight="false" outlineLevel="0" collapsed="false">
      <c r="C173" s="235" t="n">
        <v>41</v>
      </c>
      <c r="D173" s="236" t="n">
        <f aca="false">IF(C173&lt;=$I$16, EDATE($D$6, C173-1), "")</f>
        <v>1216</v>
      </c>
      <c r="E173" s="236"/>
      <c r="F173" s="236"/>
      <c r="G173" s="236"/>
      <c r="H173" s="236"/>
      <c r="I173" s="236"/>
      <c r="J173" s="236"/>
      <c r="K173" s="236"/>
      <c r="L173" s="236"/>
      <c r="M173" s="236"/>
      <c r="N173" s="237" t="n">
        <f aca="false">IF(C173&lt;=$I$16, $I$17, "")</f>
        <v>0</v>
      </c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AD173" s="235" t="n">
        <v>41</v>
      </c>
      <c r="AE173" s="236" t="n">
        <f aca="false">D173</f>
        <v>1216</v>
      </c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7" t="n">
        <f aca="false">AO172</f>
        <v>0</v>
      </c>
      <c r="AP173" s="237"/>
      <c r="AQ173" s="237"/>
      <c r="AR173" s="237"/>
      <c r="AS173" s="237"/>
      <c r="AT173" s="237"/>
      <c r="AU173" s="237"/>
      <c r="AV173" s="237"/>
      <c r="AW173" s="237"/>
      <c r="AX173" s="237"/>
      <c r="AY173" s="237"/>
      <c r="AZ173" s="237"/>
      <c r="BE173" s="235" t="n">
        <v>41</v>
      </c>
      <c r="BF173" s="236" t="n">
        <f aca="false">AE173</f>
        <v>1216</v>
      </c>
      <c r="BG173" s="236"/>
      <c r="BH173" s="236"/>
      <c r="BI173" s="236"/>
      <c r="BJ173" s="236"/>
      <c r="BK173" s="236"/>
      <c r="BL173" s="236"/>
      <c r="BM173" s="236"/>
      <c r="BN173" s="236"/>
      <c r="BO173" s="236"/>
      <c r="BP173" s="238"/>
      <c r="BQ173" s="238"/>
      <c r="BR173" s="238"/>
      <c r="BS173" s="238"/>
      <c r="BT173" s="238"/>
      <c r="BU173" s="238"/>
      <c r="BV173" s="238"/>
      <c r="BW173" s="238"/>
      <c r="BX173" s="238"/>
      <c r="BY173" s="238"/>
      <c r="BZ173" s="238"/>
      <c r="CA173" s="238"/>
      <c r="CB173" s="238"/>
      <c r="CC173" s="238"/>
    </row>
    <row r="174" customFormat="false" ht="13.5" hidden="false" customHeight="false" outlineLevel="0" collapsed="false">
      <c r="C174" s="235" t="n">
        <v>42</v>
      </c>
      <c r="D174" s="236" t="n">
        <f aca="false">IF(C174&lt;=$I$16, EDATE($D$6, C174-1), "")</f>
        <v>1246</v>
      </c>
      <c r="E174" s="236"/>
      <c r="F174" s="236"/>
      <c r="G174" s="236"/>
      <c r="H174" s="236"/>
      <c r="I174" s="236"/>
      <c r="J174" s="236"/>
      <c r="K174" s="236"/>
      <c r="L174" s="236"/>
      <c r="M174" s="236"/>
      <c r="N174" s="237" t="n">
        <f aca="false">IF(C174&lt;=$I$16, $I$17, "")</f>
        <v>0</v>
      </c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AD174" s="235" t="n">
        <v>42</v>
      </c>
      <c r="AE174" s="236" t="n">
        <f aca="false">D174</f>
        <v>1246</v>
      </c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7" t="n">
        <f aca="false">AO173</f>
        <v>0</v>
      </c>
      <c r="AP174" s="237"/>
      <c r="AQ174" s="237"/>
      <c r="AR174" s="237"/>
      <c r="AS174" s="237"/>
      <c r="AT174" s="237"/>
      <c r="AU174" s="237"/>
      <c r="AV174" s="237"/>
      <c r="AW174" s="237"/>
      <c r="AX174" s="237"/>
      <c r="AY174" s="237"/>
      <c r="AZ174" s="237"/>
      <c r="BE174" s="235" t="n">
        <v>42</v>
      </c>
      <c r="BF174" s="236" t="n">
        <f aca="false">AE174</f>
        <v>1246</v>
      </c>
      <c r="BG174" s="236"/>
      <c r="BH174" s="236"/>
      <c r="BI174" s="236"/>
      <c r="BJ174" s="236"/>
      <c r="BK174" s="236"/>
      <c r="BL174" s="236"/>
      <c r="BM174" s="236"/>
      <c r="BN174" s="236"/>
      <c r="BO174" s="236"/>
      <c r="BP174" s="238"/>
      <c r="BQ174" s="238"/>
      <c r="BR174" s="238"/>
      <c r="BS174" s="238"/>
      <c r="BT174" s="238"/>
      <c r="BU174" s="238"/>
      <c r="BV174" s="238"/>
      <c r="BW174" s="238"/>
      <c r="BX174" s="238"/>
      <c r="BY174" s="238"/>
      <c r="BZ174" s="238"/>
      <c r="CA174" s="238"/>
      <c r="CB174" s="238"/>
      <c r="CC174" s="238"/>
    </row>
    <row r="175" customFormat="false" ht="13.5" hidden="false" customHeight="false" outlineLevel="0" collapsed="false">
      <c r="C175" s="235" t="n">
        <v>43</v>
      </c>
      <c r="D175" s="233" t="n">
        <f aca="false">IF(C175&lt;=$I$16, EDATE($D$6, C175-1), "")</f>
        <v>1277</v>
      </c>
      <c r="E175" s="233"/>
      <c r="F175" s="233"/>
      <c r="G175" s="233"/>
      <c r="H175" s="233"/>
      <c r="I175" s="233"/>
      <c r="J175" s="233"/>
      <c r="K175" s="233"/>
      <c r="L175" s="233"/>
      <c r="M175" s="233"/>
      <c r="N175" s="237" t="n">
        <f aca="false">IF(C175&lt;=$I$16, $I$17, "")</f>
        <v>0</v>
      </c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AD175" s="235" t="n">
        <v>43</v>
      </c>
      <c r="AE175" s="236" t="n">
        <f aca="false">D175</f>
        <v>1277</v>
      </c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7" t="n">
        <f aca="false">AO174</f>
        <v>0</v>
      </c>
      <c r="AP175" s="237"/>
      <c r="AQ175" s="237"/>
      <c r="AR175" s="237"/>
      <c r="AS175" s="237"/>
      <c r="AT175" s="237"/>
      <c r="AU175" s="237"/>
      <c r="AV175" s="237"/>
      <c r="AW175" s="237"/>
      <c r="AX175" s="237"/>
      <c r="AY175" s="237"/>
      <c r="AZ175" s="237"/>
      <c r="BE175" s="235" t="n">
        <v>43</v>
      </c>
      <c r="BF175" s="236" t="n">
        <f aca="false">AE175</f>
        <v>1277</v>
      </c>
      <c r="BG175" s="236"/>
      <c r="BH175" s="236"/>
      <c r="BI175" s="236"/>
      <c r="BJ175" s="236"/>
      <c r="BK175" s="236"/>
      <c r="BL175" s="236"/>
      <c r="BM175" s="236"/>
      <c r="BN175" s="236"/>
      <c r="BO175" s="236"/>
      <c r="BP175" s="238"/>
      <c r="BQ175" s="238"/>
      <c r="BR175" s="238"/>
      <c r="BS175" s="238"/>
      <c r="BT175" s="238"/>
      <c r="BU175" s="238"/>
      <c r="BV175" s="238"/>
      <c r="BW175" s="238"/>
      <c r="BX175" s="238"/>
      <c r="BY175" s="238"/>
      <c r="BZ175" s="238"/>
      <c r="CA175" s="238"/>
      <c r="CB175" s="238"/>
      <c r="CC175" s="238"/>
    </row>
    <row r="176" customFormat="false" ht="13.5" hidden="false" customHeight="false" outlineLevel="0" collapsed="false">
      <c r="C176" s="235" t="n">
        <v>44</v>
      </c>
      <c r="D176" s="236" t="n">
        <f aca="false">IF(C176&lt;=$I$16, EDATE($D$6, C176-1), "")</f>
        <v>1307</v>
      </c>
      <c r="E176" s="236"/>
      <c r="F176" s="236"/>
      <c r="G176" s="236"/>
      <c r="H176" s="236"/>
      <c r="I176" s="236"/>
      <c r="J176" s="236"/>
      <c r="K176" s="236"/>
      <c r="L176" s="236"/>
      <c r="M176" s="236"/>
      <c r="N176" s="237" t="n">
        <f aca="false">IF(C176&lt;=$I$16, $I$17, "")</f>
        <v>0</v>
      </c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AD176" s="235" t="n">
        <v>44</v>
      </c>
      <c r="AE176" s="236" t="n">
        <f aca="false">D176</f>
        <v>1307</v>
      </c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7" t="n">
        <f aca="false">AO175</f>
        <v>0</v>
      </c>
      <c r="AP176" s="237"/>
      <c r="AQ176" s="237"/>
      <c r="AR176" s="237"/>
      <c r="AS176" s="237"/>
      <c r="AT176" s="237"/>
      <c r="AU176" s="237"/>
      <c r="AV176" s="237"/>
      <c r="AW176" s="237"/>
      <c r="AX176" s="237"/>
      <c r="AY176" s="237"/>
      <c r="AZ176" s="237"/>
      <c r="BE176" s="235" t="n">
        <v>44</v>
      </c>
      <c r="BF176" s="236" t="n">
        <f aca="false">AE176</f>
        <v>1307</v>
      </c>
      <c r="BG176" s="236"/>
      <c r="BH176" s="236"/>
      <c r="BI176" s="236"/>
      <c r="BJ176" s="236"/>
      <c r="BK176" s="236"/>
      <c r="BL176" s="236"/>
      <c r="BM176" s="236"/>
      <c r="BN176" s="236"/>
      <c r="BO176" s="236"/>
      <c r="BP176" s="238"/>
      <c r="BQ176" s="238"/>
      <c r="BR176" s="238"/>
      <c r="BS176" s="238"/>
      <c r="BT176" s="238"/>
      <c r="BU176" s="238"/>
      <c r="BV176" s="238"/>
      <c r="BW176" s="238"/>
      <c r="BX176" s="238"/>
      <c r="BY176" s="238"/>
      <c r="BZ176" s="238"/>
      <c r="CA176" s="238"/>
      <c r="CB176" s="238"/>
      <c r="CC176" s="238"/>
    </row>
    <row r="177" customFormat="false" ht="13.5" hidden="false" customHeight="false" outlineLevel="0" collapsed="false">
      <c r="C177" s="235" t="n">
        <v>45</v>
      </c>
      <c r="D177" s="236" t="n">
        <f aca="false">IF(C177&lt;=$I$16, EDATE($D$6, C177-1), "")</f>
        <v>1338</v>
      </c>
      <c r="E177" s="236"/>
      <c r="F177" s="236"/>
      <c r="G177" s="236"/>
      <c r="H177" s="236"/>
      <c r="I177" s="236"/>
      <c r="J177" s="236"/>
      <c r="K177" s="236"/>
      <c r="L177" s="236"/>
      <c r="M177" s="236"/>
      <c r="N177" s="237" t="n">
        <f aca="false">IF(C177&lt;=$I$16, $I$17, "")</f>
        <v>0</v>
      </c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AD177" s="235" t="n">
        <v>45</v>
      </c>
      <c r="AE177" s="236" t="n">
        <f aca="false">D177</f>
        <v>1338</v>
      </c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7" t="n">
        <f aca="false">AO176</f>
        <v>0</v>
      </c>
      <c r="AP177" s="237"/>
      <c r="AQ177" s="237"/>
      <c r="AR177" s="237"/>
      <c r="AS177" s="237"/>
      <c r="AT177" s="237"/>
      <c r="AU177" s="237"/>
      <c r="AV177" s="237"/>
      <c r="AW177" s="237"/>
      <c r="AX177" s="237"/>
      <c r="AY177" s="237"/>
      <c r="AZ177" s="237"/>
      <c r="BE177" s="235" t="n">
        <v>45</v>
      </c>
      <c r="BF177" s="236" t="n">
        <f aca="false">AE177</f>
        <v>1338</v>
      </c>
      <c r="BG177" s="236"/>
      <c r="BH177" s="236"/>
      <c r="BI177" s="236"/>
      <c r="BJ177" s="236"/>
      <c r="BK177" s="236"/>
      <c r="BL177" s="236"/>
      <c r="BM177" s="236"/>
      <c r="BN177" s="236"/>
      <c r="BO177" s="236"/>
      <c r="BP177" s="238"/>
      <c r="BQ177" s="238"/>
      <c r="BR177" s="238"/>
      <c r="BS177" s="238"/>
      <c r="BT177" s="238"/>
      <c r="BU177" s="238"/>
      <c r="BV177" s="238"/>
      <c r="BW177" s="238"/>
      <c r="BX177" s="238"/>
      <c r="BY177" s="238"/>
      <c r="BZ177" s="238"/>
      <c r="CA177" s="238"/>
      <c r="CB177" s="238"/>
      <c r="CC177" s="238"/>
    </row>
    <row r="178" customFormat="false" ht="13.5" hidden="false" customHeight="false" outlineLevel="0" collapsed="false">
      <c r="C178" s="235" t="n">
        <v>46</v>
      </c>
      <c r="D178" s="233" t="n">
        <f aca="false">IF(C178&lt;=$I$16, EDATE($D$6, C178-1), "")</f>
        <v>1369</v>
      </c>
      <c r="E178" s="233"/>
      <c r="F178" s="233"/>
      <c r="G178" s="233"/>
      <c r="H178" s="233"/>
      <c r="I178" s="233"/>
      <c r="J178" s="233"/>
      <c r="K178" s="233"/>
      <c r="L178" s="233"/>
      <c r="M178" s="233"/>
      <c r="N178" s="237" t="n">
        <f aca="false">IF(C178&lt;=$I$16, $I$17, "")</f>
        <v>0</v>
      </c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AD178" s="235" t="n">
        <v>46</v>
      </c>
      <c r="AE178" s="236" t="n">
        <f aca="false">D178</f>
        <v>1369</v>
      </c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7" t="n">
        <f aca="false">AO177</f>
        <v>0</v>
      </c>
      <c r="AP178" s="237"/>
      <c r="AQ178" s="237"/>
      <c r="AR178" s="237"/>
      <c r="AS178" s="237"/>
      <c r="AT178" s="237"/>
      <c r="AU178" s="237"/>
      <c r="AV178" s="237"/>
      <c r="AW178" s="237"/>
      <c r="AX178" s="237"/>
      <c r="AY178" s="237"/>
      <c r="AZ178" s="237"/>
      <c r="BE178" s="235" t="n">
        <v>46</v>
      </c>
      <c r="BF178" s="236" t="n">
        <f aca="false">AE178</f>
        <v>1369</v>
      </c>
      <c r="BG178" s="236"/>
      <c r="BH178" s="236"/>
      <c r="BI178" s="236"/>
      <c r="BJ178" s="236"/>
      <c r="BK178" s="236"/>
      <c r="BL178" s="236"/>
      <c r="BM178" s="236"/>
      <c r="BN178" s="236"/>
      <c r="BO178" s="236"/>
      <c r="BP178" s="238"/>
      <c r="BQ178" s="238"/>
      <c r="BR178" s="238"/>
      <c r="BS178" s="238"/>
      <c r="BT178" s="238"/>
      <c r="BU178" s="238"/>
      <c r="BV178" s="238"/>
      <c r="BW178" s="238"/>
      <c r="BX178" s="238"/>
      <c r="BY178" s="238"/>
      <c r="BZ178" s="238"/>
      <c r="CA178" s="238"/>
      <c r="CB178" s="238"/>
      <c r="CC178" s="238"/>
    </row>
    <row r="179" customFormat="false" ht="13.5" hidden="false" customHeight="false" outlineLevel="0" collapsed="false">
      <c r="C179" s="235" t="n">
        <v>47</v>
      </c>
      <c r="D179" s="236" t="n">
        <f aca="false">IF(C179&lt;=$I$16, EDATE($D$6, C179-1), "")</f>
        <v>1399</v>
      </c>
      <c r="E179" s="236"/>
      <c r="F179" s="236"/>
      <c r="G179" s="236"/>
      <c r="H179" s="236"/>
      <c r="I179" s="236"/>
      <c r="J179" s="236"/>
      <c r="K179" s="236"/>
      <c r="L179" s="236"/>
      <c r="M179" s="236"/>
      <c r="N179" s="237" t="n">
        <f aca="false">IF(C179&lt;=$I$16, $I$17, "")</f>
        <v>0</v>
      </c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AD179" s="235" t="n">
        <v>47</v>
      </c>
      <c r="AE179" s="236" t="n">
        <f aca="false">D179</f>
        <v>1399</v>
      </c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7" t="n">
        <f aca="false">AO178</f>
        <v>0</v>
      </c>
      <c r="AP179" s="237"/>
      <c r="AQ179" s="237"/>
      <c r="AR179" s="237"/>
      <c r="AS179" s="237"/>
      <c r="AT179" s="237"/>
      <c r="AU179" s="237"/>
      <c r="AV179" s="237"/>
      <c r="AW179" s="237"/>
      <c r="AX179" s="237"/>
      <c r="AY179" s="237"/>
      <c r="AZ179" s="237"/>
      <c r="BE179" s="235" t="n">
        <v>47</v>
      </c>
      <c r="BF179" s="236" t="n">
        <f aca="false">AE179</f>
        <v>1399</v>
      </c>
      <c r="BG179" s="236"/>
      <c r="BH179" s="236"/>
      <c r="BI179" s="236"/>
      <c r="BJ179" s="236"/>
      <c r="BK179" s="236"/>
      <c r="BL179" s="236"/>
      <c r="BM179" s="236"/>
      <c r="BN179" s="236"/>
      <c r="BO179" s="236"/>
      <c r="BP179" s="238"/>
      <c r="BQ179" s="238"/>
      <c r="BR179" s="238"/>
      <c r="BS179" s="238"/>
      <c r="BT179" s="238"/>
      <c r="BU179" s="238"/>
      <c r="BV179" s="238"/>
      <c r="BW179" s="238"/>
      <c r="BX179" s="238"/>
      <c r="BY179" s="238"/>
      <c r="BZ179" s="238"/>
      <c r="CA179" s="238"/>
      <c r="CB179" s="238"/>
      <c r="CC179" s="238"/>
    </row>
    <row r="180" customFormat="false" ht="13.5" hidden="false" customHeight="false" outlineLevel="0" collapsed="false">
      <c r="C180" s="235" t="n">
        <v>48</v>
      </c>
      <c r="D180" s="236" t="n">
        <f aca="false">IF(C180&lt;=$I$16, EDATE($D$6, C180-1), "")</f>
        <v>1430</v>
      </c>
      <c r="E180" s="236"/>
      <c r="F180" s="236"/>
      <c r="G180" s="236"/>
      <c r="H180" s="236"/>
      <c r="I180" s="236"/>
      <c r="J180" s="236"/>
      <c r="K180" s="236"/>
      <c r="L180" s="236"/>
      <c r="M180" s="236"/>
      <c r="N180" s="237" t="n">
        <f aca="false">IF(C180&lt;=$I$16, $I$17, "")</f>
        <v>0</v>
      </c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AD180" s="235" t="n">
        <v>48</v>
      </c>
      <c r="AE180" s="236" t="n">
        <f aca="false">D180</f>
        <v>1430</v>
      </c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7" t="n">
        <f aca="false">AO179</f>
        <v>0</v>
      </c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7"/>
      <c r="AZ180" s="237"/>
      <c r="BE180" s="235" t="n">
        <v>48</v>
      </c>
      <c r="BF180" s="236" t="n">
        <f aca="false">AE180</f>
        <v>1430</v>
      </c>
      <c r="BG180" s="236"/>
      <c r="BH180" s="236"/>
      <c r="BI180" s="236"/>
      <c r="BJ180" s="236"/>
      <c r="BK180" s="236"/>
      <c r="BL180" s="236"/>
      <c r="BM180" s="236"/>
      <c r="BN180" s="236"/>
      <c r="BO180" s="236"/>
      <c r="BP180" s="238"/>
      <c r="BQ180" s="238"/>
      <c r="BR180" s="238"/>
      <c r="BS180" s="238"/>
      <c r="BT180" s="238"/>
      <c r="BU180" s="238"/>
      <c r="BV180" s="238"/>
      <c r="BW180" s="238"/>
      <c r="BX180" s="238"/>
      <c r="BY180" s="238"/>
      <c r="BZ180" s="238"/>
      <c r="CA180" s="238"/>
      <c r="CB180" s="238"/>
      <c r="CC180" s="238"/>
    </row>
  </sheetData>
  <mergeCells count="526">
    <mergeCell ref="C2:CB2"/>
    <mergeCell ref="D4:L4"/>
    <mergeCell ref="D5:L5"/>
    <mergeCell ref="C7:Y7"/>
    <mergeCell ref="AD7:AZ7"/>
    <mergeCell ref="BE7:CB7"/>
    <mergeCell ref="C8:H8"/>
    <mergeCell ref="I8:Y8"/>
    <mergeCell ref="AD8:AO8"/>
    <mergeCell ref="AP8:AZ8"/>
    <mergeCell ref="BE8:BK8"/>
    <mergeCell ref="BL8:CB8"/>
    <mergeCell ref="C9:H9"/>
    <mergeCell ref="I9:Y9"/>
    <mergeCell ref="AD9:AO9"/>
    <mergeCell ref="AP9:AZ9"/>
    <mergeCell ref="BE9:BK9"/>
    <mergeCell ref="BL9:CB9"/>
    <mergeCell ref="C10:H10"/>
    <mergeCell ref="I10:Y10"/>
    <mergeCell ref="AD10:AO10"/>
    <mergeCell ref="AP10:AZ10"/>
    <mergeCell ref="BE10:BK10"/>
    <mergeCell ref="BL10:CB10"/>
    <mergeCell ref="C11:H11"/>
    <mergeCell ref="I11:Y11"/>
    <mergeCell ref="AD11:AO11"/>
    <mergeCell ref="AP11:AZ11"/>
    <mergeCell ref="BE11:BK11"/>
    <mergeCell ref="BL11:CB11"/>
    <mergeCell ref="C12:H12"/>
    <mergeCell ref="I12:Y12"/>
    <mergeCell ref="AD12:AO12"/>
    <mergeCell ref="AP12:AZ12"/>
    <mergeCell ref="BE12:BK12"/>
    <mergeCell ref="BL12:CB12"/>
    <mergeCell ref="C13:H13"/>
    <mergeCell ref="I13:Y13"/>
    <mergeCell ref="AD13:AO13"/>
    <mergeCell ref="AP13:AZ13"/>
    <mergeCell ref="BE13:BK13"/>
    <mergeCell ref="BL13:CB13"/>
    <mergeCell ref="C14:H14"/>
    <mergeCell ref="I14:Y14"/>
    <mergeCell ref="AD14:AO14"/>
    <mergeCell ref="AP14:AZ14"/>
    <mergeCell ref="BE14:BK15"/>
    <mergeCell ref="BL14:CB15"/>
    <mergeCell ref="C15:H15"/>
    <mergeCell ref="I15:Y15"/>
    <mergeCell ref="AD15:AO15"/>
    <mergeCell ref="AP15:AZ15"/>
    <mergeCell ref="C16:H16"/>
    <mergeCell ref="I16:Y16"/>
    <mergeCell ref="AD16:AO16"/>
    <mergeCell ref="AP16:AZ16"/>
    <mergeCell ref="C17:H17"/>
    <mergeCell ref="I17:Y17"/>
    <mergeCell ref="AD17:AO17"/>
    <mergeCell ref="AP17:AZ17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C19:H19"/>
    <mergeCell ref="I19:Y19"/>
    <mergeCell ref="AD19:AO19"/>
    <mergeCell ref="AP19:AZ19"/>
    <mergeCell ref="BE19:BK19"/>
    <mergeCell ref="BL19:CB19"/>
    <mergeCell ref="AD20:AO20"/>
    <mergeCell ref="AP20:AZ20"/>
    <mergeCell ref="BE20:BK20"/>
    <mergeCell ref="BL20:CB20"/>
    <mergeCell ref="C26:Y26"/>
    <mergeCell ref="AD26:AZ26"/>
    <mergeCell ref="H30:S30"/>
    <mergeCell ref="AD30:AH30"/>
    <mergeCell ref="AI30:AT30"/>
    <mergeCell ref="BE30:BH30"/>
    <mergeCell ref="BK30:CB30"/>
    <mergeCell ref="H31:Q31"/>
    <mergeCell ref="AI31:AR31"/>
    <mergeCell ref="BE31:BH32"/>
    <mergeCell ref="BK31:CB32"/>
    <mergeCell ref="I32:O32"/>
    <mergeCell ref="AJ32:AP32"/>
    <mergeCell ref="C34:C48"/>
    <mergeCell ref="E34:E48"/>
    <mergeCell ref="G34:G48"/>
    <mergeCell ref="I34:I48"/>
    <mergeCell ref="O34:O39"/>
    <mergeCell ref="Q34:Q39"/>
    <mergeCell ref="S34:S39"/>
    <mergeCell ref="U34:U36"/>
    <mergeCell ref="W34:W39"/>
    <mergeCell ref="Y34:Y39"/>
    <mergeCell ref="AD34:AD48"/>
    <mergeCell ref="AF34:AF48"/>
    <mergeCell ref="AH34:AH48"/>
    <mergeCell ref="AJ34:AJ48"/>
    <mergeCell ref="AP34:AP39"/>
    <mergeCell ref="AR34:AR39"/>
    <mergeCell ref="AT34:AT39"/>
    <mergeCell ref="AV34:AV36"/>
    <mergeCell ref="AX34:AX39"/>
    <mergeCell ref="AZ34:AZ39"/>
    <mergeCell ref="BE39:CB45"/>
    <mergeCell ref="O42:O47"/>
    <mergeCell ref="Q42:Q47"/>
    <mergeCell ref="S42:S47"/>
    <mergeCell ref="U42:U44"/>
    <mergeCell ref="W42:W47"/>
    <mergeCell ref="Y42:Y47"/>
    <mergeCell ref="AP42:AP47"/>
    <mergeCell ref="AR42:AR47"/>
    <mergeCell ref="AT42:AT47"/>
    <mergeCell ref="AV42:AV44"/>
    <mergeCell ref="AX42:AX47"/>
    <mergeCell ref="AZ42:AZ47"/>
    <mergeCell ref="BE46:CB49"/>
    <mergeCell ref="C50:C64"/>
    <mergeCell ref="E50:E64"/>
    <mergeCell ref="G50:G64"/>
    <mergeCell ref="I50:I64"/>
    <mergeCell ref="O50:O55"/>
    <mergeCell ref="Q50:Q55"/>
    <mergeCell ref="S50:S55"/>
    <mergeCell ref="U50:U52"/>
    <mergeCell ref="W50:W55"/>
    <mergeCell ref="Y50:Y55"/>
    <mergeCell ref="AD50:AD64"/>
    <mergeCell ref="AF50:AF64"/>
    <mergeCell ref="AH50:AH64"/>
    <mergeCell ref="AJ50:AJ64"/>
    <mergeCell ref="AP50:AP55"/>
    <mergeCell ref="AR50:AR55"/>
    <mergeCell ref="AT50:AT55"/>
    <mergeCell ref="AV50:AV52"/>
    <mergeCell ref="AX50:AX55"/>
    <mergeCell ref="AZ50:AZ55"/>
    <mergeCell ref="O58:O63"/>
    <mergeCell ref="Q58:Q63"/>
    <mergeCell ref="S58:S63"/>
    <mergeCell ref="U58:U60"/>
    <mergeCell ref="W58:W63"/>
    <mergeCell ref="Y58:Y63"/>
    <mergeCell ref="AP58:AP63"/>
    <mergeCell ref="AR58:AR63"/>
    <mergeCell ref="AT58:AT63"/>
    <mergeCell ref="AV58:AV60"/>
    <mergeCell ref="AX58:AX63"/>
    <mergeCell ref="AZ58:AZ63"/>
    <mergeCell ref="C66:C80"/>
    <mergeCell ref="E66:E80"/>
    <mergeCell ref="G66:G80"/>
    <mergeCell ref="I66:I80"/>
    <mergeCell ref="O66:S71"/>
    <mergeCell ref="U66:U68"/>
    <mergeCell ref="W66:W71"/>
    <mergeCell ref="Y66:Y71"/>
    <mergeCell ref="AD66:AD80"/>
    <mergeCell ref="AF66:AF80"/>
    <mergeCell ref="AH66:AH80"/>
    <mergeCell ref="AJ66:AJ80"/>
    <mergeCell ref="AP66:AT71"/>
    <mergeCell ref="AV66:AV68"/>
    <mergeCell ref="AX66:AX71"/>
    <mergeCell ref="AZ66:AZ71"/>
    <mergeCell ref="O74:S79"/>
    <mergeCell ref="U74:U76"/>
    <mergeCell ref="W74:W79"/>
    <mergeCell ref="Y74:Y79"/>
    <mergeCell ref="AP74:AT79"/>
    <mergeCell ref="AV74:AV76"/>
    <mergeCell ref="AX74:AX79"/>
    <mergeCell ref="AZ74:AZ79"/>
    <mergeCell ref="C82:C96"/>
    <mergeCell ref="E82:E96"/>
    <mergeCell ref="G82:G96"/>
    <mergeCell ref="I82:I96"/>
    <mergeCell ref="O82:U87"/>
    <mergeCell ref="W82:W87"/>
    <mergeCell ref="Y82:Y87"/>
    <mergeCell ref="AD82:AD96"/>
    <mergeCell ref="AF82:AF96"/>
    <mergeCell ref="AH82:AH96"/>
    <mergeCell ref="AJ82:AJ96"/>
    <mergeCell ref="AP82:AV87"/>
    <mergeCell ref="AX82:AX87"/>
    <mergeCell ref="AZ82:AZ87"/>
    <mergeCell ref="O90:U95"/>
    <mergeCell ref="W90:W95"/>
    <mergeCell ref="Y90:Y95"/>
    <mergeCell ref="AP90:AV95"/>
    <mergeCell ref="AX90:AX95"/>
    <mergeCell ref="AZ90:AZ95"/>
    <mergeCell ref="C98:C112"/>
    <mergeCell ref="E98:E112"/>
    <mergeCell ref="G98:G112"/>
    <mergeCell ref="I98:I112"/>
    <mergeCell ref="O98:U103"/>
    <mergeCell ref="AD98:AD112"/>
    <mergeCell ref="AF98:AF112"/>
    <mergeCell ref="AH98:AH112"/>
    <mergeCell ref="AJ98:AJ112"/>
    <mergeCell ref="AP98:AV103"/>
    <mergeCell ref="O106:U111"/>
    <mergeCell ref="AP106:AV111"/>
    <mergeCell ref="C114:C120"/>
    <mergeCell ref="E114:E120"/>
    <mergeCell ref="G114:G120"/>
    <mergeCell ref="I114:I120"/>
    <mergeCell ref="K114:S120"/>
    <mergeCell ref="AD114:AD120"/>
    <mergeCell ref="AF114:AF120"/>
    <mergeCell ref="AH114:AH120"/>
    <mergeCell ref="AJ114:AJ120"/>
    <mergeCell ref="AL114:AT120"/>
    <mergeCell ref="C122:C129"/>
    <mergeCell ref="E122:E129"/>
    <mergeCell ref="G122:G129"/>
    <mergeCell ref="AD122:AD129"/>
    <mergeCell ref="AF122:AF129"/>
    <mergeCell ref="AH122:AH129"/>
    <mergeCell ref="C131:Y131"/>
    <mergeCell ref="AD131:AZ131"/>
    <mergeCell ref="BE131:CC131"/>
    <mergeCell ref="D132:M132"/>
    <mergeCell ref="N132:Y132"/>
    <mergeCell ref="AE132:AN132"/>
    <mergeCell ref="AO132:AZ132"/>
    <mergeCell ref="BF132:BO132"/>
    <mergeCell ref="BP132:CC132"/>
    <mergeCell ref="D133:M133"/>
    <mergeCell ref="N133:Y133"/>
    <mergeCell ref="AE133:AN133"/>
    <mergeCell ref="AO133:AZ133"/>
    <mergeCell ref="BF133:BO133"/>
    <mergeCell ref="BP133:CC133"/>
    <mergeCell ref="D134:M134"/>
    <mergeCell ref="N134:Y134"/>
    <mergeCell ref="AE134:AN134"/>
    <mergeCell ref="AO134:AZ134"/>
    <mergeCell ref="BF134:BO134"/>
    <mergeCell ref="BP134:CC134"/>
    <mergeCell ref="D135:M135"/>
    <mergeCell ref="N135:Y135"/>
    <mergeCell ref="AE135:AN135"/>
    <mergeCell ref="AO135:AZ135"/>
    <mergeCell ref="BF135:BO135"/>
    <mergeCell ref="BP135:CC135"/>
    <mergeCell ref="D136:M136"/>
    <mergeCell ref="N136:Y136"/>
    <mergeCell ref="AE136:AN136"/>
    <mergeCell ref="AO136:AZ136"/>
    <mergeCell ref="BF136:BO136"/>
    <mergeCell ref="BP136:CC136"/>
    <mergeCell ref="D137:M137"/>
    <mergeCell ref="N137:Y137"/>
    <mergeCell ref="AE137:AN137"/>
    <mergeCell ref="AO137:AZ137"/>
    <mergeCell ref="BF137:BO137"/>
    <mergeCell ref="BP137:CC137"/>
    <mergeCell ref="D138:M138"/>
    <mergeCell ref="N138:Y138"/>
    <mergeCell ref="AE138:AN138"/>
    <mergeCell ref="AO138:AZ138"/>
    <mergeCell ref="BF138:BO138"/>
    <mergeCell ref="BP138:CC138"/>
    <mergeCell ref="D139:M139"/>
    <mergeCell ref="N139:Y139"/>
    <mergeCell ref="AE139:AN139"/>
    <mergeCell ref="AO139:AZ139"/>
    <mergeCell ref="BF139:BO139"/>
    <mergeCell ref="BP139:CC139"/>
    <mergeCell ref="D140:M140"/>
    <mergeCell ref="N140:Y140"/>
    <mergeCell ref="AE140:AN140"/>
    <mergeCell ref="AO140:AZ140"/>
    <mergeCell ref="BF140:BO140"/>
    <mergeCell ref="BP140:CC140"/>
    <mergeCell ref="D141:M141"/>
    <mergeCell ref="N141:Y141"/>
    <mergeCell ref="AE141:AN141"/>
    <mergeCell ref="AO141:AZ141"/>
    <mergeCell ref="BF141:BO141"/>
    <mergeCell ref="BP141:CC141"/>
    <mergeCell ref="D142:M142"/>
    <mergeCell ref="N142:Y142"/>
    <mergeCell ref="AE142:AN142"/>
    <mergeCell ref="AO142:AZ142"/>
    <mergeCell ref="BF142:BO142"/>
    <mergeCell ref="BP142:CC142"/>
    <mergeCell ref="D143:M143"/>
    <mergeCell ref="N143:Y143"/>
    <mergeCell ref="AE143:AN143"/>
    <mergeCell ref="AO143:AZ143"/>
    <mergeCell ref="BF143:BO143"/>
    <mergeCell ref="BP143:CC143"/>
    <mergeCell ref="D144:M144"/>
    <mergeCell ref="N144:Y144"/>
    <mergeCell ref="AE144:AN144"/>
    <mergeCell ref="AO144:AZ144"/>
    <mergeCell ref="BF144:BO144"/>
    <mergeCell ref="BP144:CC144"/>
    <mergeCell ref="D145:M145"/>
    <mergeCell ref="N145:Y145"/>
    <mergeCell ref="AE145:AN145"/>
    <mergeCell ref="AO145:AZ145"/>
    <mergeCell ref="BF145:BO145"/>
    <mergeCell ref="BP145:CC145"/>
    <mergeCell ref="D146:M146"/>
    <mergeCell ref="N146:Y146"/>
    <mergeCell ref="AE146:AN146"/>
    <mergeCell ref="AO146:AZ146"/>
    <mergeCell ref="BF146:BO146"/>
    <mergeCell ref="BP146:CC146"/>
    <mergeCell ref="D147:M147"/>
    <mergeCell ref="N147:Y147"/>
    <mergeCell ref="AE147:AN147"/>
    <mergeCell ref="AO147:AZ147"/>
    <mergeCell ref="BF147:BO147"/>
    <mergeCell ref="BP147:CC147"/>
    <mergeCell ref="D148:M148"/>
    <mergeCell ref="N148:Y148"/>
    <mergeCell ref="AE148:AN148"/>
    <mergeCell ref="AO148:AZ148"/>
    <mergeCell ref="BF148:BO148"/>
    <mergeCell ref="BP148:CC148"/>
    <mergeCell ref="D149:M149"/>
    <mergeCell ref="N149:Y149"/>
    <mergeCell ref="AE149:AN149"/>
    <mergeCell ref="AO149:AZ149"/>
    <mergeCell ref="BF149:BO149"/>
    <mergeCell ref="BP149:CC149"/>
    <mergeCell ref="D150:M150"/>
    <mergeCell ref="N150:Y150"/>
    <mergeCell ref="AE150:AN150"/>
    <mergeCell ref="AO150:AZ150"/>
    <mergeCell ref="BF150:BO150"/>
    <mergeCell ref="BP150:CC150"/>
    <mergeCell ref="D151:M151"/>
    <mergeCell ref="N151:Y151"/>
    <mergeCell ref="AE151:AN151"/>
    <mergeCell ref="AO151:AZ151"/>
    <mergeCell ref="BF151:BO151"/>
    <mergeCell ref="BP151:CC151"/>
    <mergeCell ref="D152:M152"/>
    <mergeCell ref="N152:Y152"/>
    <mergeCell ref="AE152:AN152"/>
    <mergeCell ref="AO152:AZ152"/>
    <mergeCell ref="BF152:BO152"/>
    <mergeCell ref="BP152:CC152"/>
    <mergeCell ref="D153:M153"/>
    <mergeCell ref="N153:Y153"/>
    <mergeCell ref="AE153:AN153"/>
    <mergeCell ref="AO153:AZ153"/>
    <mergeCell ref="BF153:BO153"/>
    <mergeCell ref="BP153:CC153"/>
    <mergeCell ref="D154:M154"/>
    <mergeCell ref="N154:Y154"/>
    <mergeCell ref="AE154:AN154"/>
    <mergeCell ref="AO154:AZ154"/>
    <mergeCell ref="BF154:BO154"/>
    <mergeCell ref="BP154:CC154"/>
    <mergeCell ref="D155:M155"/>
    <mergeCell ref="N155:Y155"/>
    <mergeCell ref="AE155:AN155"/>
    <mergeCell ref="AO155:AZ155"/>
    <mergeCell ref="BF155:BO155"/>
    <mergeCell ref="BP155:CC155"/>
    <mergeCell ref="D156:M156"/>
    <mergeCell ref="N156:Y156"/>
    <mergeCell ref="AE156:AN156"/>
    <mergeCell ref="AO156:AZ156"/>
    <mergeCell ref="BF156:BO156"/>
    <mergeCell ref="BP156:CC156"/>
    <mergeCell ref="D157:M157"/>
    <mergeCell ref="N157:Y157"/>
    <mergeCell ref="AE157:AN157"/>
    <mergeCell ref="AO157:AZ157"/>
    <mergeCell ref="BF157:BO157"/>
    <mergeCell ref="BP157:CC157"/>
    <mergeCell ref="D158:M158"/>
    <mergeCell ref="N158:Y158"/>
    <mergeCell ref="AE158:AN158"/>
    <mergeCell ref="AO158:AZ158"/>
    <mergeCell ref="BF158:BO158"/>
    <mergeCell ref="BP158:CC158"/>
    <mergeCell ref="D159:M159"/>
    <mergeCell ref="N159:Y159"/>
    <mergeCell ref="AE159:AN159"/>
    <mergeCell ref="AO159:AZ159"/>
    <mergeCell ref="BF159:BO159"/>
    <mergeCell ref="BP159:CC159"/>
    <mergeCell ref="D160:M160"/>
    <mergeCell ref="N160:Y160"/>
    <mergeCell ref="AE160:AN160"/>
    <mergeCell ref="AO160:AZ160"/>
    <mergeCell ref="BF160:BO160"/>
    <mergeCell ref="BP160:CC160"/>
    <mergeCell ref="D161:M161"/>
    <mergeCell ref="N161:Y161"/>
    <mergeCell ref="AE161:AN161"/>
    <mergeCell ref="AO161:AZ161"/>
    <mergeCell ref="BF161:BO161"/>
    <mergeCell ref="BP161:CC161"/>
    <mergeCell ref="D162:M162"/>
    <mergeCell ref="N162:Y162"/>
    <mergeCell ref="AE162:AN162"/>
    <mergeCell ref="AO162:AZ162"/>
    <mergeCell ref="BF162:BO162"/>
    <mergeCell ref="BP162:CC162"/>
    <mergeCell ref="D163:M163"/>
    <mergeCell ref="N163:Y163"/>
    <mergeCell ref="AE163:AN163"/>
    <mergeCell ref="AO163:AZ163"/>
    <mergeCell ref="BF163:BO163"/>
    <mergeCell ref="BP163:CC163"/>
    <mergeCell ref="D164:M164"/>
    <mergeCell ref="N164:Y164"/>
    <mergeCell ref="AE164:AN164"/>
    <mergeCell ref="AO164:AZ164"/>
    <mergeCell ref="BF164:BO164"/>
    <mergeCell ref="BP164:CC164"/>
    <mergeCell ref="D165:M165"/>
    <mergeCell ref="N165:Y165"/>
    <mergeCell ref="AE165:AN165"/>
    <mergeCell ref="AO165:AZ165"/>
    <mergeCell ref="BF165:BO165"/>
    <mergeCell ref="BP165:CC165"/>
    <mergeCell ref="D166:M166"/>
    <mergeCell ref="N166:Y166"/>
    <mergeCell ref="AE166:AN166"/>
    <mergeCell ref="AO166:AZ166"/>
    <mergeCell ref="BF166:BO166"/>
    <mergeCell ref="BP166:CC166"/>
    <mergeCell ref="D167:M167"/>
    <mergeCell ref="N167:Y167"/>
    <mergeCell ref="AE167:AN167"/>
    <mergeCell ref="AO167:AZ167"/>
    <mergeCell ref="BF167:BO167"/>
    <mergeCell ref="BP167:CC167"/>
    <mergeCell ref="D168:M168"/>
    <mergeCell ref="N168:Y168"/>
    <mergeCell ref="AE168:AN168"/>
    <mergeCell ref="AO168:AZ168"/>
    <mergeCell ref="BF168:BO168"/>
    <mergeCell ref="BP168:CC168"/>
    <mergeCell ref="D169:M169"/>
    <mergeCell ref="N169:Y169"/>
    <mergeCell ref="AE169:AN169"/>
    <mergeCell ref="AO169:AZ169"/>
    <mergeCell ref="BF169:BO169"/>
    <mergeCell ref="BP169:CC169"/>
    <mergeCell ref="D170:M170"/>
    <mergeCell ref="N170:Y170"/>
    <mergeCell ref="AE170:AN170"/>
    <mergeCell ref="AO170:AZ170"/>
    <mergeCell ref="BF170:BO170"/>
    <mergeCell ref="BP170:CC170"/>
    <mergeCell ref="D171:M171"/>
    <mergeCell ref="N171:Y171"/>
    <mergeCell ref="AE171:AN171"/>
    <mergeCell ref="AO171:AZ171"/>
    <mergeCell ref="BF171:BO171"/>
    <mergeCell ref="BP171:CC171"/>
    <mergeCell ref="D172:M172"/>
    <mergeCell ref="N172:Y172"/>
    <mergeCell ref="AE172:AN172"/>
    <mergeCell ref="AO172:AZ172"/>
    <mergeCell ref="BF172:BO172"/>
    <mergeCell ref="BP172:CC172"/>
    <mergeCell ref="D173:M173"/>
    <mergeCell ref="N173:Y173"/>
    <mergeCell ref="AE173:AN173"/>
    <mergeCell ref="AO173:AZ173"/>
    <mergeCell ref="BF173:BO173"/>
    <mergeCell ref="BP173:CC173"/>
    <mergeCell ref="D174:M174"/>
    <mergeCell ref="N174:Y174"/>
    <mergeCell ref="AE174:AN174"/>
    <mergeCell ref="AO174:AZ174"/>
    <mergeCell ref="BF174:BO174"/>
    <mergeCell ref="BP174:CC174"/>
    <mergeCell ref="D175:M175"/>
    <mergeCell ref="N175:Y175"/>
    <mergeCell ref="AE175:AN175"/>
    <mergeCell ref="AO175:AZ175"/>
    <mergeCell ref="BF175:BO175"/>
    <mergeCell ref="BP175:CC175"/>
    <mergeCell ref="D176:M176"/>
    <mergeCell ref="N176:Y176"/>
    <mergeCell ref="AE176:AN176"/>
    <mergeCell ref="AO176:AZ176"/>
    <mergeCell ref="BF176:BO176"/>
    <mergeCell ref="BP176:CC176"/>
    <mergeCell ref="D177:M177"/>
    <mergeCell ref="N177:Y177"/>
    <mergeCell ref="AE177:AN177"/>
    <mergeCell ref="AO177:AZ177"/>
    <mergeCell ref="BF177:BO177"/>
    <mergeCell ref="BP177:CC177"/>
    <mergeCell ref="D178:M178"/>
    <mergeCell ref="N178:Y178"/>
    <mergeCell ref="AE178:AN178"/>
    <mergeCell ref="AO178:AZ178"/>
    <mergeCell ref="BF178:BO178"/>
    <mergeCell ref="BP178:CC178"/>
    <mergeCell ref="D179:M179"/>
    <mergeCell ref="N179:Y179"/>
    <mergeCell ref="AE179:AN179"/>
    <mergeCell ref="AO179:AZ179"/>
    <mergeCell ref="BF179:BO179"/>
    <mergeCell ref="BP179:CC179"/>
    <mergeCell ref="D180:M180"/>
    <mergeCell ref="N180:Y180"/>
    <mergeCell ref="AE180:AN180"/>
    <mergeCell ref="AO180:AZ180"/>
    <mergeCell ref="BF180:BO180"/>
    <mergeCell ref="BP180:CC180"/>
  </mergeCells>
  <printOptions headings="false" gridLines="false" gridLinesSet="true" horizontalCentered="false" verticalCentered="false"/>
  <pageMargins left="0.275694444444444" right="0.275694444444444" top="0.275694444444444" bottom="0.275694444444444" header="0.118055555555556" footer="0.11805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&amp;C&amp;"Calibri,Bold"&amp;14Cálculo de Ação Crefaz</oddHeader>
    <oddFooter>&amp;RPágina &amp;P de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L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0.71484375" defaultRowHeight="13.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1"/>
    <col collapsed="false" customWidth="true" hidden="false" outlineLevel="0" max="3" min="3" style="1" width="17.42"/>
    <col collapsed="false" customWidth="true" hidden="false" outlineLevel="0" max="6" min="4" style="1" width="1"/>
    <col collapsed="false" customWidth="true" hidden="false" outlineLevel="0" max="7" min="7" style="1" width="10.42"/>
    <col collapsed="false" customWidth="false" hidden="false" outlineLevel="0" max="8" min="8" style="1" width="0.71"/>
    <col collapsed="false" customWidth="true" hidden="false" outlineLevel="0" max="9" min="9" style="1" width="1.57"/>
    <col collapsed="false" customWidth="false" hidden="false" outlineLevel="0" max="11" min="10" style="1" width="0.71"/>
    <col collapsed="false" customWidth="true" hidden="false" outlineLevel="0" max="12" min="12" style="1" width="3.29"/>
    <col collapsed="false" customWidth="false" hidden="false" outlineLevel="0" max="14" min="13" style="1" width="0.71"/>
    <col collapsed="false" customWidth="true" hidden="false" outlineLevel="0" max="15" min="15" style="1" width="2.15"/>
    <col collapsed="false" customWidth="false" hidden="false" outlineLevel="0" max="16" min="16" style="1" width="0.71"/>
    <col collapsed="false" customWidth="true" hidden="false" outlineLevel="0" max="17" min="17" style="1" width="1.57"/>
    <col collapsed="false" customWidth="false" hidden="false" outlineLevel="0" max="18" min="18" style="1" width="0.71"/>
    <col collapsed="false" customWidth="true" hidden="false" outlineLevel="0" max="19" min="19" style="1" width="6"/>
    <col collapsed="false" customWidth="false" hidden="false" outlineLevel="0" max="20" min="20" style="1" width="0.71"/>
    <col collapsed="false" customWidth="true" hidden="false" outlineLevel="0" max="21" min="21" style="1" width="2.42"/>
    <col collapsed="false" customWidth="false" hidden="false" outlineLevel="0" max="22" min="22" style="1" width="0.71"/>
    <col collapsed="false" customWidth="true" hidden="false" outlineLevel="0" max="23" min="23" style="1" width="1.57"/>
    <col collapsed="false" customWidth="false" hidden="false" outlineLevel="0" max="24" min="24" style="1" width="0.71"/>
    <col collapsed="false" customWidth="true" hidden="false" outlineLevel="0" max="25" min="25" style="1" width="6.14"/>
    <col collapsed="false" customWidth="false" hidden="false" outlineLevel="0" max="28" min="26" style="1" width="0.71"/>
    <col collapsed="false" customWidth="true" hidden="false" outlineLevel="0" max="29" min="29" style="1" width="1.57"/>
    <col collapsed="false" customWidth="true" hidden="false" outlineLevel="0" max="30" min="30" style="1" width="12.71"/>
    <col collapsed="false" customWidth="false" hidden="false" outlineLevel="0" max="31" min="31" style="1" width="0.71"/>
    <col collapsed="false" customWidth="true" hidden="false" outlineLevel="0" max="32" min="32" style="1" width="2.29"/>
    <col collapsed="false" customWidth="false" hidden="false" outlineLevel="0" max="33" min="33" style="1" width="0.71"/>
    <col collapsed="false" customWidth="true" hidden="false" outlineLevel="0" max="34" min="34" style="1" width="13.57"/>
    <col collapsed="false" customWidth="false" hidden="false" outlineLevel="0" max="35" min="35" style="1" width="0.71"/>
    <col collapsed="false" customWidth="true" hidden="false" outlineLevel="0" max="36" min="36" style="1" width="1.57"/>
    <col collapsed="false" customWidth="false" hidden="false" outlineLevel="0" max="41" min="37" style="1" width="0.71"/>
    <col collapsed="false" customWidth="true" hidden="false" outlineLevel="0" max="42" min="42" style="1" width="2.15"/>
    <col collapsed="false" customWidth="false" hidden="false" outlineLevel="0" max="43" min="43" style="1" width="0.71"/>
    <col collapsed="false" customWidth="true" hidden="false" outlineLevel="0" max="44" min="44" style="1" width="1.57"/>
    <col collapsed="false" customWidth="false" hidden="false" outlineLevel="0" max="45" min="45" style="1" width="0.71"/>
    <col collapsed="false" customWidth="true" hidden="false" outlineLevel="0" max="46" min="46" style="1" width="5.86"/>
    <col collapsed="false" customWidth="false" hidden="false" outlineLevel="0" max="47" min="47" style="1" width="0.71"/>
    <col collapsed="false" customWidth="true" hidden="false" outlineLevel="0" max="48" min="48" style="1" width="2.29"/>
    <col collapsed="false" customWidth="false" hidden="false" outlineLevel="0" max="49" min="49" style="1" width="0.71"/>
    <col collapsed="false" customWidth="true" hidden="false" outlineLevel="0" max="50" min="50" style="1" width="1.57"/>
    <col collapsed="false" customWidth="false" hidden="false" outlineLevel="0" max="51" min="51" style="1" width="0.71"/>
    <col collapsed="false" customWidth="true" hidden="false" outlineLevel="0" max="52" min="52" style="1" width="5.86"/>
    <col collapsed="false" customWidth="false" hidden="false" outlineLevel="0" max="56" min="53" style="1" width="0.71"/>
    <col collapsed="false" customWidth="true" hidden="false" outlineLevel="0" max="57" min="57" style="1" width="21"/>
    <col collapsed="false" customWidth="false" hidden="true" outlineLevel="0" max="58" min="58" style="1" width="0.71"/>
    <col collapsed="false" customWidth="true" hidden="false" outlineLevel="0" max="59" min="59" style="1" width="2.29"/>
    <col collapsed="false" customWidth="true" hidden="false" outlineLevel="0" max="60" min="60" style="1" width="4.42"/>
    <col collapsed="false" customWidth="true" hidden="false" outlineLevel="0" max="61" min="61" style="1" width="1.71"/>
    <col collapsed="false" customWidth="true" hidden="true" outlineLevel="0" max="62" min="62" style="1" width="7.42"/>
    <col collapsed="false" customWidth="true" hidden="false" outlineLevel="0" max="63" min="63" style="1" width="2.15"/>
    <col collapsed="false" customWidth="true" hidden="false" outlineLevel="0" max="64" min="64" style="1" width="4.57"/>
    <col collapsed="false" customWidth="false" hidden="false" outlineLevel="0" max="65" min="65" style="1" width="0.71"/>
    <col collapsed="false" customWidth="true" hidden="false" outlineLevel="0" max="66" min="66" style="1" width="1.57"/>
    <col collapsed="false" customWidth="false" hidden="false" outlineLevel="0" max="71" min="67" style="1" width="0.71"/>
    <col collapsed="false" customWidth="true" hidden="false" outlineLevel="0" max="72" min="72" style="1" width="2.15"/>
    <col collapsed="false" customWidth="false" hidden="false" outlineLevel="0" max="73" min="73" style="1" width="0.71"/>
    <col collapsed="false" customWidth="true" hidden="false" outlineLevel="0" max="74" min="74" style="1" width="1.57"/>
    <col collapsed="false" customWidth="false" hidden="false" outlineLevel="0" max="75" min="75" style="1" width="0.71"/>
    <col collapsed="false" customWidth="true" hidden="false" outlineLevel="0" max="76" min="76" style="1" width="4.42"/>
    <col collapsed="false" customWidth="false" hidden="false" outlineLevel="0" max="77" min="77" style="1" width="0.71"/>
    <col collapsed="false" customWidth="true" hidden="false" outlineLevel="0" max="78" min="78" style="1" width="4"/>
    <col collapsed="false" customWidth="false" hidden="false" outlineLevel="0" max="79" min="79" style="1" width="0.71"/>
    <col collapsed="false" customWidth="true" hidden="false" outlineLevel="0" max="80" min="80" style="1" width="1.57"/>
    <col collapsed="false" customWidth="false" hidden="false" outlineLevel="0" max="81" min="81" style="1" width="0.71"/>
    <col collapsed="false" customWidth="true" hidden="false" outlineLevel="0" max="82" min="82" style="1" width="10"/>
    <col collapsed="false" customWidth="true" hidden="false" outlineLevel="0" max="83" min="83" style="2" width="12.57"/>
    <col collapsed="false" customWidth="false" hidden="false" outlineLevel="0" max="86" min="84" style="1" width="0.71"/>
    <col collapsed="false" customWidth="true" hidden="false" outlineLevel="0" max="87" min="87" style="3" width="12.42"/>
    <col collapsed="false" customWidth="true" hidden="false" outlineLevel="0" max="88" min="88" style="1" width="6.29"/>
    <col collapsed="false" customWidth="true" hidden="false" outlineLevel="0" max="89" min="89" style="2" width="12.57"/>
    <col collapsed="false" customWidth="true" hidden="false" outlineLevel="0" max="90" min="90" style="3" width="13.29"/>
    <col collapsed="false" customWidth="false" hidden="false" outlineLevel="0" max="303" min="91" style="1" width="0.71"/>
    <col collapsed="false" customWidth="true" hidden="false" outlineLevel="0" max="304" min="304" style="1" width="3.42"/>
    <col collapsed="false" customWidth="true" hidden="false" outlineLevel="0" max="305" min="305" style="1" width="2.42"/>
    <col collapsed="false" customWidth="true" hidden="false" outlineLevel="0" max="306" min="306" style="1" width="7"/>
    <col collapsed="false" customWidth="false" hidden="false" outlineLevel="0" max="307" min="307" style="1" width="0.71"/>
    <col collapsed="false" customWidth="true" hidden="false" outlineLevel="0" max="308" min="308" style="1" width="1.57"/>
    <col collapsed="false" customWidth="false" hidden="false" outlineLevel="0" max="309" min="309" style="1" width="0.71"/>
    <col collapsed="false" customWidth="true" hidden="false" outlineLevel="0" max="310" min="310" style="1" width="11.29"/>
    <col collapsed="false" customWidth="false" hidden="false" outlineLevel="0" max="311" min="311" style="1" width="0.71"/>
    <col collapsed="false" customWidth="true" hidden="false" outlineLevel="0" max="312" min="312" style="1" width="1.57"/>
    <col collapsed="false" customWidth="false" hidden="false" outlineLevel="0" max="317" min="313" style="1" width="0.71"/>
    <col collapsed="false" customWidth="true" hidden="false" outlineLevel="0" max="318" min="318" style="1" width="2.15"/>
    <col collapsed="false" customWidth="false" hidden="false" outlineLevel="0" max="319" min="319" style="1" width="0.71"/>
    <col collapsed="false" customWidth="true" hidden="false" outlineLevel="0" max="320" min="320" style="1" width="1.57"/>
    <col collapsed="false" customWidth="false" hidden="false" outlineLevel="0" max="321" min="321" style="1" width="0.71"/>
    <col collapsed="false" customWidth="true" hidden="false" outlineLevel="0" max="322" min="322" style="1" width="7"/>
    <col collapsed="false" customWidth="false" hidden="false" outlineLevel="0" max="323" min="323" style="1" width="0.71"/>
    <col collapsed="false" customWidth="true" hidden="false" outlineLevel="0" max="324" min="324" style="1" width="4"/>
    <col collapsed="false" customWidth="false" hidden="false" outlineLevel="0" max="325" min="325" style="1" width="0.71"/>
    <col collapsed="false" customWidth="true" hidden="false" outlineLevel="0" max="326" min="326" style="1" width="1.57"/>
    <col collapsed="false" customWidth="false" hidden="false" outlineLevel="0" max="327" min="327" style="1" width="0.71"/>
    <col collapsed="false" customWidth="true" hidden="false" outlineLevel="0" max="328" min="328" style="1" width="7"/>
    <col collapsed="false" customWidth="false" hidden="false" outlineLevel="0" max="331" min="329" style="1" width="0.71"/>
    <col collapsed="false" customWidth="true" hidden="false" outlineLevel="0" max="332" min="332" style="1" width="2.42"/>
    <col collapsed="false" customWidth="false" hidden="false" outlineLevel="0" max="338" min="333" style="1" width="0.71"/>
    <col collapsed="false" customWidth="true" hidden="false" outlineLevel="0" max="339" min="339" style="1" width="16.57"/>
    <col collapsed="false" customWidth="false" hidden="false" outlineLevel="0" max="342" min="340" style="1" width="0.71"/>
    <col collapsed="false" customWidth="true" hidden="false" outlineLevel="0" max="343" min="343" style="1" width="9.86"/>
    <col collapsed="false" customWidth="true" hidden="false" outlineLevel="0" max="346" min="344" style="1" width="9.29"/>
    <col collapsed="false" customWidth="false" hidden="false" outlineLevel="0" max="559" min="347" style="1" width="0.71"/>
    <col collapsed="false" customWidth="true" hidden="false" outlineLevel="0" max="560" min="560" style="1" width="3.42"/>
    <col collapsed="false" customWidth="true" hidden="false" outlineLevel="0" max="561" min="561" style="1" width="2.42"/>
    <col collapsed="false" customWidth="true" hidden="false" outlineLevel="0" max="562" min="562" style="1" width="7"/>
    <col collapsed="false" customWidth="false" hidden="false" outlineLevel="0" max="563" min="563" style="1" width="0.71"/>
    <col collapsed="false" customWidth="true" hidden="false" outlineLevel="0" max="564" min="564" style="1" width="1.57"/>
    <col collapsed="false" customWidth="false" hidden="false" outlineLevel="0" max="565" min="565" style="1" width="0.71"/>
    <col collapsed="false" customWidth="true" hidden="false" outlineLevel="0" max="566" min="566" style="1" width="11.29"/>
    <col collapsed="false" customWidth="false" hidden="false" outlineLevel="0" max="567" min="567" style="1" width="0.71"/>
    <col collapsed="false" customWidth="true" hidden="false" outlineLevel="0" max="568" min="568" style="1" width="1.57"/>
    <col collapsed="false" customWidth="false" hidden="false" outlineLevel="0" max="573" min="569" style="1" width="0.71"/>
    <col collapsed="false" customWidth="true" hidden="false" outlineLevel="0" max="574" min="574" style="1" width="2.15"/>
    <col collapsed="false" customWidth="false" hidden="false" outlineLevel="0" max="575" min="575" style="1" width="0.71"/>
    <col collapsed="false" customWidth="true" hidden="false" outlineLevel="0" max="576" min="576" style="1" width="1.57"/>
    <col collapsed="false" customWidth="false" hidden="false" outlineLevel="0" max="577" min="577" style="1" width="0.71"/>
    <col collapsed="false" customWidth="true" hidden="false" outlineLevel="0" max="578" min="578" style="1" width="7"/>
    <col collapsed="false" customWidth="false" hidden="false" outlineLevel="0" max="579" min="579" style="1" width="0.71"/>
    <col collapsed="false" customWidth="true" hidden="false" outlineLevel="0" max="580" min="580" style="1" width="4"/>
    <col collapsed="false" customWidth="false" hidden="false" outlineLevel="0" max="581" min="581" style="1" width="0.71"/>
    <col collapsed="false" customWidth="true" hidden="false" outlineLevel="0" max="582" min="582" style="1" width="1.57"/>
    <col collapsed="false" customWidth="false" hidden="false" outlineLevel="0" max="583" min="583" style="1" width="0.71"/>
    <col collapsed="false" customWidth="true" hidden="false" outlineLevel="0" max="584" min="584" style="1" width="7"/>
    <col collapsed="false" customWidth="false" hidden="false" outlineLevel="0" max="587" min="585" style="1" width="0.71"/>
    <col collapsed="false" customWidth="true" hidden="false" outlineLevel="0" max="588" min="588" style="1" width="2.42"/>
    <col collapsed="false" customWidth="false" hidden="false" outlineLevel="0" max="594" min="589" style="1" width="0.71"/>
    <col collapsed="false" customWidth="true" hidden="false" outlineLevel="0" max="595" min="595" style="1" width="16.57"/>
    <col collapsed="false" customWidth="false" hidden="false" outlineLevel="0" max="598" min="596" style="1" width="0.71"/>
    <col collapsed="false" customWidth="true" hidden="false" outlineLevel="0" max="599" min="599" style="1" width="9.86"/>
    <col collapsed="false" customWidth="true" hidden="false" outlineLevel="0" max="602" min="600" style="1" width="9.29"/>
    <col collapsed="false" customWidth="false" hidden="false" outlineLevel="0" max="815" min="603" style="1" width="0.71"/>
    <col collapsed="false" customWidth="true" hidden="false" outlineLevel="0" max="816" min="816" style="1" width="3.42"/>
    <col collapsed="false" customWidth="true" hidden="false" outlineLevel="0" max="817" min="817" style="1" width="2.42"/>
    <col collapsed="false" customWidth="true" hidden="false" outlineLevel="0" max="818" min="818" style="1" width="7"/>
    <col collapsed="false" customWidth="false" hidden="false" outlineLevel="0" max="819" min="819" style="1" width="0.71"/>
    <col collapsed="false" customWidth="true" hidden="false" outlineLevel="0" max="820" min="820" style="1" width="1.57"/>
    <col collapsed="false" customWidth="false" hidden="false" outlineLevel="0" max="821" min="821" style="1" width="0.71"/>
    <col collapsed="false" customWidth="true" hidden="false" outlineLevel="0" max="822" min="822" style="1" width="11.29"/>
    <col collapsed="false" customWidth="false" hidden="false" outlineLevel="0" max="823" min="823" style="1" width="0.71"/>
    <col collapsed="false" customWidth="true" hidden="false" outlineLevel="0" max="824" min="824" style="1" width="1.57"/>
    <col collapsed="false" customWidth="false" hidden="false" outlineLevel="0" max="829" min="825" style="1" width="0.71"/>
    <col collapsed="false" customWidth="true" hidden="false" outlineLevel="0" max="830" min="830" style="1" width="2.15"/>
    <col collapsed="false" customWidth="false" hidden="false" outlineLevel="0" max="831" min="831" style="1" width="0.71"/>
    <col collapsed="false" customWidth="true" hidden="false" outlineLevel="0" max="832" min="832" style="1" width="1.57"/>
    <col collapsed="false" customWidth="false" hidden="false" outlineLevel="0" max="833" min="833" style="1" width="0.71"/>
    <col collapsed="false" customWidth="true" hidden="false" outlineLevel="0" max="834" min="834" style="1" width="7"/>
    <col collapsed="false" customWidth="false" hidden="false" outlineLevel="0" max="835" min="835" style="1" width="0.71"/>
    <col collapsed="false" customWidth="true" hidden="false" outlineLevel="0" max="836" min="836" style="1" width="4"/>
    <col collapsed="false" customWidth="false" hidden="false" outlineLevel="0" max="837" min="837" style="1" width="0.71"/>
    <col collapsed="false" customWidth="true" hidden="false" outlineLevel="0" max="838" min="838" style="1" width="1.57"/>
    <col collapsed="false" customWidth="false" hidden="false" outlineLevel="0" max="839" min="839" style="1" width="0.71"/>
    <col collapsed="false" customWidth="true" hidden="false" outlineLevel="0" max="840" min="840" style="1" width="7"/>
    <col collapsed="false" customWidth="false" hidden="false" outlineLevel="0" max="843" min="841" style="1" width="0.71"/>
    <col collapsed="false" customWidth="true" hidden="false" outlineLevel="0" max="844" min="844" style="1" width="2.42"/>
    <col collapsed="false" customWidth="false" hidden="false" outlineLevel="0" max="850" min="845" style="1" width="0.71"/>
    <col collapsed="false" customWidth="true" hidden="false" outlineLevel="0" max="851" min="851" style="1" width="16.57"/>
    <col collapsed="false" customWidth="false" hidden="false" outlineLevel="0" max="854" min="852" style="1" width="0.71"/>
    <col collapsed="false" customWidth="true" hidden="false" outlineLevel="0" max="855" min="855" style="1" width="9.86"/>
    <col collapsed="false" customWidth="true" hidden="false" outlineLevel="0" max="858" min="856" style="1" width="9.29"/>
    <col collapsed="false" customWidth="false" hidden="false" outlineLevel="0" max="1071" min="859" style="1" width="0.71"/>
    <col collapsed="false" customWidth="true" hidden="false" outlineLevel="0" max="1072" min="1072" style="1" width="3.42"/>
    <col collapsed="false" customWidth="true" hidden="false" outlineLevel="0" max="1073" min="1073" style="1" width="2.42"/>
    <col collapsed="false" customWidth="true" hidden="false" outlineLevel="0" max="1074" min="1074" style="1" width="7"/>
    <col collapsed="false" customWidth="false" hidden="false" outlineLevel="0" max="1075" min="1075" style="1" width="0.71"/>
    <col collapsed="false" customWidth="true" hidden="false" outlineLevel="0" max="1076" min="1076" style="1" width="1.57"/>
    <col collapsed="false" customWidth="false" hidden="false" outlineLevel="0" max="1077" min="1077" style="1" width="0.71"/>
    <col collapsed="false" customWidth="true" hidden="false" outlineLevel="0" max="1078" min="1078" style="1" width="11.29"/>
    <col collapsed="false" customWidth="false" hidden="false" outlineLevel="0" max="1079" min="1079" style="1" width="0.71"/>
    <col collapsed="false" customWidth="true" hidden="false" outlineLevel="0" max="1080" min="1080" style="1" width="1.57"/>
    <col collapsed="false" customWidth="false" hidden="false" outlineLevel="0" max="1085" min="1081" style="1" width="0.71"/>
    <col collapsed="false" customWidth="true" hidden="false" outlineLevel="0" max="1086" min="1086" style="1" width="2.15"/>
    <col collapsed="false" customWidth="false" hidden="false" outlineLevel="0" max="1087" min="1087" style="1" width="0.71"/>
    <col collapsed="false" customWidth="true" hidden="false" outlineLevel="0" max="1088" min="1088" style="1" width="1.57"/>
    <col collapsed="false" customWidth="false" hidden="false" outlineLevel="0" max="1089" min="1089" style="1" width="0.71"/>
    <col collapsed="false" customWidth="true" hidden="false" outlineLevel="0" max="1090" min="1090" style="1" width="7"/>
    <col collapsed="false" customWidth="false" hidden="false" outlineLevel="0" max="1091" min="1091" style="1" width="0.71"/>
    <col collapsed="false" customWidth="true" hidden="false" outlineLevel="0" max="1092" min="1092" style="1" width="4"/>
    <col collapsed="false" customWidth="false" hidden="false" outlineLevel="0" max="1093" min="1093" style="1" width="0.71"/>
    <col collapsed="false" customWidth="true" hidden="false" outlineLevel="0" max="1094" min="1094" style="1" width="1.57"/>
    <col collapsed="false" customWidth="false" hidden="false" outlineLevel="0" max="1095" min="1095" style="1" width="0.71"/>
    <col collapsed="false" customWidth="true" hidden="false" outlineLevel="0" max="1096" min="1096" style="1" width="7"/>
    <col collapsed="false" customWidth="false" hidden="false" outlineLevel="0" max="1099" min="1097" style="1" width="0.71"/>
    <col collapsed="false" customWidth="true" hidden="false" outlineLevel="0" max="1100" min="1100" style="1" width="2.42"/>
    <col collapsed="false" customWidth="false" hidden="false" outlineLevel="0" max="1106" min="1101" style="1" width="0.71"/>
    <col collapsed="false" customWidth="true" hidden="false" outlineLevel="0" max="1107" min="1107" style="1" width="16.57"/>
    <col collapsed="false" customWidth="false" hidden="false" outlineLevel="0" max="1110" min="1108" style="1" width="0.71"/>
    <col collapsed="false" customWidth="true" hidden="false" outlineLevel="0" max="1111" min="1111" style="1" width="9.86"/>
    <col collapsed="false" customWidth="true" hidden="false" outlineLevel="0" max="1114" min="1112" style="1" width="9.29"/>
    <col collapsed="false" customWidth="false" hidden="false" outlineLevel="0" max="1327" min="1115" style="1" width="0.71"/>
    <col collapsed="false" customWidth="true" hidden="false" outlineLevel="0" max="1328" min="1328" style="1" width="3.42"/>
    <col collapsed="false" customWidth="true" hidden="false" outlineLevel="0" max="1329" min="1329" style="1" width="2.42"/>
    <col collapsed="false" customWidth="true" hidden="false" outlineLevel="0" max="1330" min="1330" style="1" width="7"/>
    <col collapsed="false" customWidth="false" hidden="false" outlineLevel="0" max="1331" min="1331" style="1" width="0.71"/>
    <col collapsed="false" customWidth="true" hidden="false" outlineLevel="0" max="1332" min="1332" style="1" width="1.57"/>
    <col collapsed="false" customWidth="false" hidden="false" outlineLevel="0" max="1333" min="1333" style="1" width="0.71"/>
    <col collapsed="false" customWidth="true" hidden="false" outlineLevel="0" max="1334" min="1334" style="1" width="11.29"/>
    <col collapsed="false" customWidth="false" hidden="false" outlineLevel="0" max="1335" min="1335" style="1" width="0.71"/>
    <col collapsed="false" customWidth="true" hidden="false" outlineLevel="0" max="1336" min="1336" style="1" width="1.57"/>
    <col collapsed="false" customWidth="false" hidden="false" outlineLevel="0" max="1341" min="1337" style="1" width="0.71"/>
    <col collapsed="false" customWidth="true" hidden="false" outlineLevel="0" max="1342" min="1342" style="1" width="2.15"/>
    <col collapsed="false" customWidth="false" hidden="false" outlineLevel="0" max="1343" min="1343" style="1" width="0.71"/>
    <col collapsed="false" customWidth="true" hidden="false" outlineLevel="0" max="1344" min="1344" style="1" width="1.57"/>
    <col collapsed="false" customWidth="false" hidden="false" outlineLevel="0" max="1345" min="1345" style="1" width="0.71"/>
    <col collapsed="false" customWidth="true" hidden="false" outlineLevel="0" max="1346" min="1346" style="1" width="7"/>
    <col collapsed="false" customWidth="false" hidden="false" outlineLevel="0" max="1347" min="1347" style="1" width="0.71"/>
    <col collapsed="false" customWidth="true" hidden="false" outlineLevel="0" max="1348" min="1348" style="1" width="4"/>
    <col collapsed="false" customWidth="false" hidden="false" outlineLevel="0" max="1349" min="1349" style="1" width="0.71"/>
    <col collapsed="false" customWidth="true" hidden="false" outlineLevel="0" max="1350" min="1350" style="1" width="1.57"/>
    <col collapsed="false" customWidth="false" hidden="false" outlineLevel="0" max="1351" min="1351" style="1" width="0.71"/>
    <col collapsed="false" customWidth="true" hidden="false" outlineLevel="0" max="1352" min="1352" style="1" width="7"/>
    <col collapsed="false" customWidth="false" hidden="false" outlineLevel="0" max="1355" min="1353" style="1" width="0.71"/>
    <col collapsed="false" customWidth="true" hidden="false" outlineLevel="0" max="1356" min="1356" style="1" width="2.42"/>
    <col collapsed="false" customWidth="false" hidden="false" outlineLevel="0" max="1362" min="1357" style="1" width="0.71"/>
    <col collapsed="false" customWidth="true" hidden="false" outlineLevel="0" max="1363" min="1363" style="1" width="16.57"/>
    <col collapsed="false" customWidth="false" hidden="false" outlineLevel="0" max="1366" min="1364" style="1" width="0.71"/>
    <col collapsed="false" customWidth="true" hidden="false" outlineLevel="0" max="1367" min="1367" style="1" width="9.86"/>
    <col collapsed="false" customWidth="true" hidden="false" outlineLevel="0" max="1370" min="1368" style="1" width="9.29"/>
    <col collapsed="false" customWidth="false" hidden="false" outlineLevel="0" max="1583" min="1371" style="1" width="0.71"/>
    <col collapsed="false" customWidth="true" hidden="false" outlineLevel="0" max="1584" min="1584" style="1" width="3.42"/>
    <col collapsed="false" customWidth="true" hidden="false" outlineLevel="0" max="1585" min="1585" style="1" width="2.42"/>
    <col collapsed="false" customWidth="true" hidden="false" outlineLevel="0" max="1586" min="1586" style="1" width="7"/>
    <col collapsed="false" customWidth="false" hidden="false" outlineLevel="0" max="1587" min="1587" style="1" width="0.71"/>
    <col collapsed="false" customWidth="true" hidden="false" outlineLevel="0" max="1588" min="1588" style="1" width="1.57"/>
    <col collapsed="false" customWidth="false" hidden="false" outlineLevel="0" max="1589" min="1589" style="1" width="0.71"/>
    <col collapsed="false" customWidth="true" hidden="false" outlineLevel="0" max="1590" min="1590" style="1" width="11.29"/>
    <col collapsed="false" customWidth="false" hidden="false" outlineLevel="0" max="1591" min="1591" style="1" width="0.71"/>
    <col collapsed="false" customWidth="true" hidden="false" outlineLevel="0" max="1592" min="1592" style="1" width="1.57"/>
    <col collapsed="false" customWidth="false" hidden="false" outlineLevel="0" max="1597" min="1593" style="1" width="0.71"/>
    <col collapsed="false" customWidth="true" hidden="false" outlineLevel="0" max="1598" min="1598" style="1" width="2.15"/>
    <col collapsed="false" customWidth="false" hidden="false" outlineLevel="0" max="1599" min="1599" style="1" width="0.71"/>
    <col collapsed="false" customWidth="true" hidden="false" outlineLevel="0" max="1600" min="1600" style="1" width="1.57"/>
    <col collapsed="false" customWidth="false" hidden="false" outlineLevel="0" max="1601" min="1601" style="1" width="0.71"/>
    <col collapsed="false" customWidth="true" hidden="false" outlineLevel="0" max="1602" min="1602" style="1" width="7"/>
    <col collapsed="false" customWidth="false" hidden="false" outlineLevel="0" max="1603" min="1603" style="1" width="0.71"/>
    <col collapsed="false" customWidth="true" hidden="false" outlineLevel="0" max="1604" min="1604" style="1" width="4"/>
    <col collapsed="false" customWidth="false" hidden="false" outlineLevel="0" max="1605" min="1605" style="1" width="0.71"/>
    <col collapsed="false" customWidth="true" hidden="false" outlineLevel="0" max="1606" min="1606" style="1" width="1.57"/>
    <col collapsed="false" customWidth="false" hidden="false" outlineLevel="0" max="1607" min="1607" style="1" width="0.71"/>
    <col collapsed="false" customWidth="true" hidden="false" outlineLevel="0" max="1608" min="1608" style="1" width="7"/>
    <col collapsed="false" customWidth="false" hidden="false" outlineLevel="0" max="1611" min="1609" style="1" width="0.71"/>
    <col collapsed="false" customWidth="true" hidden="false" outlineLevel="0" max="1612" min="1612" style="1" width="2.42"/>
    <col collapsed="false" customWidth="false" hidden="false" outlineLevel="0" max="1618" min="1613" style="1" width="0.71"/>
    <col collapsed="false" customWidth="true" hidden="false" outlineLevel="0" max="1619" min="1619" style="1" width="16.57"/>
    <col collapsed="false" customWidth="false" hidden="false" outlineLevel="0" max="1622" min="1620" style="1" width="0.71"/>
    <col collapsed="false" customWidth="true" hidden="false" outlineLevel="0" max="1623" min="1623" style="1" width="9.86"/>
    <col collapsed="false" customWidth="true" hidden="false" outlineLevel="0" max="1626" min="1624" style="1" width="9.29"/>
    <col collapsed="false" customWidth="false" hidden="false" outlineLevel="0" max="1839" min="1627" style="1" width="0.71"/>
    <col collapsed="false" customWidth="true" hidden="false" outlineLevel="0" max="1840" min="1840" style="1" width="3.42"/>
    <col collapsed="false" customWidth="true" hidden="false" outlineLevel="0" max="1841" min="1841" style="1" width="2.42"/>
    <col collapsed="false" customWidth="true" hidden="false" outlineLevel="0" max="1842" min="1842" style="1" width="7"/>
    <col collapsed="false" customWidth="false" hidden="false" outlineLevel="0" max="1843" min="1843" style="1" width="0.71"/>
    <col collapsed="false" customWidth="true" hidden="false" outlineLevel="0" max="1844" min="1844" style="1" width="1.57"/>
    <col collapsed="false" customWidth="false" hidden="false" outlineLevel="0" max="1845" min="1845" style="1" width="0.71"/>
    <col collapsed="false" customWidth="true" hidden="false" outlineLevel="0" max="1846" min="1846" style="1" width="11.29"/>
    <col collapsed="false" customWidth="false" hidden="false" outlineLevel="0" max="1847" min="1847" style="1" width="0.71"/>
    <col collapsed="false" customWidth="true" hidden="false" outlineLevel="0" max="1848" min="1848" style="1" width="1.57"/>
    <col collapsed="false" customWidth="false" hidden="false" outlineLevel="0" max="1853" min="1849" style="1" width="0.71"/>
    <col collapsed="false" customWidth="true" hidden="false" outlineLevel="0" max="1854" min="1854" style="1" width="2.15"/>
    <col collapsed="false" customWidth="false" hidden="false" outlineLevel="0" max="1855" min="1855" style="1" width="0.71"/>
    <col collapsed="false" customWidth="true" hidden="false" outlineLevel="0" max="1856" min="1856" style="1" width="1.57"/>
    <col collapsed="false" customWidth="false" hidden="false" outlineLevel="0" max="1857" min="1857" style="1" width="0.71"/>
    <col collapsed="false" customWidth="true" hidden="false" outlineLevel="0" max="1858" min="1858" style="1" width="7"/>
    <col collapsed="false" customWidth="false" hidden="false" outlineLevel="0" max="1859" min="1859" style="1" width="0.71"/>
    <col collapsed="false" customWidth="true" hidden="false" outlineLevel="0" max="1860" min="1860" style="1" width="4"/>
    <col collapsed="false" customWidth="false" hidden="false" outlineLevel="0" max="1861" min="1861" style="1" width="0.71"/>
    <col collapsed="false" customWidth="true" hidden="false" outlineLevel="0" max="1862" min="1862" style="1" width="1.57"/>
    <col collapsed="false" customWidth="false" hidden="false" outlineLevel="0" max="1863" min="1863" style="1" width="0.71"/>
    <col collapsed="false" customWidth="true" hidden="false" outlineLevel="0" max="1864" min="1864" style="1" width="7"/>
    <col collapsed="false" customWidth="false" hidden="false" outlineLevel="0" max="1867" min="1865" style="1" width="0.71"/>
    <col collapsed="false" customWidth="true" hidden="false" outlineLevel="0" max="1868" min="1868" style="1" width="2.42"/>
    <col collapsed="false" customWidth="false" hidden="false" outlineLevel="0" max="1874" min="1869" style="1" width="0.71"/>
    <col collapsed="false" customWidth="true" hidden="false" outlineLevel="0" max="1875" min="1875" style="1" width="16.57"/>
    <col collapsed="false" customWidth="false" hidden="false" outlineLevel="0" max="1878" min="1876" style="1" width="0.71"/>
    <col collapsed="false" customWidth="true" hidden="false" outlineLevel="0" max="1879" min="1879" style="1" width="9.86"/>
    <col collapsed="false" customWidth="true" hidden="false" outlineLevel="0" max="1882" min="1880" style="1" width="9.29"/>
    <col collapsed="false" customWidth="false" hidden="false" outlineLevel="0" max="2095" min="1883" style="1" width="0.71"/>
    <col collapsed="false" customWidth="true" hidden="false" outlineLevel="0" max="2096" min="2096" style="1" width="3.42"/>
    <col collapsed="false" customWidth="true" hidden="false" outlineLevel="0" max="2097" min="2097" style="1" width="2.42"/>
    <col collapsed="false" customWidth="true" hidden="false" outlineLevel="0" max="2098" min="2098" style="1" width="7"/>
    <col collapsed="false" customWidth="false" hidden="false" outlineLevel="0" max="2099" min="2099" style="1" width="0.71"/>
    <col collapsed="false" customWidth="true" hidden="false" outlineLevel="0" max="2100" min="2100" style="1" width="1.57"/>
    <col collapsed="false" customWidth="false" hidden="false" outlineLevel="0" max="2101" min="2101" style="1" width="0.71"/>
    <col collapsed="false" customWidth="true" hidden="false" outlineLevel="0" max="2102" min="2102" style="1" width="11.29"/>
    <col collapsed="false" customWidth="false" hidden="false" outlineLevel="0" max="2103" min="2103" style="1" width="0.71"/>
    <col collapsed="false" customWidth="true" hidden="false" outlineLevel="0" max="2104" min="2104" style="1" width="1.57"/>
    <col collapsed="false" customWidth="false" hidden="false" outlineLevel="0" max="2109" min="2105" style="1" width="0.71"/>
    <col collapsed="false" customWidth="true" hidden="false" outlineLevel="0" max="2110" min="2110" style="1" width="2.15"/>
    <col collapsed="false" customWidth="false" hidden="false" outlineLevel="0" max="2111" min="2111" style="1" width="0.71"/>
    <col collapsed="false" customWidth="true" hidden="false" outlineLevel="0" max="2112" min="2112" style="1" width="1.57"/>
    <col collapsed="false" customWidth="false" hidden="false" outlineLevel="0" max="2113" min="2113" style="1" width="0.71"/>
    <col collapsed="false" customWidth="true" hidden="false" outlineLevel="0" max="2114" min="2114" style="1" width="7"/>
    <col collapsed="false" customWidth="false" hidden="false" outlineLevel="0" max="2115" min="2115" style="1" width="0.71"/>
    <col collapsed="false" customWidth="true" hidden="false" outlineLevel="0" max="2116" min="2116" style="1" width="4"/>
    <col collapsed="false" customWidth="false" hidden="false" outlineLevel="0" max="2117" min="2117" style="1" width="0.71"/>
    <col collapsed="false" customWidth="true" hidden="false" outlineLevel="0" max="2118" min="2118" style="1" width="1.57"/>
    <col collapsed="false" customWidth="false" hidden="false" outlineLevel="0" max="2119" min="2119" style="1" width="0.71"/>
    <col collapsed="false" customWidth="true" hidden="false" outlineLevel="0" max="2120" min="2120" style="1" width="7"/>
    <col collapsed="false" customWidth="false" hidden="false" outlineLevel="0" max="2123" min="2121" style="1" width="0.71"/>
    <col collapsed="false" customWidth="true" hidden="false" outlineLevel="0" max="2124" min="2124" style="1" width="2.42"/>
    <col collapsed="false" customWidth="false" hidden="false" outlineLevel="0" max="2130" min="2125" style="1" width="0.71"/>
    <col collapsed="false" customWidth="true" hidden="false" outlineLevel="0" max="2131" min="2131" style="1" width="16.57"/>
    <col collapsed="false" customWidth="false" hidden="false" outlineLevel="0" max="2134" min="2132" style="1" width="0.71"/>
    <col collapsed="false" customWidth="true" hidden="false" outlineLevel="0" max="2135" min="2135" style="1" width="9.86"/>
    <col collapsed="false" customWidth="true" hidden="false" outlineLevel="0" max="2138" min="2136" style="1" width="9.29"/>
    <col collapsed="false" customWidth="false" hidden="false" outlineLevel="0" max="2351" min="2139" style="1" width="0.71"/>
    <col collapsed="false" customWidth="true" hidden="false" outlineLevel="0" max="2352" min="2352" style="1" width="3.42"/>
    <col collapsed="false" customWidth="true" hidden="false" outlineLevel="0" max="2353" min="2353" style="1" width="2.42"/>
    <col collapsed="false" customWidth="true" hidden="false" outlineLevel="0" max="2354" min="2354" style="1" width="7"/>
    <col collapsed="false" customWidth="false" hidden="false" outlineLevel="0" max="2355" min="2355" style="1" width="0.71"/>
    <col collapsed="false" customWidth="true" hidden="false" outlineLevel="0" max="2356" min="2356" style="1" width="1.57"/>
    <col collapsed="false" customWidth="false" hidden="false" outlineLevel="0" max="2357" min="2357" style="1" width="0.71"/>
    <col collapsed="false" customWidth="true" hidden="false" outlineLevel="0" max="2358" min="2358" style="1" width="11.29"/>
    <col collapsed="false" customWidth="false" hidden="false" outlineLevel="0" max="2359" min="2359" style="1" width="0.71"/>
    <col collapsed="false" customWidth="true" hidden="false" outlineLevel="0" max="2360" min="2360" style="1" width="1.57"/>
    <col collapsed="false" customWidth="false" hidden="false" outlineLevel="0" max="2365" min="2361" style="1" width="0.71"/>
    <col collapsed="false" customWidth="true" hidden="false" outlineLevel="0" max="2366" min="2366" style="1" width="2.15"/>
    <col collapsed="false" customWidth="false" hidden="false" outlineLevel="0" max="2367" min="2367" style="1" width="0.71"/>
    <col collapsed="false" customWidth="true" hidden="false" outlineLevel="0" max="2368" min="2368" style="1" width="1.57"/>
    <col collapsed="false" customWidth="false" hidden="false" outlineLevel="0" max="2369" min="2369" style="1" width="0.71"/>
    <col collapsed="false" customWidth="true" hidden="false" outlineLevel="0" max="2370" min="2370" style="1" width="7"/>
    <col collapsed="false" customWidth="false" hidden="false" outlineLevel="0" max="2371" min="2371" style="1" width="0.71"/>
    <col collapsed="false" customWidth="true" hidden="false" outlineLevel="0" max="2372" min="2372" style="1" width="4"/>
    <col collapsed="false" customWidth="false" hidden="false" outlineLevel="0" max="2373" min="2373" style="1" width="0.71"/>
    <col collapsed="false" customWidth="true" hidden="false" outlineLevel="0" max="2374" min="2374" style="1" width="1.57"/>
    <col collapsed="false" customWidth="false" hidden="false" outlineLevel="0" max="2375" min="2375" style="1" width="0.71"/>
    <col collapsed="false" customWidth="true" hidden="false" outlineLevel="0" max="2376" min="2376" style="1" width="7"/>
    <col collapsed="false" customWidth="false" hidden="false" outlineLevel="0" max="2379" min="2377" style="1" width="0.71"/>
    <col collapsed="false" customWidth="true" hidden="false" outlineLevel="0" max="2380" min="2380" style="1" width="2.42"/>
    <col collapsed="false" customWidth="false" hidden="false" outlineLevel="0" max="2386" min="2381" style="1" width="0.71"/>
    <col collapsed="false" customWidth="true" hidden="false" outlineLevel="0" max="2387" min="2387" style="1" width="16.57"/>
    <col collapsed="false" customWidth="false" hidden="false" outlineLevel="0" max="2390" min="2388" style="1" width="0.71"/>
    <col collapsed="false" customWidth="true" hidden="false" outlineLevel="0" max="2391" min="2391" style="1" width="9.86"/>
    <col collapsed="false" customWidth="true" hidden="false" outlineLevel="0" max="2394" min="2392" style="1" width="9.29"/>
    <col collapsed="false" customWidth="false" hidden="false" outlineLevel="0" max="2607" min="2395" style="1" width="0.71"/>
    <col collapsed="false" customWidth="true" hidden="false" outlineLevel="0" max="2608" min="2608" style="1" width="3.42"/>
    <col collapsed="false" customWidth="true" hidden="false" outlineLevel="0" max="2609" min="2609" style="1" width="2.42"/>
    <col collapsed="false" customWidth="true" hidden="false" outlineLevel="0" max="2610" min="2610" style="1" width="7"/>
    <col collapsed="false" customWidth="false" hidden="false" outlineLevel="0" max="2611" min="2611" style="1" width="0.71"/>
    <col collapsed="false" customWidth="true" hidden="false" outlineLevel="0" max="2612" min="2612" style="1" width="1.57"/>
    <col collapsed="false" customWidth="false" hidden="false" outlineLevel="0" max="2613" min="2613" style="1" width="0.71"/>
    <col collapsed="false" customWidth="true" hidden="false" outlineLevel="0" max="2614" min="2614" style="1" width="11.29"/>
    <col collapsed="false" customWidth="false" hidden="false" outlineLevel="0" max="2615" min="2615" style="1" width="0.71"/>
    <col collapsed="false" customWidth="true" hidden="false" outlineLevel="0" max="2616" min="2616" style="1" width="1.57"/>
    <col collapsed="false" customWidth="false" hidden="false" outlineLevel="0" max="2621" min="2617" style="1" width="0.71"/>
    <col collapsed="false" customWidth="true" hidden="false" outlineLevel="0" max="2622" min="2622" style="1" width="2.15"/>
    <col collapsed="false" customWidth="false" hidden="false" outlineLevel="0" max="2623" min="2623" style="1" width="0.71"/>
    <col collapsed="false" customWidth="true" hidden="false" outlineLevel="0" max="2624" min="2624" style="1" width="1.57"/>
    <col collapsed="false" customWidth="false" hidden="false" outlineLevel="0" max="2625" min="2625" style="1" width="0.71"/>
    <col collapsed="false" customWidth="true" hidden="false" outlineLevel="0" max="2626" min="2626" style="1" width="7"/>
    <col collapsed="false" customWidth="false" hidden="false" outlineLevel="0" max="2627" min="2627" style="1" width="0.71"/>
    <col collapsed="false" customWidth="true" hidden="false" outlineLevel="0" max="2628" min="2628" style="1" width="4"/>
    <col collapsed="false" customWidth="false" hidden="false" outlineLevel="0" max="2629" min="2629" style="1" width="0.71"/>
    <col collapsed="false" customWidth="true" hidden="false" outlineLevel="0" max="2630" min="2630" style="1" width="1.57"/>
    <col collapsed="false" customWidth="false" hidden="false" outlineLevel="0" max="2631" min="2631" style="1" width="0.71"/>
    <col collapsed="false" customWidth="true" hidden="false" outlineLevel="0" max="2632" min="2632" style="1" width="7"/>
    <col collapsed="false" customWidth="false" hidden="false" outlineLevel="0" max="2635" min="2633" style="1" width="0.71"/>
    <col collapsed="false" customWidth="true" hidden="false" outlineLevel="0" max="2636" min="2636" style="1" width="2.42"/>
    <col collapsed="false" customWidth="false" hidden="false" outlineLevel="0" max="2642" min="2637" style="1" width="0.71"/>
    <col collapsed="false" customWidth="true" hidden="false" outlineLevel="0" max="2643" min="2643" style="1" width="16.57"/>
    <col collapsed="false" customWidth="false" hidden="false" outlineLevel="0" max="2646" min="2644" style="1" width="0.71"/>
    <col collapsed="false" customWidth="true" hidden="false" outlineLevel="0" max="2647" min="2647" style="1" width="9.86"/>
    <col collapsed="false" customWidth="true" hidden="false" outlineLevel="0" max="2650" min="2648" style="1" width="9.29"/>
    <col collapsed="false" customWidth="false" hidden="false" outlineLevel="0" max="2863" min="2651" style="1" width="0.71"/>
    <col collapsed="false" customWidth="true" hidden="false" outlineLevel="0" max="2864" min="2864" style="1" width="3.42"/>
    <col collapsed="false" customWidth="true" hidden="false" outlineLevel="0" max="2865" min="2865" style="1" width="2.42"/>
    <col collapsed="false" customWidth="true" hidden="false" outlineLevel="0" max="2866" min="2866" style="1" width="7"/>
    <col collapsed="false" customWidth="false" hidden="false" outlineLevel="0" max="2867" min="2867" style="1" width="0.71"/>
    <col collapsed="false" customWidth="true" hidden="false" outlineLevel="0" max="2868" min="2868" style="1" width="1.57"/>
    <col collapsed="false" customWidth="false" hidden="false" outlineLevel="0" max="2869" min="2869" style="1" width="0.71"/>
    <col collapsed="false" customWidth="true" hidden="false" outlineLevel="0" max="2870" min="2870" style="1" width="11.29"/>
    <col collapsed="false" customWidth="false" hidden="false" outlineLevel="0" max="2871" min="2871" style="1" width="0.71"/>
    <col collapsed="false" customWidth="true" hidden="false" outlineLevel="0" max="2872" min="2872" style="1" width="1.57"/>
    <col collapsed="false" customWidth="false" hidden="false" outlineLevel="0" max="2877" min="2873" style="1" width="0.71"/>
    <col collapsed="false" customWidth="true" hidden="false" outlineLevel="0" max="2878" min="2878" style="1" width="2.15"/>
    <col collapsed="false" customWidth="false" hidden="false" outlineLevel="0" max="2879" min="2879" style="1" width="0.71"/>
    <col collapsed="false" customWidth="true" hidden="false" outlineLevel="0" max="2880" min="2880" style="1" width="1.57"/>
    <col collapsed="false" customWidth="false" hidden="false" outlineLevel="0" max="2881" min="2881" style="1" width="0.71"/>
    <col collapsed="false" customWidth="true" hidden="false" outlineLevel="0" max="2882" min="2882" style="1" width="7"/>
    <col collapsed="false" customWidth="false" hidden="false" outlineLevel="0" max="2883" min="2883" style="1" width="0.71"/>
    <col collapsed="false" customWidth="true" hidden="false" outlineLevel="0" max="2884" min="2884" style="1" width="4"/>
    <col collapsed="false" customWidth="false" hidden="false" outlineLevel="0" max="2885" min="2885" style="1" width="0.71"/>
    <col collapsed="false" customWidth="true" hidden="false" outlineLevel="0" max="2886" min="2886" style="1" width="1.57"/>
    <col collapsed="false" customWidth="false" hidden="false" outlineLevel="0" max="2887" min="2887" style="1" width="0.71"/>
    <col collapsed="false" customWidth="true" hidden="false" outlineLevel="0" max="2888" min="2888" style="1" width="7"/>
    <col collapsed="false" customWidth="false" hidden="false" outlineLevel="0" max="2891" min="2889" style="1" width="0.71"/>
    <col collapsed="false" customWidth="true" hidden="false" outlineLevel="0" max="2892" min="2892" style="1" width="2.42"/>
    <col collapsed="false" customWidth="false" hidden="false" outlineLevel="0" max="2898" min="2893" style="1" width="0.71"/>
    <col collapsed="false" customWidth="true" hidden="false" outlineLevel="0" max="2899" min="2899" style="1" width="16.57"/>
    <col collapsed="false" customWidth="false" hidden="false" outlineLevel="0" max="2902" min="2900" style="1" width="0.71"/>
    <col collapsed="false" customWidth="true" hidden="false" outlineLevel="0" max="2903" min="2903" style="1" width="9.86"/>
    <col collapsed="false" customWidth="true" hidden="false" outlineLevel="0" max="2906" min="2904" style="1" width="9.29"/>
    <col collapsed="false" customWidth="false" hidden="false" outlineLevel="0" max="3119" min="2907" style="1" width="0.71"/>
    <col collapsed="false" customWidth="true" hidden="false" outlineLevel="0" max="3120" min="3120" style="1" width="3.42"/>
    <col collapsed="false" customWidth="true" hidden="false" outlineLevel="0" max="3121" min="3121" style="1" width="2.42"/>
    <col collapsed="false" customWidth="true" hidden="false" outlineLevel="0" max="3122" min="3122" style="1" width="7"/>
    <col collapsed="false" customWidth="false" hidden="false" outlineLevel="0" max="3123" min="3123" style="1" width="0.71"/>
    <col collapsed="false" customWidth="true" hidden="false" outlineLevel="0" max="3124" min="3124" style="1" width="1.57"/>
    <col collapsed="false" customWidth="false" hidden="false" outlineLevel="0" max="3125" min="3125" style="1" width="0.71"/>
    <col collapsed="false" customWidth="true" hidden="false" outlineLevel="0" max="3126" min="3126" style="1" width="11.29"/>
    <col collapsed="false" customWidth="false" hidden="false" outlineLevel="0" max="3127" min="3127" style="1" width="0.71"/>
    <col collapsed="false" customWidth="true" hidden="false" outlineLevel="0" max="3128" min="3128" style="1" width="1.57"/>
    <col collapsed="false" customWidth="false" hidden="false" outlineLevel="0" max="3133" min="3129" style="1" width="0.71"/>
    <col collapsed="false" customWidth="true" hidden="false" outlineLevel="0" max="3134" min="3134" style="1" width="2.15"/>
    <col collapsed="false" customWidth="false" hidden="false" outlineLevel="0" max="3135" min="3135" style="1" width="0.71"/>
    <col collapsed="false" customWidth="true" hidden="false" outlineLevel="0" max="3136" min="3136" style="1" width="1.57"/>
    <col collapsed="false" customWidth="false" hidden="false" outlineLevel="0" max="3137" min="3137" style="1" width="0.71"/>
    <col collapsed="false" customWidth="true" hidden="false" outlineLevel="0" max="3138" min="3138" style="1" width="7"/>
    <col collapsed="false" customWidth="false" hidden="false" outlineLevel="0" max="3139" min="3139" style="1" width="0.71"/>
    <col collapsed="false" customWidth="true" hidden="false" outlineLevel="0" max="3140" min="3140" style="1" width="4"/>
    <col collapsed="false" customWidth="false" hidden="false" outlineLevel="0" max="3141" min="3141" style="1" width="0.71"/>
    <col collapsed="false" customWidth="true" hidden="false" outlineLevel="0" max="3142" min="3142" style="1" width="1.57"/>
    <col collapsed="false" customWidth="false" hidden="false" outlineLevel="0" max="3143" min="3143" style="1" width="0.71"/>
    <col collapsed="false" customWidth="true" hidden="false" outlineLevel="0" max="3144" min="3144" style="1" width="7"/>
    <col collapsed="false" customWidth="false" hidden="false" outlineLevel="0" max="3147" min="3145" style="1" width="0.71"/>
    <col collapsed="false" customWidth="true" hidden="false" outlineLevel="0" max="3148" min="3148" style="1" width="2.42"/>
    <col collapsed="false" customWidth="false" hidden="false" outlineLevel="0" max="3154" min="3149" style="1" width="0.71"/>
    <col collapsed="false" customWidth="true" hidden="false" outlineLevel="0" max="3155" min="3155" style="1" width="16.57"/>
    <col collapsed="false" customWidth="false" hidden="false" outlineLevel="0" max="3158" min="3156" style="1" width="0.71"/>
    <col collapsed="false" customWidth="true" hidden="false" outlineLevel="0" max="3159" min="3159" style="1" width="9.86"/>
    <col collapsed="false" customWidth="true" hidden="false" outlineLevel="0" max="3162" min="3160" style="1" width="9.29"/>
    <col collapsed="false" customWidth="false" hidden="false" outlineLevel="0" max="3375" min="3163" style="1" width="0.71"/>
    <col collapsed="false" customWidth="true" hidden="false" outlineLevel="0" max="3376" min="3376" style="1" width="3.42"/>
    <col collapsed="false" customWidth="true" hidden="false" outlineLevel="0" max="3377" min="3377" style="1" width="2.42"/>
    <col collapsed="false" customWidth="true" hidden="false" outlineLevel="0" max="3378" min="3378" style="1" width="7"/>
    <col collapsed="false" customWidth="false" hidden="false" outlineLevel="0" max="3379" min="3379" style="1" width="0.71"/>
    <col collapsed="false" customWidth="true" hidden="false" outlineLevel="0" max="3380" min="3380" style="1" width="1.57"/>
    <col collapsed="false" customWidth="false" hidden="false" outlineLevel="0" max="3381" min="3381" style="1" width="0.71"/>
    <col collapsed="false" customWidth="true" hidden="false" outlineLevel="0" max="3382" min="3382" style="1" width="11.29"/>
    <col collapsed="false" customWidth="false" hidden="false" outlineLevel="0" max="3383" min="3383" style="1" width="0.71"/>
    <col collapsed="false" customWidth="true" hidden="false" outlineLevel="0" max="3384" min="3384" style="1" width="1.57"/>
    <col collapsed="false" customWidth="false" hidden="false" outlineLevel="0" max="3389" min="3385" style="1" width="0.71"/>
    <col collapsed="false" customWidth="true" hidden="false" outlineLevel="0" max="3390" min="3390" style="1" width="2.15"/>
    <col collapsed="false" customWidth="false" hidden="false" outlineLevel="0" max="3391" min="3391" style="1" width="0.71"/>
    <col collapsed="false" customWidth="true" hidden="false" outlineLevel="0" max="3392" min="3392" style="1" width="1.57"/>
    <col collapsed="false" customWidth="false" hidden="false" outlineLevel="0" max="3393" min="3393" style="1" width="0.71"/>
    <col collapsed="false" customWidth="true" hidden="false" outlineLevel="0" max="3394" min="3394" style="1" width="7"/>
    <col collapsed="false" customWidth="false" hidden="false" outlineLevel="0" max="3395" min="3395" style="1" width="0.71"/>
    <col collapsed="false" customWidth="true" hidden="false" outlineLevel="0" max="3396" min="3396" style="1" width="4"/>
    <col collapsed="false" customWidth="false" hidden="false" outlineLevel="0" max="3397" min="3397" style="1" width="0.71"/>
    <col collapsed="false" customWidth="true" hidden="false" outlineLevel="0" max="3398" min="3398" style="1" width="1.57"/>
    <col collapsed="false" customWidth="false" hidden="false" outlineLevel="0" max="3399" min="3399" style="1" width="0.71"/>
    <col collapsed="false" customWidth="true" hidden="false" outlineLevel="0" max="3400" min="3400" style="1" width="7"/>
    <col collapsed="false" customWidth="false" hidden="false" outlineLevel="0" max="3403" min="3401" style="1" width="0.71"/>
    <col collapsed="false" customWidth="true" hidden="false" outlineLevel="0" max="3404" min="3404" style="1" width="2.42"/>
    <col collapsed="false" customWidth="false" hidden="false" outlineLevel="0" max="3410" min="3405" style="1" width="0.71"/>
    <col collapsed="false" customWidth="true" hidden="false" outlineLevel="0" max="3411" min="3411" style="1" width="16.57"/>
    <col collapsed="false" customWidth="false" hidden="false" outlineLevel="0" max="3414" min="3412" style="1" width="0.71"/>
    <col collapsed="false" customWidth="true" hidden="false" outlineLevel="0" max="3415" min="3415" style="1" width="9.86"/>
    <col collapsed="false" customWidth="true" hidden="false" outlineLevel="0" max="3418" min="3416" style="1" width="9.29"/>
    <col collapsed="false" customWidth="false" hidden="false" outlineLevel="0" max="3631" min="3419" style="1" width="0.71"/>
    <col collapsed="false" customWidth="true" hidden="false" outlineLevel="0" max="3632" min="3632" style="1" width="3.42"/>
    <col collapsed="false" customWidth="true" hidden="false" outlineLevel="0" max="3633" min="3633" style="1" width="2.42"/>
    <col collapsed="false" customWidth="true" hidden="false" outlineLevel="0" max="3634" min="3634" style="1" width="7"/>
    <col collapsed="false" customWidth="false" hidden="false" outlineLevel="0" max="3635" min="3635" style="1" width="0.71"/>
    <col collapsed="false" customWidth="true" hidden="false" outlineLevel="0" max="3636" min="3636" style="1" width="1.57"/>
    <col collapsed="false" customWidth="false" hidden="false" outlineLevel="0" max="3637" min="3637" style="1" width="0.71"/>
    <col collapsed="false" customWidth="true" hidden="false" outlineLevel="0" max="3638" min="3638" style="1" width="11.29"/>
    <col collapsed="false" customWidth="false" hidden="false" outlineLevel="0" max="3639" min="3639" style="1" width="0.71"/>
    <col collapsed="false" customWidth="true" hidden="false" outlineLevel="0" max="3640" min="3640" style="1" width="1.57"/>
    <col collapsed="false" customWidth="false" hidden="false" outlineLevel="0" max="3645" min="3641" style="1" width="0.71"/>
    <col collapsed="false" customWidth="true" hidden="false" outlineLevel="0" max="3646" min="3646" style="1" width="2.15"/>
    <col collapsed="false" customWidth="false" hidden="false" outlineLevel="0" max="3647" min="3647" style="1" width="0.71"/>
    <col collapsed="false" customWidth="true" hidden="false" outlineLevel="0" max="3648" min="3648" style="1" width="1.57"/>
    <col collapsed="false" customWidth="false" hidden="false" outlineLevel="0" max="3649" min="3649" style="1" width="0.71"/>
    <col collapsed="false" customWidth="true" hidden="false" outlineLevel="0" max="3650" min="3650" style="1" width="7"/>
    <col collapsed="false" customWidth="false" hidden="false" outlineLevel="0" max="3651" min="3651" style="1" width="0.71"/>
    <col collapsed="false" customWidth="true" hidden="false" outlineLevel="0" max="3652" min="3652" style="1" width="4"/>
    <col collapsed="false" customWidth="false" hidden="false" outlineLevel="0" max="3653" min="3653" style="1" width="0.71"/>
    <col collapsed="false" customWidth="true" hidden="false" outlineLevel="0" max="3654" min="3654" style="1" width="1.57"/>
    <col collapsed="false" customWidth="false" hidden="false" outlineLevel="0" max="3655" min="3655" style="1" width="0.71"/>
    <col collapsed="false" customWidth="true" hidden="false" outlineLevel="0" max="3656" min="3656" style="1" width="7"/>
    <col collapsed="false" customWidth="false" hidden="false" outlineLevel="0" max="3659" min="3657" style="1" width="0.71"/>
    <col collapsed="false" customWidth="true" hidden="false" outlineLevel="0" max="3660" min="3660" style="1" width="2.42"/>
    <col collapsed="false" customWidth="false" hidden="false" outlineLevel="0" max="3666" min="3661" style="1" width="0.71"/>
    <col collapsed="false" customWidth="true" hidden="false" outlineLevel="0" max="3667" min="3667" style="1" width="16.57"/>
    <col collapsed="false" customWidth="false" hidden="false" outlineLevel="0" max="3670" min="3668" style="1" width="0.71"/>
    <col collapsed="false" customWidth="true" hidden="false" outlineLevel="0" max="3671" min="3671" style="1" width="9.86"/>
    <col collapsed="false" customWidth="true" hidden="false" outlineLevel="0" max="3674" min="3672" style="1" width="9.29"/>
    <col collapsed="false" customWidth="false" hidden="false" outlineLevel="0" max="3887" min="3675" style="1" width="0.71"/>
    <col collapsed="false" customWidth="true" hidden="false" outlineLevel="0" max="3888" min="3888" style="1" width="3.42"/>
    <col collapsed="false" customWidth="true" hidden="false" outlineLevel="0" max="3889" min="3889" style="1" width="2.42"/>
    <col collapsed="false" customWidth="true" hidden="false" outlineLevel="0" max="3890" min="3890" style="1" width="7"/>
    <col collapsed="false" customWidth="false" hidden="false" outlineLevel="0" max="3891" min="3891" style="1" width="0.71"/>
    <col collapsed="false" customWidth="true" hidden="false" outlineLevel="0" max="3892" min="3892" style="1" width="1.57"/>
    <col collapsed="false" customWidth="false" hidden="false" outlineLevel="0" max="3893" min="3893" style="1" width="0.71"/>
    <col collapsed="false" customWidth="true" hidden="false" outlineLevel="0" max="3894" min="3894" style="1" width="11.29"/>
    <col collapsed="false" customWidth="false" hidden="false" outlineLevel="0" max="3895" min="3895" style="1" width="0.71"/>
    <col collapsed="false" customWidth="true" hidden="false" outlineLevel="0" max="3896" min="3896" style="1" width="1.57"/>
    <col collapsed="false" customWidth="false" hidden="false" outlineLevel="0" max="3901" min="3897" style="1" width="0.71"/>
    <col collapsed="false" customWidth="true" hidden="false" outlineLevel="0" max="3902" min="3902" style="1" width="2.15"/>
    <col collapsed="false" customWidth="false" hidden="false" outlineLevel="0" max="3903" min="3903" style="1" width="0.71"/>
    <col collapsed="false" customWidth="true" hidden="false" outlineLevel="0" max="3904" min="3904" style="1" width="1.57"/>
    <col collapsed="false" customWidth="false" hidden="false" outlineLevel="0" max="3905" min="3905" style="1" width="0.71"/>
    <col collapsed="false" customWidth="true" hidden="false" outlineLevel="0" max="3906" min="3906" style="1" width="7"/>
    <col collapsed="false" customWidth="false" hidden="false" outlineLevel="0" max="3907" min="3907" style="1" width="0.71"/>
    <col collapsed="false" customWidth="true" hidden="false" outlineLevel="0" max="3908" min="3908" style="1" width="4"/>
    <col collapsed="false" customWidth="false" hidden="false" outlineLevel="0" max="3909" min="3909" style="1" width="0.71"/>
    <col collapsed="false" customWidth="true" hidden="false" outlineLevel="0" max="3910" min="3910" style="1" width="1.57"/>
    <col collapsed="false" customWidth="false" hidden="false" outlineLevel="0" max="3911" min="3911" style="1" width="0.71"/>
    <col collapsed="false" customWidth="true" hidden="false" outlineLevel="0" max="3912" min="3912" style="1" width="7"/>
    <col collapsed="false" customWidth="false" hidden="false" outlineLevel="0" max="3915" min="3913" style="1" width="0.71"/>
    <col collapsed="false" customWidth="true" hidden="false" outlineLevel="0" max="3916" min="3916" style="1" width="2.42"/>
    <col collapsed="false" customWidth="false" hidden="false" outlineLevel="0" max="3922" min="3917" style="1" width="0.71"/>
    <col collapsed="false" customWidth="true" hidden="false" outlineLevel="0" max="3923" min="3923" style="1" width="16.57"/>
    <col collapsed="false" customWidth="false" hidden="false" outlineLevel="0" max="3926" min="3924" style="1" width="0.71"/>
    <col collapsed="false" customWidth="true" hidden="false" outlineLevel="0" max="3927" min="3927" style="1" width="9.86"/>
    <col collapsed="false" customWidth="true" hidden="false" outlineLevel="0" max="3930" min="3928" style="1" width="9.29"/>
    <col collapsed="false" customWidth="false" hidden="false" outlineLevel="0" max="4143" min="3931" style="1" width="0.71"/>
    <col collapsed="false" customWidth="true" hidden="false" outlineLevel="0" max="4144" min="4144" style="1" width="3.42"/>
    <col collapsed="false" customWidth="true" hidden="false" outlineLevel="0" max="4145" min="4145" style="1" width="2.42"/>
    <col collapsed="false" customWidth="true" hidden="false" outlineLevel="0" max="4146" min="4146" style="1" width="7"/>
    <col collapsed="false" customWidth="false" hidden="false" outlineLevel="0" max="4147" min="4147" style="1" width="0.71"/>
    <col collapsed="false" customWidth="true" hidden="false" outlineLevel="0" max="4148" min="4148" style="1" width="1.57"/>
    <col collapsed="false" customWidth="false" hidden="false" outlineLevel="0" max="4149" min="4149" style="1" width="0.71"/>
    <col collapsed="false" customWidth="true" hidden="false" outlineLevel="0" max="4150" min="4150" style="1" width="11.29"/>
    <col collapsed="false" customWidth="false" hidden="false" outlineLevel="0" max="4151" min="4151" style="1" width="0.71"/>
    <col collapsed="false" customWidth="true" hidden="false" outlineLevel="0" max="4152" min="4152" style="1" width="1.57"/>
    <col collapsed="false" customWidth="false" hidden="false" outlineLevel="0" max="4157" min="4153" style="1" width="0.71"/>
    <col collapsed="false" customWidth="true" hidden="false" outlineLevel="0" max="4158" min="4158" style="1" width="2.15"/>
    <col collapsed="false" customWidth="false" hidden="false" outlineLevel="0" max="4159" min="4159" style="1" width="0.71"/>
    <col collapsed="false" customWidth="true" hidden="false" outlineLevel="0" max="4160" min="4160" style="1" width="1.57"/>
    <col collapsed="false" customWidth="false" hidden="false" outlineLevel="0" max="4161" min="4161" style="1" width="0.71"/>
    <col collapsed="false" customWidth="true" hidden="false" outlineLevel="0" max="4162" min="4162" style="1" width="7"/>
    <col collapsed="false" customWidth="false" hidden="false" outlineLevel="0" max="4163" min="4163" style="1" width="0.71"/>
    <col collapsed="false" customWidth="true" hidden="false" outlineLevel="0" max="4164" min="4164" style="1" width="4"/>
    <col collapsed="false" customWidth="false" hidden="false" outlineLevel="0" max="4165" min="4165" style="1" width="0.71"/>
    <col collapsed="false" customWidth="true" hidden="false" outlineLevel="0" max="4166" min="4166" style="1" width="1.57"/>
    <col collapsed="false" customWidth="false" hidden="false" outlineLevel="0" max="4167" min="4167" style="1" width="0.71"/>
    <col collapsed="false" customWidth="true" hidden="false" outlineLevel="0" max="4168" min="4168" style="1" width="7"/>
    <col collapsed="false" customWidth="false" hidden="false" outlineLevel="0" max="4171" min="4169" style="1" width="0.71"/>
    <col collapsed="false" customWidth="true" hidden="false" outlineLevel="0" max="4172" min="4172" style="1" width="2.42"/>
    <col collapsed="false" customWidth="false" hidden="false" outlineLevel="0" max="4178" min="4173" style="1" width="0.71"/>
    <col collapsed="false" customWidth="true" hidden="false" outlineLevel="0" max="4179" min="4179" style="1" width="16.57"/>
    <col collapsed="false" customWidth="false" hidden="false" outlineLevel="0" max="4182" min="4180" style="1" width="0.71"/>
    <col collapsed="false" customWidth="true" hidden="false" outlineLevel="0" max="4183" min="4183" style="1" width="9.86"/>
    <col collapsed="false" customWidth="true" hidden="false" outlineLevel="0" max="4186" min="4184" style="1" width="9.29"/>
    <col collapsed="false" customWidth="false" hidden="false" outlineLevel="0" max="4399" min="4187" style="1" width="0.71"/>
    <col collapsed="false" customWidth="true" hidden="false" outlineLevel="0" max="4400" min="4400" style="1" width="3.42"/>
    <col collapsed="false" customWidth="true" hidden="false" outlineLevel="0" max="4401" min="4401" style="1" width="2.42"/>
    <col collapsed="false" customWidth="true" hidden="false" outlineLevel="0" max="4402" min="4402" style="1" width="7"/>
    <col collapsed="false" customWidth="false" hidden="false" outlineLevel="0" max="4403" min="4403" style="1" width="0.71"/>
    <col collapsed="false" customWidth="true" hidden="false" outlineLevel="0" max="4404" min="4404" style="1" width="1.57"/>
    <col collapsed="false" customWidth="false" hidden="false" outlineLevel="0" max="4405" min="4405" style="1" width="0.71"/>
    <col collapsed="false" customWidth="true" hidden="false" outlineLevel="0" max="4406" min="4406" style="1" width="11.29"/>
    <col collapsed="false" customWidth="false" hidden="false" outlineLevel="0" max="4407" min="4407" style="1" width="0.71"/>
    <col collapsed="false" customWidth="true" hidden="false" outlineLevel="0" max="4408" min="4408" style="1" width="1.57"/>
    <col collapsed="false" customWidth="false" hidden="false" outlineLevel="0" max="4413" min="4409" style="1" width="0.71"/>
    <col collapsed="false" customWidth="true" hidden="false" outlineLevel="0" max="4414" min="4414" style="1" width="2.15"/>
    <col collapsed="false" customWidth="false" hidden="false" outlineLevel="0" max="4415" min="4415" style="1" width="0.71"/>
    <col collapsed="false" customWidth="true" hidden="false" outlineLevel="0" max="4416" min="4416" style="1" width="1.57"/>
    <col collapsed="false" customWidth="false" hidden="false" outlineLevel="0" max="4417" min="4417" style="1" width="0.71"/>
    <col collapsed="false" customWidth="true" hidden="false" outlineLevel="0" max="4418" min="4418" style="1" width="7"/>
    <col collapsed="false" customWidth="false" hidden="false" outlineLevel="0" max="4419" min="4419" style="1" width="0.71"/>
    <col collapsed="false" customWidth="true" hidden="false" outlineLevel="0" max="4420" min="4420" style="1" width="4"/>
    <col collapsed="false" customWidth="false" hidden="false" outlineLevel="0" max="4421" min="4421" style="1" width="0.71"/>
    <col collapsed="false" customWidth="true" hidden="false" outlineLevel="0" max="4422" min="4422" style="1" width="1.57"/>
    <col collapsed="false" customWidth="false" hidden="false" outlineLevel="0" max="4423" min="4423" style="1" width="0.71"/>
    <col collapsed="false" customWidth="true" hidden="false" outlineLevel="0" max="4424" min="4424" style="1" width="7"/>
    <col collapsed="false" customWidth="false" hidden="false" outlineLevel="0" max="4427" min="4425" style="1" width="0.71"/>
    <col collapsed="false" customWidth="true" hidden="false" outlineLevel="0" max="4428" min="4428" style="1" width="2.42"/>
    <col collapsed="false" customWidth="false" hidden="false" outlineLevel="0" max="4434" min="4429" style="1" width="0.71"/>
    <col collapsed="false" customWidth="true" hidden="false" outlineLevel="0" max="4435" min="4435" style="1" width="16.57"/>
    <col collapsed="false" customWidth="false" hidden="false" outlineLevel="0" max="4438" min="4436" style="1" width="0.71"/>
    <col collapsed="false" customWidth="true" hidden="false" outlineLevel="0" max="4439" min="4439" style="1" width="9.86"/>
    <col collapsed="false" customWidth="true" hidden="false" outlineLevel="0" max="4442" min="4440" style="1" width="9.29"/>
    <col collapsed="false" customWidth="false" hidden="false" outlineLevel="0" max="4655" min="4443" style="1" width="0.71"/>
    <col collapsed="false" customWidth="true" hidden="false" outlineLevel="0" max="4656" min="4656" style="1" width="3.42"/>
    <col collapsed="false" customWidth="true" hidden="false" outlineLevel="0" max="4657" min="4657" style="1" width="2.42"/>
    <col collapsed="false" customWidth="true" hidden="false" outlineLevel="0" max="4658" min="4658" style="1" width="7"/>
    <col collapsed="false" customWidth="false" hidden="false" outlineLevel="0" max="4659" min="4659" style="1" width="0.71"/>
    <col collapsed="false" customWidth="true" hidden="false" outlineLevel="0" max="4660" min="4660" style="1" width="1.57"/>
    <col collapsed="false" customWidth="false" hidden="false" outlineLevel="0" max="4661" min="4661" style="1" width="0.71"/>
    <col collapsed="false" customWidth="true" hidden="false" outlineLevel="0" max="4662" min="4662" style="1" width="11.29"/>
    <col collapsed="false" customWidth="false" hidden="false" outlineLevel="0" max="4663" min="4663" style="1" width="0.71"/>
    <col collapsed="false" customWidth="true" hidden="false" outlineLevel="0" max="4664" min="4664" style="1" width="1.57"/>
    <col collapsed="false" customWidth="false" hidden="false" outlineLevel="0" max="4669" min="4665" style="1" width="0.71"/>
    <col collapsed="false" customWidth="true" hidden="false" outlineLevel="0" max="4670" min="4670" style="1" width="2.15"/>
    <col collapsed="false" customWidth="false" hidden="false" outlineLevel="0" max="4671" min="4671" style="1" width="0.71"/>
    <col collapsed="false" customWidth="true" hidden="false" outlineLevel="0" max="4672" min="4672" style="1" width="1.57"/>
    <col collapsed="false" customWidth="false" hidden="false" outlineLevel="0" max="4673" min="4673" style="1" width="0.71"/>
    <col collapsed="false" customWidth="true" hidden="false" outlineLevel="0" max="4674" min="4674" style="1" width="7"/>
    <col collapsed="false" customWidth="false" hidden="false" outlineLevel="0" max="4675" min="4675" style="1" width="0.71"/>
    <col collapsed="false" customWidth="true" hidden="false" outlineLevel="0" max="4676" min="4676" style="1" width="4"/>
    <col collapsed="false" customWidth="false" hidden="false" outlineLevel="0" max="4677" min="4677" style="1" width="0.71"/>
    <col collapsed="false" customWidth="true" hidden="false" outlineLevel="0" max="4678" min="4678" style="1" width="1.57"/>
    <col collapsed="false" customWidth="false" hidden="false" outlineLevel="0" max="4679" min="4679" style="1" width="0.71"/>
    <col collapsed="false" customWidth="true" hidden="false" outlineLevel="0" max="4680" min="4680" style="1" width="7"/>
    <col collapsed="false" customWidth="false" hidden="false" outlineLevel="0" max="4683" min="4681" style="1" width="0.71"/>
    <col collapsed="false" customWidth="true" hidden="false" outlineLevel="0" max="4684" min="4684" style="1" width="2.42"/>
    <col collapsed="false" customWidth="false" hidden="false" outlineLevel="0" max="4690" min="4685" style="1" width="0.71"/>
    <col collapsed="false" customWidth="true" hidden="false" outlineLevel="0" max="4691" min="4691" style="1" width="16.57"/>
    <col collapsed="false" customWidth="false" hidden="false" outlineLevel="0" max="4694" min="4692" style="1" width="0.71"/>
    <col collapsed="false" customWidth="true" hidden="false" outlineLevel="0" max="4695" min="4695" style="1" width="9.86"/>
    <col collapsed="false" customWidth="true" hidden="false" outlineLevel="0" max="4698" min="4696" style="1" width="9.29"/>
    <col collapsed="false" customWidth="false" hidden="false" outlineLevel="0" max="4911" min="4699" style="1" width="0.71"/>
    <col collapsed="false" customWidth="true" hidden="false" outlineLevel="0" max="4912" min="4912" style="1" width="3.42"/>
    <col collapsed="false" customWidth="true" hidden="false" outlineLevel="0" max="4913" min="4913" style="1" width="2.42"/>
    <col collapsed="false" customWidth="true" hidden="false" outlineLevel="0" max="4914" min="4914" style="1" width="7"/>
    <col collapsed="false" customWidth="false" hidden="false" outlineLevel="0" max="4915" min="4915" style="1" width="0.71"/>
    <col collapsed="false" customWidth="true" hidden="false" outlineLevel="0" max="4916" min="4916" style="1" width="1.57"/>
    <col collapsed="false" customWidth="false" hidden="false" outlineLevel="0" max="4917" min="4917" style="1" width="0.71"/>
    <col collapsed="false" customWidth="true" hidden="false" outlineLevel="0" max="4918" min="4918" style="1" width="11.29"/>
    <col collapsed="false" customWidth="false" hidden="false" outlineLevel="0" max="4919" min="4919" style="1" width="0.71"/>
    <col collapsed="false" customWidth="true" hidden="false" outlineLevel="0" max="4920" min="4920" style="1" width="1.57"/>
    <col collapsed="false" customWidth="false" hidden="false" outlineLevel="0" max="4925" min="4921" style="1" width="0.71"/>
    <col collapsed="false" customWidth="true" hidden="false" outlineLevel="0" max="4926" min="4926" style="1" width="2.15"/>
    <col collapsed="false" customWidth="false" hidden="false" outlineLevel="0" max="4927" min="4927" style="1" width="0.71"/>
    <col collapsed="false" customWidth="true" hidden="false" outlineLevel="0" max="4928" min="4928" style="1" width="1.57"/>
    <col collapsed="false" customWidth="false" hidden="false" outlineLevel="0" max="4929" min="4929" style="1" width="0.71"/>
    <col collapsed="false" customWidth="true" hidden="false" outlineLevel="0" max="4930" min="4930" style="1" width="7"/>
    <col collapsed="false" customWidth="false" hidden="false" outlineLevel="0" max="4931" min="4931" style="1" width="0.71"/>
    <col collapsed="false" customWidth="true" hidden="false" outlineLevel="0" max="4932" min="4932" style="1" width="4"/>
    <col collapsed="false" customWidth="false" hidden="false" outlineLevel="0" max="4933" min="4933" style="1" width="0.71"/>
    <col collapsed="false" customWidth="true" hidden="false" outlineLevel="0" max="4934" min="4934" style="1" width="1.57"/>
    <col collapsed="false" customWidth="false" hidden="false" outlineLevel="0" max="4935" min="4935" style="1" width="0.71"/>
    <col collapsed="false" customWidth="true" hidden="false" outlineLevel="0" max="4936" min="4936" style="1" width="7"/>
    <col collapsed="false" customWidth="false" hidden="false" outlineLevel="0" max="4939" min="4937" style="1" width="0.71"/>
    <col collapsed="false" customWidth="true" hidden="false" outlineLevel="0" max="4940" min="4940" style="1" width="2.42"/>
    <col collapsed="false" customWidth="false" hidden="false" outlineLevel="0" max="4946" min="4941" style="1" width="0.71"/>
    <col collapsed="false" customWidth="true" hidden="false" outlineLevel="0" max="4947" min="4947" style="1" width="16.57"/>
    <col collapsed="false" customWidth="false" hidden="false" outlineLevel="0" max="4950" min="4948" style="1" width="0.71"/>
    <col collapsed="false" customWidth="true" hidden="false" outlineLevel="0" max="4951" min="4951" style="1" width="9.86"/>
    <col collapsed="false" customWidth="true" hidden="false" outlineLevel="0" max="4954" min="4952" style="1" width="9.29"/>
    <col collapsed="false" customWidth="false" hidden="false" outlineLevel="0" max="5167" min="4955" style="1" width="0.71"/>
    <col collapsed="false" customWidth="true" hidden="false" outlineLevel="0" max="5168" min="5168" style="1" width="3.42"/>
    <col collapsed="false" customWidth="true" hidden="false" outlineLevel="0" max="5169" min="5169" style="1" width="2.42"/>
    <col collapsed="false" customWidth="true" hidden="false" outlineLevel="0" max="5170" min="5170" style="1" width="7"/>
    <col collapsed="false" customWidth="false" hidden="false" outlineLevel="0" max="5171" min="5171" style="1" width="0.71"/>
    <col collapsed="false" customWidth="true" hidden="false" outlineLevel="0" max="5172" min="5172" style="1" width="1.57"/>
    <col collapsed="false" customWidth="false" hidden="false" outlineLevel="0" max="5173" min="5173" style="1" width="0.71"/>
    <col collapsed="false" customWidth="true" hidden="false" outlineLevel="0" max="5174" min="5174" style="1" width="11.29"/>
    <col collapsed="false" customWidth="false" hidden="false" outlineLevel="0" max="5175" min="5175" style="1" width="0.71"/>
    <col collapsed="false" customWidth="true" hidden="false" outlineLevel="0" max="5176" min="5176" style="1" width="1.57"/>
    <col collapsed="false" customWidth="false" hidden="false" outlineLevel="0" max="5181" min="5177" style="1" width="0.71"/>
    <col collapsed="false" customWidth="true" hidden="false" outlineLevel="0" max="5182" min="5182" style="1" width="2.15"/>
    <col collapsed="false" customWidth="false" hidden="false" outlineLevel="0" max="5183" min="5183" style="1" width="0.71"/>
    <col collapsed="false" customWidth="true" hidden="false" outlineLevel="0" max="5184" min="5184" style="1" width="1.57"/>
    <col collapsed="false" customWidth="false" hidden="false" outlineLevel="0" max="5185" min="5185" style="1" width="0.71"/>
    <col collapsed="false" customWidth="true" hidden="false" outlineLevel="0" max="5186" min="5186" style="1" width="7"/>
    <col collapsed="false" customWidth="false" hidden="false" outlineLevel="0" max="5187" min="5187" style="1" width="0.71"/>
    <col collapsed="false" customWidth="true" hidden="false" outlineLevel="0" max="5188" min="5188" style="1" width="4"/>
    <col collapsed="false" customWidth="false" hidden="false" outlineLevel="0" max="5189" min="5189" style="1" width="0.71"/>
    <col collapsed="false" customWidth="true" hidden="false" outlineLevel="0" max="5190" min="5190" style="1" width="1.57"/>
    <col collapsed="false" customWidth="false" hidden="false" outlineLevel="0" max="5191" min="5191" style="1" width="0.71"/>
    <col collapsed="false" customWidth="true" hidden="false" outlineLevel="0" max="5192" min="5192" style="1" width="7"/>
    <col collapsed="false" customWidth="false" hidden="false" outlineLevel="0" max="5195" min="5193" style="1" width="0.71"/>
    <col collapsed="false" customWidth="true" hidden="false" outlineLevel="0" max="5196" min="5196" style="1" width="2.42"/>
    <col collapsed="false" customWidth="false" hidden="false" outlineLevel="0" max="5202" min="5197" style="1" width="0.71"/>
    <col collapsed="false" customWidth="true" hidden="false" outlineLevel="0" max="5203" min="5203" style="1" width="16.57"/>
    <col collapsed="false" customWidth="false" hidden="false" outlineLevel="0" max="5206" min="5204" style="1" width="0.71"/>
    <col collapsed="false" customWidth="true" hidden="false" outlineLevel="0" max="5207" min="5207" style="1" width="9.86"/>
    <col collapsed="false" customWidth="true" hidden="false" outlineLevel="0" max="5210" min="5208" style="1" width="9.29"/>
    <col collapsed="false" customWidth="false" hidden="false" outlineLevel="0" max="5423" min="5211" style="1" width="0.71"/>
    <col collapsed="false" customWidth="true" hidden="false" outlineLevel="0" max="5424" min="5424" style="1" width="3.42"/>
    <col collapsed="false" customWidth="true" hidden="false" outlineLevel="0" max="5425" min="5425" style="1" width="2.42"/>
    <col collapsed="false" customWidth="true" hidden="false" outlineLevel="0" max="5426" min="5426" style="1" width="7"/>
    <col collapsed="false" customWidth="false" hidden="false" outlineLevel="0" max="5427" min="5427" style="1" width="0.71"/>
    <col collapsed="false" customWidth="true" hidden="false" outlineLevel="0" max="5428" min="5428" style="1" width="1.57"/>
    <col collapsed="false" customWidth="false" hidden="false" outlineLevel="0" max="5429" min="5429" style="1" width="0.71"/>
    <col collapsed="false" customWidth="true" hidden="false" outlineLevel="0" max="5430" min="5430" style="1" width="11.29"/>
    <col collapsed="false" customWidth="false" hidden="false" outlineLevel="0" max="5431" min="5431" style="1" width="0.71"/>
    <col collapsed="false" customWidth="true" hidden="false" outlineLevel="0" max="5432" min="5432" style="1" width="1.57"/>
    <col collapsed="false" customWidth="false" hidden="false" outlineLevel="0" max="5437" min="5433" style="1" width="0.71"/>
    <col collapsed="false" customWidth="true" hidden="false" outlineLevel="0" max="5438" min="5438" style="1" width="2.15"/>
    <col collapsed="false" customWidth="false" hidden="false" outlineLevel="0" max="5439" min="5439" style="1" width="0.71"/>
    <col collapsed="false" customWidth="true" hidden="false" outlineLevel="0" max="5440" min="5440" style="1" width="1.57"/>
    <col collapsed="false" customWidth="false" hidden="false" outlineLevel="0" max="5441" min="5441" style="1" width="0.71"/>
    <col collapsed="false" customWidth="true" hidden="false" outlineLevel="0" max="5442" min="5442" style="1" width="7"/>
    <col collapsed="false" customWidth="false" hidden="false" outlineLevel="0" max="5443" min="5443" style="1" width="0.71"/>
    <col collapsed="false" customWidth="true" hidden="false" outlineLevel="0" max="5444" min="5444" style="1" width="4"/>
    <col collapsed="false" customWidth="false" hidden="false" outlineLevel="0" max="5445" min="5445" style="1" width="0.71"/>
    <col collapsed="false" customWidth="true" hidden="false" outlineLevel="0" max="5446" min="5446" style="1" width="1.57"/>
    <col collapsed="false" customWidth="false" hidden="false" outlineLevel="0" max="5447" min="5447" style="1" width="0.71"/>
    <col collapsed="false" customWidth="true" hidden="false" outlineLevel="0" max="5448" min="5448" style="1" width="7"/>
    <col collapsed="false" customWidth="false" hidden="false" outlineLevel="0" max="5451" min="5449" style="1" width="0.71"/>
    <col collapsed="false" customWidth="true" hidden="false" outlineLevel="0" max="5452" min="5452" style="1" width="2.42"/>
    <col collapsed="false" customWidth="false" hidden="false" outlineLevel="0" max="5458" min="5453" style="1" width="0.71"/>
    <col collapsed="false" customWidth="true" hidden="false" outlineLevel="0" max="5459" min="5459" style="1" width="16.57"/>
    <col collapsed="false" customWidth="false" hidden="false" outlineLevel="0" max="5462" min="5460" style="1" width="0.71"/>
    <col collapsed="false" customWidth="true" hidden="false" outlineLevel="0" max="5463" min="5463" style="1" width="9.86"/>
    <col collapsed="false" customWidth="true" hidden="false" outlineLevel="0" max="5466" min="5464" style="1" width="9.29"/>
    <col collapsed="false" customWidth="false" hidden="false" outlineLevel="0" max="5679" min="5467" style="1" width="0.71"/>
    <col collapsed="false" customWidth="true" hidden="false" outlineLevel="0" max="5680" min="5680" style="1" width="3.42"/>
    <col collapsed="false" customWidth="true" hidden="false" outlineLevel="0" max="5681" min="5681" style="1" width="2.42"/>
    <col collapsed="false" customWidth="true" hidden="false" outlineLevel="0" max="5682" min="5682" style="1" width="7"/>
    <col collapsed="false" customWidth="false" hidden="false" outlineLevel="0" max="5683" min="5683" style="1" width="0.71"/>
    <col collapsed="false" customWidth="true" hidden="false" outlineLevel="0" max="5684" min="5684" style="1" width="1.57"/>
    <col collapsed="false" customWidth="false" hidden="false" outlineLevel="0" max="5685" min="5685" style="1" width="0.71"/>
    <col collapsed="false" customWidth="true" hidden="false" outlineLevel="0" max="5686" min="5686" style="1" width="11.29"/>
    <col collapsed="false" customWidth="false" hidden="false" outlineLevel="0" max="5687" min="5687" style="1" width="0.71"/>
    <col collapsed="false" customWidth="true" hidden="false" outlineLevel="0" max="5688" min="5688" style="1" width="1.57"/>
    <col collapsed="false" customWidth="false" hidden="false" outlineLevel="0" max="5693" min="5689" style="1" width="0.71"/>
    <col collapsed="false" customWidth="true" hidden="false" outlineLevel="0" max="5694" min="5694" style="1" width="2.15"/>
    <col collapsed="false" customWidth="false" hidden="false" outlineLevel="0" max="5695" min="5695" style="1" width="0.71"/>
    <col collapsed="false" customWidth="true" hidden="false" outlineLevel="0" max="5696" min="5696" style="1" width="1.57"/>
    <col collapsed="false" customWidth="false" hidden="false" outlineLevel="0" max="5697" min="5697" style="1" width="0.71"/>
    <col collapsed="false" customWidth="true" hidden="false" outlineLevel="0" max="5698" min="5698" style="1" width="7"/>
    <col collapsed="false" customWidth="false" hidden="false" outlineLevel="0" max="5699" min="5699" style="1" width="0.71"/>
    <col collapsed="false" customWidth="true" hidden="false" outlineLevel="0" max="5700" min="5700" style="1" width="4"/>
    <col collapsed="false" customWidth="false" hidden="false" outlineLevel="0" max="5701" min="5701" style="1" width="0.71"/>
    <col collapsed="false" customWidth="true" hidden="false" outlineLevel="0" max="5702" min="5702" style="1" width="1.57"/>
    <col collapsed="false" customWidth="false" hidden="false" outlineLevel="0" max="5703" min="5703" style="1" width="0.71"/>
    <col collapsed="false" customWidth="true" hidden="false" outlineLevel="0" max="5704" min="5704" style="1" width="7"/>
    <col collapsed="false" customWidth="false" hidden="false" outlineLevel="0" max="5707" min="5705" style="1" width="0.71"/>
    <col collapsed="false" customWidth="true" hidden="false" outlineLevel="0" max="5708" min="5708" style="1" width="2.42"/>
    <col collapsed="false" customWidth="false" hidden="false" outlineLevel="0" max="5714" min="5709" style="1" width="0.71"/>
    <col collapsed="false" customWidth="true" hidden="false" outlineLevel="0" max="5715" min="5715" style="1" width="16.57"/>
    <col collapsed="false" customWidth="false" hidden="false" outlineLevel="0" max="5718" min="5716" style="1" width="0.71"/>
    <col collapsed="false" customWidth="true" hidden="false" outlineLevel="0" max="5719" min="5719" style="1" width="9.86"/>
    <col collapsed="false" customWidth="true" hidden="false" outlineLevel="0" max="5722" min="5720" style="1" width="9.29"/>
    <col collapsed="false" customWidth="false" hidden="false" outlineLevel="0" max="5935" min="5723" style="1" width="0.71"/>
    <col collapsed="false" customWidth="true" hidden="false" outlineLevel="0" max="5936" min="5936" style="1" width="3.42"/>
    <col collapsed="false" customWidth="true" hidden="false" outlineLevel="0" max="5937" min="5937" style="1" width="2.42"/>
    <col collapsed="false" customWidth="true" hidden="false" outlineLevel="0" max="5938" min="5938" style="1" width="7"/>
    <col collapsed="false" customWidth="false" hidden="false" outlineLevel="0" max="5939" min="5939" style="1" width="0.71"/>
    <col collapsed="false" customWidth="true" hidden="false" outlineLevel="0" max="5940" min="5940" style="1" width="1.57"/>
    <col collapsed="false" customWidth="false" hidden="false" outlineLevel="0" max="5941" min="5941" style="1" width="0.71"/>
    <col collapsed="false" customWidth="true" hidden="false" outlineLevel="0" max="5942" min="5942" style="1" width="11.29"/>
    <col collapsed="false" customWidth="false" hidden="false" outlineLevel="0" max="5943" min="5943" style="1" width="0.71"/>
    <col collapsed="false" customWidth="true" hidden="false" outlineLevel="0" max="5944" min="5944" style="1" width="1.57"/>
    <col collapsed="false" customWidth="false" hidden="false" outlineLevel="0" max="5949" min="5945" style="1" width="0.71"/>
    <col collapsed="false" customWidth="true" hidden="false" outlineLevel="0" max="5950" min="5950" style="1" width="2.15"/>
    <col collapsed="false" customWidth="false" hidden="false" outlineLevel="0" max="5951" min="5951" style="1" width="0.71"/>
    <col collapsed="false" customWidth="true" hidden="false" outlineLevel="0" max="5952" min="5952" style="1" width="1.57"/>
    <col collapsed="false" customWidth="false" hidden="false" outlineLevel="0" max="5953" min="5953" style="1" width="0.71"/>
    <col collapsed="false" customWidth="true" hidden="false" outlineLevel="0" max="5954" min="5954" style="1" width="7"/>
    <col collapsed="false" customWidth="false" hidden="false" outlineLevel="0" max="5955" min="5955" style="1" width="0.71"/>
    <col collapsed="false" customWidth="true" hidden="false" outlineLevel="0" max="5956" min="5956" style="1" width="4"/>
    <col collapsed="false" customWidth="false" hidden="false" outlineLevel="0" max="5957" min="5957" style="1" width="0.71"/>
    <col collapsed="false" customWidth="true" hidden="false" outlineLevel="0" max="5958" min="5958" style="1" width="1.57"/>
    <col collapsed="false" customWidth="false" hidden="false" outlineLevel="0" max="5959" min="5959" style="1" width="0.71"/>
    <col collapsed="false" customWidth="true" hidden="false" outlineLevel="0" max="5960" min="5960" style="1" width="7"/>
    <col collapsed="false" customWidth="false" hidden="false" outlineLevel="0" max="5963" min="5961" style="1" width="0.71"/>
    <col collapsed="false" customWidth="true" hidden="false" outlineLevel="0" max="5964" min="5964" style="1" width="2.42"/>
    <col collapsed="false" customWidth="false" hidden="false" outlineLevel="0" max="5970" min="5965" style="1" width="0.71"/>
    <col collapsed="false" customWidth="true" hidden="false" outlineLevel="0" max="5971" min="5971" style="1" width="16.57"/>
    <col collapsed="false" customWidth="false" hidden="false" outlineLevel="0" max="5974" min="5972" style="1" width="0.71"/>
    <col collapsed="false" customWidth="true" hidden="false" outlineLevel="0" max="5975" min="5975" style="1" width="9.86"/>
    <col collapsed="false" customWidth="true" hidden="false" outlineLevel="0" max="5978" min="5976" style="1" width="9.29"/>
    <col collapsed="false" customWidth="false" hidden="false" outlineLevel="0" max="6191" min="5979" style="1" width="0.71"/>
    <col collapsed="false" customWidth="true" hidden="false" outlineLevel="0" max="6192" min="6192" style="1" width="3.42"/>
    <col collapsed="false" customWidth="true" hidden="false" outlineLevel="0" max="6193" min="6193" style="1" width="2.42"/>
    <col collapsed="false" customWidth="true" hidden="false" outlineLevel="0" max="6194" min="6194" style="1" width="7"/>
    <col collapsed="false" customWidth="false" hidden="false" outlineLevel="0" max="6195" min="6195" style="1" width="0.71"/>
    <col collapsed="false" customWidth="true" hidden="false" outlineLevel="0" max="6196" min="6196" style="1" width="1.57"/>
    <col collapsed="false" customWidth="false" hidden="false" outlineLevel="0" max="6197" min="6197" style="1" width="0.71"/>
    <col collapsed="false" customWidth="true" hidden="false" outlineLevel="0" max="6198" min="6198" style="1" width="11.29"/>
    <col collapsed="false" customWidth="false" hidden="false" outlineLevel="0" max="6199" min="6199" style="1" width="0.71"/>
    <col collapsed="false" customWidth="true" hidden="false" outlineLevel="0" max="6200" min="6200" style="1" width="1.57"/>
    <col collapsed="false" customWidth="false" hidden="false" outlineLevel="0" max="6205" min="6201" style="1" width="0.71"/>
    <col collapsed="false" customWidth="true" hidden="false" outlineLevel="0" max="6206" min="6206" style="1" width="2.15"/>
    <col collapsed="false" customWidth="false" hidden="false" outlineLevel="0" max="6207" min="6207" style="1" width="0.71"/>
    <col collapsed="false" customWidth="true" hidden="false" outlineLevel="0" max="6208" min="6208" style="1" width="1.57"/>
    <col collapsed="false" customWidth="false" hidden="false" outlineLevel="0" max="6209" min="6209" style="1" width="0.71"/>
    <col collapsed="false" customWidth="true" hidden="false" outlineLevel="0" max="6210" min="6210" style="1" width="7"/>
    <col collapsed="false" customWidth="false" hidden="false" outlineLevel="0" max="6211" min="6211" style="1" width="0.71"/>
    <col collapsed="false" customWidth="true" hidden="false" outlineLevel="0" max="6212" min="6212" style="1" width="4"/>
    <col collapsed="false" customWidth="false" hidden="false" outlineLevel="0" max="6213" min="6213" style="1" width="0.71"/>
    <col collapsed="false" customWidth="true" hidden="false" outlineLevel="0" max="6214" min="6214" style="1" width="1.57"/>
    <col collapsed="false" customWidth="false" hidden="false" outlineLevel="0" max="6215" min="6215" style="1" width="0.71"/>
    <col collapsed="false" customWidth="true" hidden="false" outlineLevel="0" max="6216" min="6216" style="1" width="7"/>
    <col collapsed="false" customWidth="false" hidden="false" outlineLevel="0" max="6219" min="6217" style="1" width="0.71"/>
    <col collapsed="false" customWidth="true" hidden="false" outlineLevel="0" max="6220" min="6220" style="1" width="2.42"/>
    <col collapsed="false" customWidth="false" hidden="false" outlineLevel="0" max="6226" min="6221" style="1" width="0.71"/>
    <col collapsed="false" customWidth="true" hidden="false" outlineLevel="0" max="6227" min="6227" style="1" width="16.57"/>
    <col collapsed="false" customWidth="false" hidden="false" outlineLevel="0" max="6230" min="6228" style="1" width="0.71"/>
    <col collapsed="false" customWidth="true" hidden="false" outlineLevel="0" max="6231" min="6231" style="1" width="9.86"/>
    <col collapsed="false" customWidth="true" hidden="false" outlineLevel="0" max="6234" min="6232" style="1" width="9.29"/>
    <col collapsed="false" customWidth="false" hidden="false" outlineLevel="0" max="6447" min="6235" style="1" width="0.71"/>
    <col collapsed="false" customWidth="true" hidden="false" outlineLevel="0" max="6448" min="6448" style="1" width="3.42"/>
    <col collapsed="false" customWidth="true" hidden="false" outlineLevel="0" max="6449" min="6449" style="1" width="2.42"/>
    <col collapsed="false" customWidth="true" hidden="false" outlineLevel="0" max="6450" min="6450" style="1" width="7"/>
    <col collapsed="false" customWidth="false" hidden="false" outlineLevel="0" max="6451" min="6451" style="1" width="0.71"/>
    <col collapsed="false" customWidth="true" hidden="false" outlineLevel="0" max="6452" min="6452" style="1" width="1.57"/>
    <col collapsed="false" customWidth="false" hidden="false" outlineLevel="0" max="6453" min="6453" style="1" width="0.71"/>
    <col collapsed="false" customWidth="true" hidden="false" outlineLevel="0" max="6454" min="6454" style="1" width="11.29"/>
    <col collapsed="false" customWidth="false" hidden="false" outlineLevel="0" max="6455" min="6455" style="1" width="0.71"/>
    <col collapsed="false" customWidth="true" hidden="false" outlineLevel="0" max="6456" min="6456" style="1" width="1.57"/>
    <col collapsed="false" customWidth="false" hidden="false" outlineLevel="0" max="6461" min="6457" style="1" width="0.71"/>
    <col collapsed="false" customWidth="true" hidden="false" outlineLevel="0" max="6462" min="6462" style="1" width="2.15"/>
    <col collapsed="false" customWidth="false" hidden="false" outlineLevel="0" max="6463" min="6463" style="1" width="0.71"/>
    <col collapsed="false" customWidth="true" hidden="false" outlineLevel="0" max="6464" min="6464" style="1" width="1.57"/>
    <col collapsed="false" customWidth="false" hidden="false" outlineLevel="0" max="6465" min="6465" style="1" width="0.71"/>
    <col collapsed="false" customWidth="true" hidden="false" outlineLevel="0" max="6466" min="6466" style="1" width="7"/>
    <col collapsed="false" customWidth="false" hidden="false" outlineLevel="0" max="6467" min="6467" style="1" width="0.71"/>
    <col collapsed="false" customWidth="true" hidden="false" outlineLevel="0" max="6468" min="6468" style="1" width="4"/>
    <col collapsed="false" customWidth="false" hidden="false" outlineLevel="0" max="6469" min="6469" style="1" width="0.71"/>
    <col collapsed="false" customWidth="true" hidden="false" outlineLevel="0" max="6470" min="6470" style="1" width="1.57"/>
    <col collapsed="false" customWidth="false" hidden="false" outlineLevel="0" max="6471" min="6471" style="1" width="0.71"/>
    <col collapsed="false" customWidth="true" hidden="false" outlineLevel="0" max="6472" min="6472" style="1" width="7"/>
    <col collapsed="false" customWidth="false" hidden="false" outlineLevel="0" max="6475" min="6473" style="1" width="0.71"/>
    <col collapsed="false" customWidth="true" hidden="false" outlineLevel="0" max="6476" min="6476" style="1" width="2.42"/>
    <col collapsed="false" customWidth="false" hidden="false" outlineLevel="0" max="6482" min="6477" style="1" width="0.71"/>
    <col collapsed="false" customWidth="true" hidden="false" outlineLevel="0" max="6483" min="6483" style="1" width="16.57"/>
    <col collapsed="false" customWidth="false" hidden="false" outlineLevel="0" max="6486" min="6484" style="1" width="0.71"/>
    <col collapsed="false" customWidth="true" hidden="false" outlineLevel="0" max="6487" min="6487" style="1" width="9.86"/>
    <col collapsed="false" customWidth="true" hidden="false" outlineLevel="0" max="6490" min="6488" style="1" width="9.29"/>
    <col collapsed="false" customWidth="false" hidden="false" outlineLevel="0" max="6703" min="6491" style="1" width="0.71"/>
    <col collapsed="false" customWidth="true" hidden="false" outlineLevel="0" max="6704" min="6704" style="1" width="3.42"/>
    <col collapsed="false" customWidth="true" hidden="false" outlineLevel="0" max="6705" min="6705" style="1" width="2.42"/>
    <col collapsed="false" customWidth="true" hidden="false" outlineLevel="0" max="6706" min="6706" style="1" width="7"/>
    <col collapsed="false" customWidth="false" hidden="false" outlineLevel="0" max="6707" min="6707" style="1" width="0.71"/>
    <col collapsed="false" customWidth="true" hidden="false" outlineLevel="0" max="6708" min="6708" style="1" width="1.57"/>
    <col collapsed="false" customWidth="false" hidden="false" outlineLevel="0" max="6709" min="6709" style="1" width="0.71"/>
    <col collapsed="false" customWidth="true" hidden="false" outlineLevel="0" max="6710" min="6710" style="1" width="11.29"/>
    <col collapsed="false" customWidth="false" hidden="false" outlineLevel="0" max="6711" min="6711" style="1" width="0.71"/>
    <col collapsed="false" customWidth="true" hidden="false" outlineLevel="0" max="6712" min="6712" style="1" width="1.57"/>
    <col collapsed="false" customWidth="false" hidden="false" outlineLevel="0" max="6717" min="6713" style="1" width="0.71"/>
    <col collapsed="false" customWidth="true" hidden="false" outlineLevel="0" max="6718" min="6718" style="1" width="2.15"/>
    <col collapsed="false" customWidth="false" hidden="false" outlineLevel="0" max="6719" min="6719" style="1" width="0.71"/>
    <col collapsed="false" customWidth="true" hidden="false" outlineLevel="0" max="6720" min="6720" style="1" width="1.57"/>
    <col collapsed="false" customWidth="false" hidden="false" outlineLevel="0" max="6721" min="6721" style="1" width="0.71"/>
    <col collapsed="false" customWidth="true" hidden="false" outlineLevel="0" max="6722" min="6722" style="1" width="7"/>
    <col collapsed="false" customWidth="false" hidden="false" outlineLevel="0" max="6723" min="6723" style="1" width="0.71"/>
    <col collapsed="false" customWidth="true" hidden="false" outlineLevel="0" max="6724" min="6724" style="1" width="4"/>
    <col collapsed="false" customWidth="false" hidden="false" outlineLevel="0" max="6725" min="6725" style="1" width="0.71"/>
    <col collapsed="false" customWidth="true" hidden="false" outlineLevel="0" max="6726" min="6726" style="1" width="1.57"/>
    <col collapsed="false" customWidth="false" hidden="false" outlineLevel="0" max="6727" min="6727" style="1" width="0.71"/>
    <col collapsed="false" customWidth="true" hidden="false" outlineLevel="0" max="6728" min="6728" style="1" width="7"/>
    <col collapsed="false" customWidth="false" hidden="false" outlineLevel="0" max="6731" min="6729" style="1" width="0.71"/>
    <col collapsed="false" customWidth="true" hidden="false" outlineLevel="0" max="6732" min="6732" style="1" width="2.42"/>
    <col collapsed="false" customWidth="false" hidden="false" outlineLevel="0" max="6738" min="6733" style="1" width="0.71"/>
    <col collapsed="false" customWidth="true" hidden="false" outlineLevel="0" max="6739" min="6739" style="1" width="16.57"/>
    <col collapsed="false" customWidth="false" hidden="false" outlineLevel="0" max="6742" min="6740" style="1" width="0.71"/>
    <col collapsed="false" customWidth="true" hidden="false" outlineLevel="0" max="6743" min="6743" style="1" width="9.86"/>
    <col collapsed="false" customWidth="true" hidden="false" outlineLevel="0" max="6746" min="6744" style="1" width="9.29"/>
    <col collapsed="false" customWidth="false" hidden="false" outlineLevel="0" max="6959" min="6747" style="1" width="0.71"/>
    <col collapsed="false" customWidth="true" hidden="false" outlineLevel="0" max="6960" min="6960" style="1" width="3.42"/>
    <col collapsed="false" customWidth="true" hidden="false" outlineLevel="0" max="6961" min="6961" style="1" width="2.42"/>
    <col collapsed="false" customWidth="true" hidden="false" outlineLevel="0" max="6962" min="6962" style="1" width="7"/>
    <col collapsed="false" customWidth="false" hidden="false" outlineLevel="0" max="6963" min="6963" style="1" width="0.71"/>
    <col collapsed="false" customWidth="true" hidden="false" outlineLevel="0" max="6964" min="6964" style="1" width="1.57"/>
    <col collapsed="false" customWidth="false" hidden="false" outlineLevel="0" max="6965" min="6965" style="1" width="0.71"/>
    <col collapsed="false" customWidth="true" hidden="false" outlineLevel="0" max="6966" min="6966" style="1" width="11.29"/>
    <col collapsed="false" customWidth="false" hidden="false" outlineLevel="0" max="6967" min="6967" style="1" width="0.71"/>
    <col collapsed="false" customWidth="true" hidden="false" outlineLevel="0" max="6968" min="6968" style="1" width="1.57"/>
    <col collapsed="false" customWidth="false" hidden="false" outlineLevel="0" max="6973" min="6969" style="1" width="0.71"/>
    <col collapsed="false" customWidth="true" hidden="false" outlineLevel="0" max="6974" min="6974" style="1" width="2.15"/>
    <col collapsed="false" customWidth="false" hidden="false" outlineLevel="0" max="6975" min="6975" style="1" width="0.71"/>
    <col collapsed="false" customWidth="true" hidden="false" outlineLevel="0" max="6976" min="6976" style="1" width="1.57"/>
    <col collapsed="false" customWidth="false" hidden="false" outlineLevel="0" max="6977" min="6977" style="1" width="0.71"/>
    <col collapsed="false" customWidth="true" hidden="false" outlineLevel="0" max="6978" min="6978" style="1" width="7"/>
    <col collapsed="false" customWidth="false" hidden="false" outlineLevel="0" max="6979" min="6979" style="1" width="0.71"/>
    <col collapsed="false" customWidth="true" hidden="false" outlineLevel="0" max="6980" min="6980" style="1" width="4"/>
    <col collapsed="false" customWidth="false" hidden="false" outlineLevel="0" max="6981" min="6981" style="1" width="0.71"/>
    <col collapsed="false" customWidth="true" hidden="false" outlineLevel="0" max="6982" min="6982" style="1" width="1.57"/>
    <col collapsed="false" customWidth="false" hidden="false" outlineLevel="0" max="6983" min="6983" style="1" width="0.71"/>
    <col collapsed="false" customWidth="true" hidden="false" outlineLevel="0" max="6984" min="6984" style="1" width="7"/>
    <col collapsed="false" customWidth="false" hidden="false" outlineLevel="0" max="6987" min="6985" style="1" width="0.71"/>
    <col collapsed="false" customWidth="true" hidden="false" outlineLevel="0" max="6988" min="6988" style="1" width="2.42"/>
    <col collapsed="false" customWidth="false" hidden="false" outlineLevel="0" max="6994" min="6989" style="1" width="0.71"/>
    <col collapsed="false" customWidth="true" hidden="false" outlineLevel="0" max="6995" min="6995" style="1" width="16.57"/>
    <col collapsed="false" customWidth="false" hidden="false" outlineLevel="0" max="6998" min="6996" style="1" width="0.71"/>
    <col collapsed="false" customWidth="true" hidden="false" outlineLevel="0" max="6999" min="6999" style="1" width="9.86"/>
    <col collapsed="false" customWidth="true" hidden="false" outlineLevel="0" max="7002" min="7000" style="1" width="9.29"/>
    <col collapsed="false" customWidth="false" hidden="false" outlineLevel="0" max="7215" min="7003" style="1" width="0.71"/>
    <col collapsed="false" customWidth="true" hidden="false" outlineLevel="0" max="7216" min="7216" style="1" width="3.42"/>
    <col collapsed="false" customWidth="true" hidden="false" outlineLevel="0" max="7217" min="7217" style="1" width="2.42"/>
    <col collapsed="false" customWidth="true" hidden="false" outlineLevel="0" max="7218" min="7218" style="1" width="7"/>
    <col collapsed="false" customWidth="false" hidden="false" outlineLevel="0" max="7219" min="7219" style="1" width="0.71"/>
    <col collapsed="false" customWidth="true" hidden="false" outlineLevel="0" max="7220" min="7220" style="1" width="1.57"/>
    <col collapsed="false" customWidth="false" hidden="false" outlineLevel="0" max="7221" min="7221" style="1" width="0.71"/>
    <col collapsed="false" customWidth="true" hidden="false" outlineLevel="0" max="7222" min="7222" style="1" width="11.29"/>
    <col collapsed="false" customWidth="false" hidden="false" outlineLevel="0" max="7223" min="7223" style="1" width="0.71"/>
    <col collapsed="false" customWidth="true" hidden="false" outlineLevel="0" max="7224" min="7224" style="1" width="1.57"/>
    <col collapsed="false" customWidth="false" hidden="false" outlineLevel="0" max="7229" min="7225" style="1" width="0.71"/>
    <col collapsed="false" customWidth="true" hidden="false" outlineLevel="0" max="7230" min="7230" style="1" width="2.15"/>
    <col collapsed="false" customWidth="false" hidden="false" outlineLevel="0" max="7231" min="7231" style="1" width="0.71"/>
    <col collapsed="false" customWidth="true" hidden="false" outlineLevel="0" max="7232" min="7232" style="1" width="1.57"/>
    <col collapsed="false" customWidth="false" hidden="false" outlineLevel="0" max="7233" min="7233" style="1" width="0.71"/>
    <col collapsed="false" customWidth="true" hidden="false" outlineLevel="0" max="7234" min="7234" style="1" width="7"/>
    <col collapsed="false" customWidth="false" hidden="false" outlineLevel="0" max="7235" min="7235" style="1" width="0.71"/>
    <col collapsed="false" customWidth="true" hidden="false" outlineLevel="0" max="7236" min="7236" style="1" width="4"/>
    <col collapsed="false" customWidth="false" hidden="false" outlineLevel="0" max="7237" min="7237" style="1" width="0.71"/>
    <col collapsed="false" customWidth="true" hidden="false" outlineLevel="0" max="7238" min="7238" style="1" width="1.57"/>
    <col collapsed="false" customWidth="false" hidden="false" outlineLevel="0" max="7239" min="7239" style="1" width="0.71"/>
    <col collapsed="false" customWidth="true" hidden="false" outlineLevel="0" max="7240" min="7240" style="1" width="7"/>
    <col collapsed="false" customWidth="false" hidden="false" outlineLevel="0" max="7243" min="7241" style="1" width="0.71"/>
    <col collapsed="false" customWidth="true" hidden="false" outlineLevel="0" max="7244" min="7244" style="1" width="2.42"/>
    <col collapsed="false" customWidth="false" hidden="false" outlineLevel="0" max="7250" min="7245" style="1" width="0.71"/>
    <col collapsed="false" customWidth="true" hidden="false" outlineLevel="0" max="7251" min="7251" style="1" width="16.57"/>
    <col collapsed="false" customWidth="false" hidden="false" outlineLevel="0" max="7254" min="7252" style="1" width="0.71"/>
    <col collapsed="false" customWidth="true" hidden="false" outlineLevel="0" max="7255" min="7255" style="1" width="9.86"/>
    <col collapsed="false" customWidth="true" hidden="false" outlineLevel="0" max="7258" min="7256" style="1" width="9.29"/>
    <col collapsed="false" customWidth="false" hidden="false" outlineLevel="0" max="7471" min="7259" style="1" width="0.71"/>
    <col collapsed="false" customWidth="true" hidden="false" outlineLevel="0" max="7472" min="7472" style="1" width="3.42"/>
    <col collapsed="false" customWidth="true" hidden="false" outlineLevel="0" max="7473" min="7473" style="1" width="2.42"/>
    <col collapsed="false" customWidth="true" hidden="false" outlineLevel="0" max="7474" min="7474" style="1" width="7"/>
    <col collapsed="false" customWidth="false" hidden="false" outlineLevel="0" max="7475" min="7475" style="1" width="0.71"/>
    <col collapsed="false" customWidth="true" hidden="false" outlineLevel="0" max="7476" min="7476" style="1" width="1.57"/>
    <col collapsed="false" customWidth="false" hidden="false" outlineLevel="0" max="7477" min="7477" style="1" width="0.71"/>
    <col collapsed="false" customWidth="true" hidden="false" outlineLevel="0" max="7478" min="7478" style="1" width="11.29"/>
    <col collapsed="false" customWidth="false" hidden="false" outlineLevel="0" max="7479" min="7479" style="1" width="0.71"/>
    <col collapsed="false" customWidth="true" hidden="false" outlineLevel="0" max="7480" min="7480" style="1" width="1.57"/>
    <col collapsed="false" customWidth="false" hidden="false" outlineLevel="0" max="7485" min="7481" style="1" width="0.71"/>
    <col collapsed="false" customWidth="true" hidden="false" outlineLevel="0" max="7486" min="7486" style="1" width="2.15"/>
    <col collapsed="false" customWidth="false" hidden="false" outlineLevel="0" max="7487" min="7487" style="1" width="0.71"/>
    <col collapsed="false" customWidth="true" hidden="false" outlineLevel="0" max="7488" min="7488" style="1" width="1.57"/>
    <col collapsed="false" customWidth="false" hidden="false" outlineLevel="0" max="7489" min="7489" style="1" width="0.71"/>
    <col collapsed="false" customWidth="true" hidden="false" outlineLevel="0" max="7490" min="7490" style="1" width="7"/>
    <col collapsed="false" customWidth="false" hidden="false" outlineLevel="0" max="7491" min="7491" style="1" width="0.71"/>
    <col collapsed="false" customWidth="true" hidden="false" outlineLevel="0" max="7492" min="7492" style="1" width="4"/>
    <col collapsed="false" customWidth="false" hidden="false" outlineLevel="0" max="7493" min="7493" style="1" width="0.71"/>
    <col collapsed="false" customWidth="true" hidden="false" outlineLevel="0" max="7494" min="7494" style="1" width="1.57"/>
    <col collapsed="false" customWidth="false" hidden="false" outlineLevel="0" max="7495" min="7495" style="1" width="0.71"/>
    <col collapsed="false" customWidth="true" hidden="false" outlineLevel="0" max="7496" min="7496" style="1" width="7"/>
    <col collapsed="false" customWidth="false" hidden="false" outlineLevel="0" max="7499" min="7497" style="1" width="0.71"/>
    <col collapsed="false" customWidth="true" hidden="false" outlineLevel="0" max="7500" min="7500" style="1" width="2.42"/>
    <col collapsed="false" customWidth="false" hidden="false" outlineLevel="0" max="7506" min="7501" style="1" width="0.71"/>
    <col collapsed="false" customWidth="true" hidden="false" outlineLevel="0" max="7507" min="7507" style="1" width="16.57"/>
    <col collapsed="false" customWidth="false" hidden="false" outlineLevel="0" max="7510" min="7508" style="1" width="0.71"/>
    <col collapsed="false" customWidth="true" hidden="false" outlineLevel="0" max="7511" min="7511" style="1" width="9.86"/>
    <col collapsed="false" customWidth="true" hidden="false" outlineLevel="0" max="7514" min="7512" style="1" width="9.29"/>
    <col collapsed="false" customWidth="false" hidden="false" outlineLevel="0" max="7727" min="7515" style="1" width="0.71"/>
    <col collapsed="false" customWidth="true" hidden="false" outlineLevel="0" max="7728" min="7728" style="1" width="3.42"/>
    <col collapsed="false" customWidth="true" hidden="false" outlineLevel="0" max="7729" min="7729" style="1" width="2.42"/>
    <col collapsed="false" customWidth="true" hidden="false" outlineLevel="0" max="7730" min="7730" style="1" width="7"/>
    <col collapsed="false" customWidth="false" hidden="false" outlineLevel="0" max="7731" min="7731" style="1" width="0.71"/>
    <col collapsed="false" customWidth="true" hidden="false" outlineLevel="0" max="7732" min="7732" style="1" width="1.57"/>
    <col collapsed="false" customWidth="false" hidden="false" outlineLevel="0" max="7733" min="7733" style="1" width="0.71"/>
    <col collapsed="false" customWidth="true" hidden="false" outlineLevel="0" max="7734" min="7734" style="1" width="11.29"/>
    <col collapsed="false" customWidth="false" hidden="false" outlineLevel="0" max="7735" min="7735" style="1" width="0.71"/>
    <col collapsed="false" customWidth="true" hidden="false" outlineLevel="0" max="7736" min="7736" style="1" width="1.57"/>
    <col collapsed="false" customWidth="false" hidden="false" outlineLevel="0" max="7741" min="7737" style="1" width="0.71"/>
    <col collapsed="false" customWidth="true" hidden="false" outlineLevel="0" max="7742" min="7742" style="1" width="2.15"/>
    <col collapsed="false" customWidth="false" hidden="false" outlineLevel="0" max="7743" min="7743" style="1" width="0.71"/>
    <col collapsed="false" customWidth="true" hidden="false" outlineLevel="0" max="7744" min="7744" style="1" width="1.57"/>
    <col collapsed="false" customWidth="false" hidden="false" outlineLevel="0" max="7745" min="7745" style="1" width="0.71"/>
    <col collapsed="false" customWidth="true" hidden="false" outlineLevel="0" max="7746" min="7746" style="1" width="7"/>
    <col collapsed="false" customWidth="false" hidden="false" outlineLevel="0" max="7747" min="7747" style="1" width="0.71"/>
    <col collapsed="false" customWidth="true" hidden="false" outlineLevel="0" max="7748" min="7748" style="1" width="4"/>
    <col collapsed="false" customWidth="false" hidden="false" outlineLevel="0" max="7749" min="7749" style="1" width="0.71"/>
    <col collapsed="false" customWidth="true" hidden="false" outlineLevel="0" max="7750" min="7750" style="1" width="1.57"/>
    <col collapsed="false" customWidth="false" hidden="false" outlineLevel="0" max="7751" min="7751" style="1" width="0.71"/>
    <col collapsed="false" customWidth="true" hidden="false" outlineLevel="0" max="7752" min="7752" style="1" width="7"/>
    <col collapsed="false" customWidth="false" hidden="false" outlineLevel="0" max="7755" min="7753" style="1" width="0.71"/>
    <col collapsed="false" customWidth="true" hidden="false" outlineLevel="0" max="7756" min="7756" style="1" width="2.42"/>
    <col collapsed="false" customWidth="false" hidden="false" outlineLevel="0" max="7762" min="7757" style="1" width="0.71"/>
    <col collapsed="false" customWidth="true" hidden="false" outlineLevel="0" max="7763" min="7763" style="1" width="16.57"/>
    <col collapsed="false" customWidth="false" hidden="false" outlineLevel="0" max="7766" min="7764" style="1" width="0.71"/>
    <col collapsed="false" customWidth="true" hidden="false" outlineLevel="0" max="7767" min="7767" style="1" width="9.86"/>
    <col collapsed="false" customWidth="true" hidden="false" outlineLevel="0" max="7770" min="7768" style="1" width="9.29"/>
    <col collapsed="false" customWidth="false" hidden="false" outlineLevel="0" max="7983" min="7771" style="1" width="0.71"/>
    <col collapsed="false" customWidth="true" hidden="false" outlineLevel="0" max="7984" min="7984" style="1" width="3.42"/>
    <col collapsed="false" customWidth="true" hidden="false" outlineLevel="0" max="7985" min="7985" style="1" width="2.42"/>
    <col collapsed="false" customWidth="true" hidden="false" outlineLevel="0" max="7986" min="7986" style="1" width="7"/>
    <col collapsed="false" customWidth="false" hidden="false" outlineLevel="0" max="7987" min="7987" style="1" width="0.71"/>
    <col collapsed="false" customWidth="true" hidden="false" outlineLevel="0" max="7988" min="7988" style="1" width="1.57"/>
    <col collapsed="false" customWidth="false" hidden="false" outlineLevel="0" max="7989" min="7989" style="1" width="0.71"/>
    <col collapsed="false" customWidth="true" hidden="false" outlineLevel="0" max="7990" min="7990" style="1" width="11.29"/>
    <col collapsed="false" customWidth="false" hidden="false" outlineLevel="0" max="7991" min="7991" style="1" width="0.71"/>
    <col collapsed="false" customWidth="true" hidden="false" outlineLevel="0" max="7992" min="7992" style="1" width="1.57"/>
    <col collapsed="false" customWidth="false" hidden="false" outlineLevel="0" max="7997" min="7993" style="1" width="0.71"/>
    <col collapsed="false" customWidth="true" hidden="false" outlineLevel="0" max="7998" min="7998" style="1" width="2.15"/>
    <col collapsed="false" customWidth="false" hidden="false" outlineLevel="0" max="7999" min="7999" style="1" width="0.71"/>
    <col collapsed="false" customWidth="true" hidden="false" outlineLevel="0" max="8000" min="8000" style="1" width="1.57"/>
    <col collapsed="false" customWidth="false" hidden="false" outlineLevel="0" max="8001" min="8001" style="1" width="0.71"/>
    <col collapsed="false" customWidth="true" hidden="false" outlineLevel="0" max="8002" min="8002" style="1" width="7"/>
    <col collapsed="false" customWidth="false" hidden="false" outlineLevel="0" max="8003" min="8003" style="1" width="0.71"/>
    <col collapsed="false" customWidth="true" hidden="false" outlineLevel="0" max="8004" min="8004" style="1" width="4"/>
    <col collapsed="false" customWidth="false" hidden="false" outlineLevel="0" max="8005" min="8005" style="1" width="0.71"/>
    <col collapsed="false" customWidth="true" hidden="false" outlineLevel="0" max="8006" min="8006" style="1" width="1.57"/>
    <col collapsed="false" customWidth="false" hidden="false" outlineLevel="0" max="8007" min="8007" style="1" width="0.71"/>
    <col collapsed="false" customWidth="true" hidden="false" outlineLevel="0" max="8008" min="8008" style="1" width="7"/>
    <col collapsed="false" customWidth="false" hidden="false" outlineLevel="0" max="8011" min="8009" style="1" width="0.71"/>
    <col collapsed="false" customWidth="true" hidden="false" outlineLevel="0" max="8012" min="8012" style="1" width="2.42"/>
    <col collapsed="false" customWidth="false" hidden="false" outlineLevel="0" max="8018" min="8013" style="1" width="0.71"/>
    <col collapsed="false" customWidth="true" hidden="false" outlineLevel="0" max="8019" min="8019" style="1" width="16.57"/>
    <col collapsed="false" customWidth="false" hidden="false" outlineLevel="0" max="8022" min="8020" style="1" width="0.71"/>
    <col collapsed="false" customWidth="true" hidden="false" outlineLevel="0" max="8023" min="8023" style="1" width="9.86"/>
    <col collapsed="false" customWidth="true" hidden="false" outlineLevel="0" max="8026" min="8024" style="1" width="9.29"/>
    <col collapsed="false" customWidth="false" hidden="false" outlineLevel="0" max="8239" min="8027" style="1" width="0.71"/>
    <col collapsed="false" customWidth="true" hidden="false" outlineLevel="0" max="8240" min="8240" style="1" width="3.42"/>
    <col collapsed="false" customWidth="true" hidden="false" outlineLevel="0" max="8241" min="8241" style="1" width="2.42"/>
    <col collapsed="false" customWidth="true" hidden="false" outlineLevel="0" max="8242" min="8242" style="1" width="7"/>
    <col collapsed="false" customWidth="false" hidden="false" outlineLevel="0" max="8243" min="8243" style="1" width="0.71"/>
    <col collapsed="false" customWidth="true" hidden="false" outlineLevel="0" max="8244" min="8244" style="1" width="1.57"/>
    <col collapsed="false" customWidth="false" hidden="false" outlineLevel="0" max="8245" min="8245" style="1" width="0.71"/>
    <col collapsed="false" customWidth="true" hidden="false" outlineLevel="0" max="8246" min="8246" style="1" width="11.29"/>
    <col collapsed="false" customWidth="false" hidden="false" outlineLevel="0" max="8247" min="8247" style="1" width="0.71"/>
    <col collapsed="false" customWidth="true" hidden="false" outlineLevel="0" max="8248" min="8248" style="1" width="1.57"/>
    <col collapsed="false" customWidth="false" hidden="false" outlineLevel="0" max="8253" min="8249" style="1" width="0.71"/>
    <col collapsed="false" customWidth="true" hidden="false" outlineLevel="0" max="8254" min="8254" style="1" width="2.15"/>
    <col collapsed="false" customWidth="false" hidden="false" outlineLevel="0" max="8255" min="8255" style="1" width="0.71"/>
    <col collapsed="false" customWidth="true" hidden="false" outlineLevel="0" max="8256" min="8256" style="1" width="1.57"/>
    <col collapsed="false" customWidth="false" hidden="false" outlineLevel="0" max="8257" min="8257" style="1" width="0.71"/>
    <col collapsed="false" customWidth="true" hidden="false" outlineLevel="0" max="8258" min="8258" style="1" width="7"/>
    <col collapsed="false" customWidth="false" hidden="false" outlineLevel="0" max="8259" min="8259" style="1" width="0.71"/>
    <col collapsed="false" customWidth="true" hidden="false" outlineLevel="0" max="8260" min="8260" style="1" width="4"/>
    <col collapsed="false" customWidth="false" hidden="false" outlineLevel="0" max="8261" min="8261" style="1" width="0.71"/>
    <col collapsed="false" customWidth="true" hidden="false" outlineLevel="0" max="8262" min="8262" style="1" width="1.57"/>
    <col collapsed="false" customWidth="false" hidden="false" outlineLevel="0" max="8263" min="8263" style="1" width="0.71"/>
    <col collapsed="false" customWidth="true" hidden="false" outlineLevel="0" max="8264" min="8264" style="1" width="7"/>
    <col collapsed="false" customWidth="false" hidden="false" outlineLevel="0" max="8267" min="8265" style="1" width="0.71"/>
    <col collapsed="false" customWidth="true" hidden="false" outlineLevel="0" max="8268" min="8268" style="1" width="2.42"/>
    <col collapsed="false" customWidth="false" hidden="false" outlineLevel="0" max="8274" min="8269" style="1" width="0.71"/>
    <col collapsed="false" customWidth="true" hidden="false" outlineLevel="0" max="8275" min="8275" style="1" width="16.57"/>
    <col collapsed="false" customWidth="false" hidden="false" outlineLevel="0" max="8278" min="8276" style="1" width="0.71"/>
    <col collapsed="false" customWidth="true" hidden="false" outlineLevel="0" max="8279" min="8279" style="1" width="9.86"/>
    <col collapsed="false" customWidth="true" hidden="false" outlineLevel="0" max="8282" min="8280" style="1" width="9.29"/>
    <col collapsed="false" customWidth="false" hidden="false" outlineLevel="0" max="8495" min="8283" style="1" width="0.71"/>
    <col collapsed="false" customWidth="true" hidden="false" outlineLevel="0" max="8496" min="8496" style="1" width="3.42"/>
    <col collapsed="false" customWidth="true" hidden="false" outlineLevel="0" max="8497" min="8497" style="1" width="2.42"/>
    <col collapsed="false" customWidth="true" hidden="false" outlineLevel="0" max="8498" min="8498" style="1" width="7"/>
    <col collapsed="false" customWidth="false" hidden="false" outlineLevel="0" max="8499" min="8499" style="1" width="0.71"/>
    <col collapsed="false" customWidth="true" hidden="false" outlineLevel="0" max="8500" min="8500" style="1" width="1.57"/>
    <col collapsed="false" customWidth="false" hidden="false" outlineLevel="0" max="8501" min="8501" style="1" width="0.71"/>
    <col collapsed="false" customWidth="true" hidden="false" outlineLevel="0" max="8502" min="8502" style="1" width="11.29"/>
    <col collapsed="false" customWidth="false" hidden="false" outlineLevel="0" max="8503" min="8503" style="1" width="0.71"/>
    <col collapsed="false" customWidth="true" hidden="false" outlineLevel="0" max="8504" min="8504" style="1" width="1.57"/>
    <col collapsed="false" customWidth="false" hidden="false" outlineLevel="0" max="8509" min="8505" style="1" width="0.71"/>
    <col collapsed="false" customWidth="true" hidden="false" outlineLevel="0" max="8510" min="8510" style="1" width="2.15"/>
    <col collapsed="false" customWidth="false" hidden="false" outlineLevel="0" max="8511" min="8511" style="1" width="0.71"/>
    <col collapsed="false" customWidth="true" hidden="false" outlineLevel="0" max="8512" min="8512" style="1" width="1.57"/>
    <col collapsed="false" customWidth="false" hidden="false" outlineLevel="0" max="8513" min="8513" style="1" width="0.71"/>
    <col collapsed="false" customWidth="true" hidden="false" outlineLevel="0" max="8514" min="8514" style="1" width="7"/>
    <col collapsed="false" customWidth="false" hidden="false" outlineLevel="0" max="8515" min="8515" style="1" width="0.71"/>
    <col collapsed="false" customWidth="true" hidden="false" outlineLevel="0" max="8516" min="8516" style="1" width="4"/>
    <col collapsed="false" customWidth="false" hidden="false" outlineLevel="0" max="8517" min="8517" style="1" width="0.71"/>
    <col collapsed="false" customWidth="true" hidden="false" outlineLevel="0" max="8518" min="8518" style="1" width="1.57"/>
    <col collapsed="false" customWidth="false" hidden="false" outlineLevel="0" max="8519" min="8519" style="1" width="0.71"/>
    <col collapsed="false" customWidth="true" hidden="false" outlineLevel="0" max="8520" min="8520" style="1" width="7"/>
    <col collapsed="false" customWidth="false" hidden="false" outlineLevel="0" max="8523" min="8521" style="1" width="0.71"/>
    <col collapsed="false" customWidth="true" hidden="false" outlineLevel="0" max="8524" min="8524" style="1" width="2.42"/>
    <col collapsed="false" customWidth="false" hidden="false" outlineLevel="0" max="8530" min="8525" style="1" width="0.71"/>
    <col collapsed="false" customWidth="true" hidden="false" outlineLevel="0" max="8531" min="8531" style="1" width="16.57"/>
    <col collapsed="false" customWidth="false" hidden="false" outlineLevel="0" max="8534" min="8532" style="1" width="0.71"/>
    <col collapsed="false" customWidth="true" hidden="false" outlineLevel="0" max="8535" min="8535" style="1" width="9.86"/>
    <col collapsed="false" customWidth="true" hidden="false" outlineLevel="0" max="8538" min="8536" style="1" width="9.29"/>
    <col collapsed="false" customWidth="false" hidden="false" outlineLevel="0" max="8751" min="8539" style="1" width="0.71"/>
    <col collapsed="false" customWidth="true" hidden="false" outlineLevel="0" max="8752" min="8752" style="1" width="3.42"/>
    <col collapsed="false" customWidth="true" hidden="false" outlineLevel="0" max="8753" min="8753" style="1" width="2.42"/>
    <col collapsed="false" customWidth="true" hidden="false" outlineLevel="0" max="8754" min="8754" style="1" width="7"/>
    <col collapsed="false" customWidth="false" hidden="false" outlineLevel="0" max="8755" min="8755" style="1" width="0.71"/>
    <col collapsed="false" customWidth="true" hidden="false" outlineLevel="0" max="8756" min="8756" style="1" width="1.57"/>
    <col collapsed="false" customWidth="false" hidden="false" outlineLevel="0" max="8757" min="8757" style="1" width="0.71"/>
    <col collapsed="false" customWidth="true" hidden="false" outlineLevel="0" max="8758" min="8758" style="1" width="11.29"/>
    <col collapsed="false" customWidth="false" hidden="false" outlineLevel="0" max="8759" min="8759" style="1" width="0.71"/>
    <col collapsed="false" customWidth="true" hidden="false" outlineLevel="0" max="8760" min="8760" style="1" width="1.57"/>
    <col collapsed="false" customWidth="false" hidden="false" outlineLevel="0" max="8765" min="8761" style="1" width="0.71"/>
    <col collapsed="false" customWidth="true" hidden="false" outlineLevel="0" max="8766" min="8766" style="1" width="2.15"/>
    <col collapsed="false" customWidth="false" hidden="false" outlineLevel="0" max="8767" min="8767" style="1" width="0.71"/>
    <col collapsed="false" customWidth="true" hidden="false" outlineLevel="0" max="8768" min="8768" style="1" width="1.57"/>
    <col collapsed="false" customWidth="false" hidden="false" outlineLevel="0" max="8769" min="8769" style="1" width="0.71"/>
    <col collapsed="false" customWidth="true" hidden="false" outlineLevel="0" max="8770" min="8770" style="1" width="7"/>
    <col collapsed="false" customWidth="false" hidden="false" outlineLevel="0" max="8771" min="8771" style="1" width="0.71"/>
    <col collapsed="false" customWidth="true" hidden="false" outlineLevel="0" max="8772" min="8772" style="1" width="4"/>
    <col collapsed="false" customWidth="false" hidden="false" outlineLevel="0" max="8773" min="8773" style="1" width="0.71"/>
    <col collapsed="false" customWidth="true" hidden="false" outlineLevel="0" max="8774" min="8774" style="1" width="1.57"/>
    <col collapsed="false" customWidth="false" hidden="false" outlineLevel="0" max="8775" min="8775" style="1" width="0.71"/>
    <col collapsed="false" customWidth="true" hidden="false" outlineLevel="0" max="8776" min="8776" style="1" width="7"/>
    <col collapsed="false" customWidth="false" hidden="false" outlineLevel="0" max="8779" min="8777" style="1" width="0.71"/>
    <col collapsed="false" customWidth="true" hidden="false" outlineLevel="0" max="8780" min="8780" style="1" width="2.42"/>
    <col collapsed="false" customWidth="false" hidden="false" outlineLevel="0" max="8786" min="8781" style="1" width="0.71"/>
    <col collapsed="false" customWidth="true" hidden="false" outlineLevel="0" max="8787" min="8787" style="1" width="16.57"/>
    <col collapsed="false" customWidth="false" hidden="false" outlineLevel="0" max="8790" min="8788" style="1" width="0.71"/>
    <col collapsed="false" customWidth="true" hidden="false" outlineLevel="0" max="8791" min="8791" style="1" width="9.86"/>
    <col collapsed="false" customWidth="true" hidden="false" outlineLevel="0" max="8794" min="8792" style="1" width="9.29"/>
    <col collapsed="false" customWidth="false" hidden="false" outlineLevel="0" max="9007" min="8795" style="1" width="0.71"/>
    <col collapsed="false" customWidth="true" hidden="false" outlineLevel="0" max="9008" min="9008" style="1" width="3.42"/>
    <col collapsed="false" customWidth="true" hidden="false" outlineLevel="0" max="9009" min="9009" style="1" width="2.42"/>
    <col collapsed="false" customWidth="true" hidden="false" outlineLevel="0" max="9010" min="9010" style="1" width="7"/>
    <col collapsed="false" customWidth="false" hidden="false" outlineLevel="0" max="9011" min="9011" style="1" width="0.71"/>
    <col collapsed="false" customWidth="true" hidden="false" outlineLevel="0" max="9012" min="9012" style="1" width="1.57"/>
    <col collapsed="false" customWidth="false" hidden="false" outlineLevel="0" max="9013" min="9013" style="1" width="0.71"/>
    <col collapsed="false" customWidth="true" hidden="false" outlineLevel="0" max="9014" min="9014" style="1" width="11.29"/>
    <col collapsed="false" customWidth="false" hidden="false" outlineLevel="0" max="9015" min="9015" style="1" width="0.71"/>
    <col collapsed="false" customWidth="true" hidden="false" outlineLevel="0" max="9016" min="9016" style="1" width="1.57"/>
    <col collapsed="false" customWidth="false" hidden="false" outlineLevel="0" max="9021" min="9017" style="1" width="0.71"/>
    <col collapsed="false" customWidth="true" hidden="false" outlineLevel="0" max="9022" min="9022" style="1" width="2.15"/>
    <col collapsed="false" customWidth="false" hidden="false" outlineLevel="0" max="9023" min="9023" style="1" width="0.71"/>
    <col collapsed="false" customWidth="true" hidden="false" outlineLevel="0" max="9024" min="9024" style="1" width="1.57"/>
    <col collapsed="false" customWidth="false" hidden="false" outlineLevel="0" max="9025" min="9025" style="1" width="0.71"/>
    <col collapsed="false" customWidth="true" hidden="false" outlineLevel="0" max="9026" min="9026" style="1" width="7"/>
    <col collapsed="false" customWidth="false" hidden="false" outlineLevel="0" max="9027" min="9027" style="1" width="0.71"/>
    <col collapsed="false" customWidth="true" hidden="false" outlineLevel="0" max="9028" min="9028" style="1" width="4"/>
    <col collapsed="false" customWidth="false" hidden="false" outlineLevel="0" max="9029" min="9029" style="1" width="0.71"/>
    <col collapsed="false" customWidth="true" hidden="false" outlineLevel="0" max="9030" min="9030" style="1" width="1.57"/>
    <col collapsed="false" customWidth="false" hidden="false" outlineLevel="0" max="9031" min="9031" style="1" width="0.71"/>
    <col collapsed="false" customWidth="true" hidden="false" outlineLevel="0" max="9032" min="9032" style="1" width="7"/>
    <col collapsed="false" customWidth="false" hidden="false" outlineLevel="0" max="9035" min="9033" style="1" width="0.71"/>
    <col collapsed="false" customWidth="true" hidden="false" outlineLevel="0" max="9036" min="9036" style="1" width="2.42"/>
    <col collapsed="false" customWidth="false" hidden="false" outlineLevel="0" max="9042" min="9037" style="1" width="0.71"/>
    <col collapsed="false" customWidth="true" hidden="false" outlineLevel="0" max="9043" min="9043" style="1" width="16.57"/>
    <col collapsed="false" customWidth="false" hidden="false" outlineLevel="0" max="9046" min="9044" style="1" width="0.71"/>
    <col collapsed="false" customWidth="true" hidden="false" outlineLevel="0" max="9047" min="9047" style="1" width="9.86"/>
    <col collapsed="false" customWidth="true" hidden="false" outlineLevel="0" max="9050" min="9048" style="1" width="9.29"/>
    <col collapsed="false" customWidth="false" hidden="false" outlineLevel="0" max="9263" min="9051" style="1" width="0.71"/>
    <col collapsed="false" customWidth="true" hidden="false" outlineLevel="0" max="9264" min="9264" style="1" width="3.42"/>
    <col collapsed="false" customWidth="true" hidden="false" outlineLevel="0" max="9265" min="9265" style="1" width="2.42"/>
    <col collapsed="false" customWidth="true" hidden="false" outlineLevel="0" max="9266" min="9266" style="1" width="7"/>
    <col collapsed="false" customWidth="false" hidden="false" outlineLevel="0" max="9267" min="9267" style="1" width="0.71"/>
    <col collapsed="false" customWidth="true" hidden="false" outlineLevel="0" max="9268" min="9268" style="1" width="1.57"/>
    <col collapsed="false" customWidth="false" hidden="false" outlineLevel="0" max="9269" min="9269" style="1" width="0.71"/>
    <col collapsed="false" customWidth="true" hidden="false" outlineLevel="0" max="9270" min="9270" style="1" width="11.29"/>
    <col collapsed="false" customWidth="false" hidden="false" outlineLevel="0" max="9271" min="9271" style="1" width="0.71"/>
    <col collapsed="false" customWidth="true" hidden="false" outlineLevel="0" max="9272" min="9272" style="1" width="1.57"/>
    <col collapsed="false" customWidth="false" hidden="false" outlineLevel="0" max="9277" min="9273" style="1" width="0.71"/>
    <col collapsed="false" customWidth="true" hidden="false" outlineLevel="0" max="9278" min="9278" style="1" width="2.15"/>
    <col collapsed="false" customWidth="false" hidden="false" outlineLevel="0" max="9279" min="9279" style="1" width="0.71"/>
    <col collapsed="false" customWidth="true" hidden="false" outlineLevel="0" max="9280" min="9280" style="1" width="1.57"/>
    <col collapsed="false" customWidth="false" hidden="false" outlineLevel="0" max="9281" min="9281" style="1" width="0.71"/>
    <col collapsed="false" customWidth="true" hidden="false" outlineLevel="0" max="9282" min="9282" style="1" width="7"/>
    <col collapsed="false" customWidth="false" hidden="false" outlineLevel="0" max="9283" min="9283" style="1" width="0.71"/>
    <col collapsed="false" customWidth="true" hidden="false" outlineLevel="0" max="9284" min="9284" style="1" width="4"/>
    <col collapsed="false" customWidth="false" hidden="false" outlineLevel="0" max="9285" min="9285" style="1" width="0.71"/>
    <col collapsed="false" customWidth="true" hidden="false" outlineLevel="0" max="9286" min="9286" style="1" width="1.57"/>
    <col collapsed="false" customWidth="false" hidden="false" outlineLevel="0" max="9287" min="9287" style="1" width="0.71"/>
    <col collapsed="false" customWidth="true" hidden="false" outlineLevel="0" max="9288" min="9288" style="1" width="7"/>
    <col collapsed="false" customWidth="false" hidden="false" outlineLevel="0" max="9291" min="9289" style="1" width="0.71"/>
    <col collapsed="false" customWidth="true" hidden="false" outlineLevel="0" max="9292" min="9292" style="1" width="2.42"/>
    <col collapsed="false" customWidth="false" hidden="false" outlineLevel="0" max="9298" min="9293" style="1" width="0.71"/>
    <col collapsed="false" customWidth="true" hidden="false" outlineLevel="0" max="9299" min="9299" style="1" width="16.57"/>
    <col collapsed="false" customWidth="false" hidden="false" outlineLevel="0" max="9302" min="9300" style="1" width="0.71"/>
    <col collapsed="false" customWidth="true" hidden="false" outlineLevel="0" max="9303" min="9303" style="1" width="9.86"/>
    <col collapsed="false" customWidth="true" hidden="false" outlineLevel="0" max="9306" min="9304" style="1" width="9.29"/>
    <col collapsed="false" customWidth="false" hidden="false" outlineLevel="0" max="9519" min="9307" style="1" width="0.71"/>
    <col collapsed="false" customWidth="true" hidden="false" outlineLevel="0" max="9520" min="9520" style="1" width="3.42"/>
    <col collapsed="false" customWidth="true" hidden="false" outlineLevel="0" max="9521" min="9521" style="1" width="2.42"/>
    <col collapsed="false" customWidth="true" hidden="false" outlineLevel="0" max="9522" min="9522" style="1" width="7"/>
    <col collapsed="false" customWidth="false" hidden="false" outlineLevel="0" max="9523" min="9523" style="1" width="0.71"/>
    <col collapsed="false" customWidth="true" hidden="false" outlineLevel="0" max="9524" min="9524" style="1" width="1.57"/>
    <col collapsed="false" customWidth="false" hidden="false" outlineLevel="0" max="9525" min="9525" style="1" width="0.71"/>
    <col collapsed="false" customWidth="true" hidden="false" outlineLevel="0" max="9526" min="9526" style="1" width="11.29"/>
    <col collapsed="false" customWidth="false" hidden="false" outlineLevel="0" max="9527" min="9527" style="1" width="0.71"/>
    <col collapsed="false" customWidth="true" hidden="false" outlineLevel="0" max="9528" min="9528" style="1" width="1.57"/>
    <col collapsed="false" customWidth="false" hidden="false" outlineLevel="0" max="9533" min="9529" style="1" width="0.71"/>
    <col collapsed="false" customWidth="true" hidden="false" outlineLevel="0" max="9534" min="9534" style="1" width="2.15"/>
    <col collapsed="false" customWidth="false" hidden="false" outlineLevel="0" max="9535" min="9535" style="1" width="0.71"/>
    <col collapsed="false" customWidth="true" hidden="false" outlineLevel="0" max="9536" min="9536" style="1" width="1.57"/>
    <col collapsed="false" customWidth="false" hidden="false" outlineLevel="0" max="9537" min="9537" style="1" width="0.71"/>
    <col collapsed="false" customWidth="true" hidden="false" outlineLevel="0" max="9538" min="9538" style="1" width="7"/>
    <col collapsed="false" customWidth="false" hidden="false" outlineLevel="0" max="9539" min="9539" style="1" width="0.71"/>
    <col collapsed="false" customWidth="true" hidden="false" outlineLevel="0" max="9540" min="9540" style="1" width="4"/>
    <col collapsed="false" customWidth="false" hidden="false" outlineLevel="0" max="9541" min="9541" style="1" width="0.71"/>
    <col collapsed="false" customWidth="true" hidden="false" outlineLevel="0" max="9542" min="9542" style="1" width="1.57"/>
    <col collapsed="false" customWidth="false" hidden="false" outlineLevel="0" max="9543" min="9543" style="1" width="0.71"/>
    <col collapsed="false" customWidth="true" hidden="false" outlineLevel="0" max="9544" min="9544" style="1" width="7"/>
    <col collapsed="false" customWidth="false" hidden="false" outlineLevel="0" max="9547" min="9545" style="1" width="0.71"/>
    <col collapsed="false" customWidth="true" hidden="false" outlineLevel="0" max="9548" min="9548" style="1" width="2.42"/>
    <col collapsed="false" customWidth="false" hidden="false" outlineLevel="0" max="9554" min="9549" style="1" width="0.71"/>
    <col collapsed="false" customWidth="true" hidden="false" outlineLevel="0" max="9555" min="9555" style="1" width="16.57"/>
    <col collapsed="false" customWidth="false" hidden="false" outlineLevel="0" max="9558" min="9556" style="1" width="0.71"/>
    <col collapsed="false" customWidth="true" hidden="false" outlineLevel="0" max="9559" min="9559" style="1" width="9.86"/>
    <col collapsed="false" customWidth="true" hidden="false" outlineLevel="0" max="9562" min="9560" style="1" width="9.29"/>
    <col collapsed="false" customWidth="false" hidden="false" outlineLevel="0" max="9775" min="9563" style="1" width="0.71"/>
    <col collapsed="false" customWidth="true" hidden="false" outlineLevel="0" max="9776" min="9776" style="1" width="3.42"/>
    <col collapsed="false" customWidth="true" hidden="false" outlineLevel="0" max="9777" min="9777" style="1" width="2.42"/>
    <col collapsed="false" customWidth="true" hidden="false" outlineLevel="0" max="9778" min="9778" style="1" width="7"/>
    <col collapsed="false" customWidth="false" hidden="false" outlineLevel="0" max="9779" min="9779" style="1" width="0.71"/>
    <col collapsed="false" customWidth="true" hidden="false" outlineLevel="0" max="9780" min="9780" style="1" width="1.57"/>
    <col collapsed="false" customWidth="false" hidden="false" outlineLevel="0" max="9781" min="9781" style="1" width="0.71"/>
    <col collapsed="false" customWidth="true" hidden="false" outlineLevel="0" max="9782" min="9782" style="1" width="11.29"/>
    <col collapsed="false" customWidth="false" hidden="false" outlineLevel="0" max="9783" min="9783" style="1" width="0.71"/>
    <col collapsed="false" customWidth="true" hidden="false" outlineLevel="0" max="9784" min="9784" style="1" width="1.57"/>
    <col collapsed="false" customWidth="false" hidden="false" outlineLevel="0" max="9789" min="9785" style="1" width="0.71"/>
    <col collapsed="false" customWidth="true" hidden="false" outlineLevel="0" max="9790" min="9790" style="1" width="2.15"/>
    <col collapsed="false" customWidth="false" hidden="false" outlineLevel="0" max="9791" min="9791" style="1" width="0.71"/>
    <col collapsed="false" customWidth="true" hidden="false" outlineLevel="0" max="9792" min="9792" style="1" width="1.57"/>
    <col collapsed="false" customWidth="false" hidden="false" outlineLevel="0" max="9793" min="9793" style="1" width="0.71"/>
    <col collapsed="false" customWidth="true" hidden="false" outlineLevel="0" max="9794" min="9794" style="1" width="7"/>
    <col collapsed="false" customWidth="false" hidden="false" outlineLevel="0" max="9795" min="9795" style="1" width="0.71"/>
    <col collapsed="false" customWidth="true" hidden="false" outlineLevel="0" max="9796" min="9796" style="1" width="4"/>
    <col collapsed="false" customWidth="false" hidden="false" outlineLevel="0" max="9797" min="9797" style="1" width="0.71"/>
    <col collapsed="false" customWidth="true" hidden="false" outlineLevel="0" max="9798" min="9798" style="1" width="1.57"/>
    <col collapsed="false" customWidth="false" hidden="false" outlineLevel="0" max="9799" min="9799" style="1" width="0.71"/>
    <col collapsed="false" customWidth="true" hidden="false" outlineLevel="0" max="9800" min="9800" style="1" width="7"/>
    <col collapsed="false" customWidth="false" hidden="false" outlineLevel="0" max="9803" min="9801" style="1" width="0.71"/>
    <col collapsed="false" customWidth="true" hidden="false" outlineLevel="0" max="9804" min="9804" style="1" width="2.42"/>
    <col collapsed="false" customWidth="false" hidden="false" outlineLevel="0" max="9810" min="9805" style="1" width="0.71"/>
    <col collapsed="false" customWidth="true" hidden="false" outlineLevel="0" max="9811" min="9811" style="1" width="16.57"/>
    <col collapsed="false" customWidth="false" hidden="false" outlineLevel="0" max="9814" min="9812" style="1" width="0.71"/>
    <col collapsed="false" customWidth="true" hidden="false" outlineLevel="0" max="9815" min="9815" style="1" width="9.86"/>
    <col collapsed="false" customWidth="true" hidden="false" outlineLevel="0" max="9818" min="9816" style="1" width="9.29"/>
    <col collapsed="false" customWidth="false" hidden="false" outlineLevel="0" max="10031" min="9819" style="1" width="0.71"/>
    <col collapsed="false" customWidth="true" hidden="false" outlineLevel="0" max="10032" min="10032" style="1" width="3.42"/>
    <col collapsed="false" customWidth="true" hidden="false" outlineLevel="0" max="10033" min="10033" style="1" width="2.42"/>
    <col collapsed="false" customWidth="true" hidden="false" outlineLevel="0" max="10034" min="10034" style="1" width="7"/>
    <col collapsed="false" customWidth="false" hidden="false" outlineLevel="0" max="10035" min="10035" style="1" width="0.71"/>
    <col collapsed="false" customWidth="true" hidden="false" outlineLevel="0" max="10036" min="10036" style="1" width="1.57"/>
    <col collapsed="false" customWidth="false" hidden="false" outlineLevel="0" max="10037" min="10037" style="1" width="0.71"/>
    <col collapsed="false" customWidth="true" hidden="false" outlineLevel="0" max="10038" min="10038" style="1" width="11.29"/>
    <col collapsed="false" customWidth="false" hidden="false" outlineLevel="0" max="10039" min="10039" style="1" width="0.71"/>
    <col collapsed="false" customWidth="true" hidden="false" outlineLevel="0" max="10040" min="10040" style="1" width="1.57"/>
    <col collapsed="false" customWidth="false" hidden="false" outlineLevel="0" max="10045" min="10041" style="1" width="0.71"/>
    <col collapsed="false" customWidth="true" hidden="false" outlineLevel="0" max="10046" min="10046" style="1" width="2.15"/>
    <col collapsed="false" customWidth="false" hidden="false" outlineLevel="0" max="10047" min="10047" style="1" width="0.71"/>
    <col collapsed="false" customWidth="true" hidden="false" outlineLevel="0" max="10048" min="10048" style="1" width="1.57"/>
    <col collapsed="false" customWidth="false" hidden="false" outlineLevel="0" max="10049" min="10049" style="1" width="0.71"/>
    <col collapsed="false" customWidth="true" hidden="false" outlineLevel="0" max="10050" min="10050" style="1" width="7"/>
    <col collapsed="false" customWidth="false" hidden="false" outlineLevel="0" max="10051" min="10051" style="1" width="0.71"/>
    <col collapsed="false" customWidth="true" hidden="false" outlineLevel="0" max="10052" min="10052" style="1" width="4"/>
    <col collapsed="false" customWidth="false" hidden="false" outlineLevel="0" max="10053" min="10053" style="1" width="0.71"/>
    <col collapsed="false" customWidth="true" hidden="false" outlineLevel="0" max="10054" min="10054" style="1" width="1.57"/>
    <col collapsed="false" customWidth="false" hidden="false" outlineLevel="0" max="10055" min="10055" style="1" width="0.71"/>
    <col collapsed="false" customWidth="true" hidden="false" outlineLevel="0" max="10056" min="10056" style="1" width="7"/>
    <col collapsed="false" customWidth="false" hidden="false" outlineLevel="0" max="10059" min="10057" style="1" width="0.71"/>
    <col collapsed="false" customWidth="true" hidden="false" outlineLevel="0" max="10060" min="10060" style="1" width="2.42"/>
    <col collapsed="false" customWidth="false" hidden="false" outlineLevel="0" max="10066" min="10061" style="1" width="0.71"/>
    <col collapsed="false" customWidth="true" hidden="false" outlineLevel="0" max="10067" min="10067" style="1" width="16.57"/>
    <col collapsed="false" customWidth="false" hidden="false" outlineLevel="0" max="10070" min="10068" style="1" width="0.71"/>
    <col collapsed="false" customWidth="true" hidden="false" outlineLevel="0" max="10071" min="10071" style="1" width="9.86"/>
    <col collapsed="false" customWidth="true" hidden="false" outlineLevel="0" max="10074" min="10072" style="1" width="9.29"/>
    <col collapsed="false" customWidth="false" hidden="false" outlineLevel="0" max="10287" min="10075" style="1" width="0.71"/>
    <col collapsed="false" customWidth="true" hidden="false" outlineLevel="0" max="10288" min="10288" style="1" width="3.42"/>
    <col collapsed="false" customWidth="true" hidden="false" outlineLevel="0" max="10289" min="10289" style="1" width="2.42"/>
    <col collapsed="false" customWidth="true" hidden="false" outlineLevel="0" max="10290" min="10290" style="1" width="7"/>
    <col collapsed="false" customWidth="false" hidden="false" outlineLevel="0" max="10291" min="10291" style="1" width="0.71"/>
    <col collapsed="false" customWidth="true" hidden="false" outlineLevel="0" max="10292" min="10292" style="1" width="1.57"/>
    <col collapsed="false" customWidth="false" hidden="false" outlineLevel="0" max="10293" min="10293" style="1" width="0.71"/>
    <col collapsed="false" customWidth="true" hidden="false" outlineLevel="0" max="10294" min="10294" style="1" width="11.29"/>
    <col collapsed="false" customWidth="false" hidden="false" outlineLevel="0" max="10295" min="10295" style="1" width="0.71"/>
    <col collapsed="false" customWidth="true" hidden="false" outlineLevel="0" max="10296" min="10296" style="1" width="1.57"/>
    <col collapsed="false" customWidth="false" hidden="false" outlineLevel="0" max="10301" min="10297" style="1" width="0.71"/>
    <col collapsed="false" customWidth="true" hidden="false" outlineLevel="0" max="10302" min="10302" style="1" width="2.15"/>
    <col collapsed="false" customWidth="false" hidden="false" outlineLevel="0" max="10303" min="10303" style="1" width="0.71"/>
    <col collapsed="false" customWidth="true" hidden="false" outlineLevel="0" max="10304" min="10304" style="1" width="1.57"/>
    <col collapsed="false" customWidth="false" hidden="false" outlineLevel="0" max="10305" min="10305" style="1" width="0.71"/>
    <col collapsed="false" customWidth="true" hidden="false" outlineLevel="0" max="10306" min="10306" style="1" width="7"/>
    <col collapsed="false" customWidth="false" hidden="false" outlineLevel="0" max="10307" min="10307" style="1" width="0.71"/>
    <col collapsed="false" customWidth="true" hidden="false" outlineLevel="0" max="10308" min="10308" style="1" width="4"/>
    <col collapsed="false" customWidth="false" hidden="false" outlineLevel="0" max="10309" min="10309" style="1" width="0.71"/>
    <col collapsed="false" customWidth="true" hidden="false" outlineLevel="0" max="10310" min="10310" style="1" width="1.57"/>
    <col collapsed="false" customWidth="false" hidden="false" outlineLevel="0" max="10311" min="10311" style="1" width="0.71"/>
    <col collapsed="false" customWidth="true" hidden="false" outlineLevel="0" max="10312" min="10312" style="1" width="7"/>
    <col collapsed="false" customWidth="false" hidden="false" outlineLevel="0" max="10315" min="10313" style="1" width="0.71"/>
    <col collapsed="false" customWidth="true" hidden="false" outlineLevel="0" max="10316" min="10316" style="1" width="2.42"/>
    <col collapsed="false" customWidth="false" hidden="false" outlineLevel="0" max="10322" min="10317" style="1" width="0.71"/>
    <col collapsed="false" customWidth="true" hidden="false" outlineLevel="0" max="10323" min="10323" style="1" width="16.57"/>
    <col collapsed="false" customWidth="false" hidden="false" outlineLevel="0" max="10326" min="10324" style="1" width="0.71"/>
    <col collapsed="false" customWidth="true" hidden="false" outlineLevel="0" max="10327" min="10327" style="1" width="9.86"/>
    <col collapsed="false" customWidth="true" hidden="false" outlineLevel="0" max="10330" min="10328" style="1" width="9.29"/>
    <col collapsed="false" customWidth="false" hidden="false" outlineLevel="0" max="10543" min="10331" style="1" width="0.71"/>
    <col collapsed="false" customWidth="true" hidden="false" outlineLevel="0" max="10544" min="10544" style="1" width="3.42"/>
    <col collapsed="false" customWidth="true" hidden="false" outlineLevel="0" max="10545" min="10545" style="1" width="2.42"/>
    <col collapsed="false" customWidth="true" hidden="false" outlineLevel="0" max="10546" min="10546" style="1" width="7"/>
    <col collapsed="false" customWidth="false" hidden="false" outlineLevel="0" max="10547" min="10547" style="1" width="0.71"/>
    <col collapsed="false" customWidth="true" hidden="false" outlineLevel="0" max="10548" min="10548" style="1" width="1.57"/>
    <col collapsed="false" customWidth="false" hidden="false" outlineLevel="0" max="10549" min="10549" style="1" width="0.71"/>
    <col collapsed="false" customWidth="true" hidden="false" outlineLevel="0" max="10550" min="10550" style="1" width="11.29"/>
    <col collapsed="false" customWidth="false" hidden="false" outlineLevel="0" max="10551" min="10551" style="1" width="0.71"/>
    <col collapsed="false" customWidth="true" hidden="false" outlineLevel="0" max="10552" min="10552" style="1" width="1.57"/>
    <col collapsed="false" customWidth="false" hidden="false" outlineLevel="0" max="10557" min="10553" style="1" width="0.71"/>
    <col collapsed="false" customWidth="true" hidden="false" outlineLevel="0" max="10558" min="10558" style="1" width="2.15"/>
    <col collapsed="false" customWidth="false" hidden="false" outlineLevel="0" max="10559" min="10559" style="1" width="0.71"/>
    <col collapsed="false" customWidth="true" hidden="false" outlineLevel="0" max="10560" min="10560" style="1" width="1.57"/>
    <col collapsed="false" customWidth="false" hidden="false" outlineLevel="0" max="10561" min="10561" style="1" width="0.71"/>
    <col collapsed="false" customWidth="true" hidden="false" outlineLevel="0" max="10562" min="10562" style="1" width="7"/>
    <col collapsed="false" customWidth="false" hidden="false" outlineLevel="0" max="10563" min="10563" style="1" width="0.71"/>
    <col collapsed="false" customWidth="true" hidden="false" outlineLevel="0" max="10564" min="10564" style="1" width="4"/>
    <col collapsed="false" customWidth="false" hidden="false" outlineLevel="0" max="10565" min="10565" style="1" width="0.71"/>
    <col collapsed="false" customWidth="true" hidden="false" outlineLevel="0" max="10566" min="10566" style="1" width="1.57"/>
    <col collapsed="false" customWidth="false" hidden="false" outlineLevel="0" max="10567" min="10567" style="1" width="0.71"/>
    <col collapsed="false" customWidth="true" hidden="false" outlineLevel="0" max="10568" min="10568" style="1" width="7"/>
    <col collapsed="false" customWidth="false" hidden="false" outlineLevel="0" max="10571" min="10569" style="1" width="0.71"/>
    <col collapsed="false" customWidth="true" hidden="false" outlineLevel="0" max="10572" min="10572" style="1" width="2.42"/>
    <col collapsed="false" customWidth="false" hidden="false" outlineLevel="0" max="10578" min="10573" style="1" width="0.71"/>
    <col collapsed="false" customWidth="true" hidden="false" outlineLevel="0" max="10579" min="10579" style="1" width="16.57"/>
    <col collapsed="false" customWidth="false" hidden="false" outlineLevel="0" max="10582" min="10580" style="1" width="0.71"/>
    <col collapsed="false" customWidth="true" hidden="false" outlineLevel="0" max="10583" min="10583" style="1" width="9.86"/>
    <col collapsed="false" customWidth="true" hidden="false" outlineLevel="0" max="10586" min="10584" style="1" width="9.29"/>
    <col collapsed="false" customWidth="false" hidden="false" outlineLevel="0" max="10799" min="10587" style="1" width="0.71"/>
    <col collapsed="false" customWidth="true" hidden="false" outlineLevel="0" max="10800" min="10800" style="1" width="3.42"/>
    <col collapsed="false" customWidth="true" hidden="false" outlineLevel="0" max="10801" min="10801" style="1" width="2.42"/>
    <col collapsed="false" customWidth="true" hidden="false" outlineLevel="0" max="10802" min="10802" style="1" width="7"/>
    <col collapsed="false" customWidth="false" hidden="false" outlineLevel="0" max="10803" min="10803" style="1" width="0.71"/>
    <col collapsed="false" customWidth="true" hidden="false" outlineLevel="0" max="10804" min="10804" style="1" width="1.57"/>
    <col collapsed="false" customWidth="false" hidden="false" outlineLevel="0" max="10805" min="10805" style="1" width="0.71"/>
    <col collapsed="false" customWidth="true" hidden="false" outlineLevel="0" max="10806" min="10806" style="1" width="11.29"/>
    <col collapsed="false" customWidth="false" hidden="false" outlineLevel="0" max="10807" min="10807" style="1" width="0.71"/>
    <col collapsed="false" customWidth="true" hidden="false" outlineLevel="0" max="10808" min="10808" style="1" width="1.57"/>
    <col collapsed="false" customWidth="false" hidden="false" outlineLevel="0" max="10813" min="10809" style="1" width="0.71"/>
    <col collapsed="false" customWidth="true" hidden="false" outlineLevel="0" max="10814" min="10814" style="1" width="2.15"/>
    <col collapsed="false" customWidth="false" hidden="false" outlineLevel="0" max="10815" min="10815" style="1" width="0.71"/>
    <col collapsed="false" customWidth="true" hidden="false" outlineLevel="0" max="10816" min="10816" style="1" width="1.57"/>
    <col collapsed="false" customWidth="false" hidden="false" outlineLevel="0" max="10817" min="10817" style="1" width="0.71"/>
    <col collapsed="false" customWidth="true" hidden="false" outlineLevel="0" max="10818" min="10818" style="1" width="7"/>
    <col collapsed="false" customWidth="false" hidden="false" outlineLevel="0" max="10819" min="10819" style="1" width="0.71"/>
    <col collapsed="false" customWidth="true" hidden="false" outlineLevel="0" max="10820" min="10820" style="1" width="4"/>
    <col collapsed="false" customWidth="false" hidden="false" outlineLevel="0" max="10821" min="10821" style="1" width="0.71"/>
    <col collapsed="false" customWidth="true" hidden="false" outlineLevel="0" max="10822" min="10822" style="1" width="1.57"/>
    <col collapsed="false" customWidth="false" hidden="false" outlineLevel="0" max="10823" min="10823" style="1" width="0.71"/>
    <col collapsed="false" customWidth="true" hidden="false" outlineLevel="0" max="10824" min="10824" style="1" width="7"/>
    <col collapsed="false" customWidth="false" hidden="false" outlineLevel="0" max="10827" min="10825" style="1" width="0.71"/>
    <col collapsed="false" customWidth="true" hidden="false" outlineLevel="0" max="10828" min="10828" style="1" width="2.42"/>
    <col collapsed="false" customWidth="false" hidden="false" outlineLevel="0" max="10834" min="10829" style="1" width="0.71"/>
    <col collapsed="false" customWidth="true" hidden="false" outlineLevel="0" max="10835" min="10835" style="1" width="16.57"/>
    <col collapsed="false" customWidth="false" hidden="false" outlineLevel="0" max="10838" min="10836" style="1" width="0.71"/>
    <col collapsed="false" customWidth="true" hidden="false" outlineLevel="0" max="10839" min="10839" style="1" width="9.86"/>
    <col collapsed="false" customWidth="true" hidden="false" outlineLevel="0" max="10842" min="10840" style="1" width="9.29"/>
    <col collapsed="false" customWidth="false" hidden="false" outlineLevel="0" max="11055" min="10843" style="1" width="0.71"/>
    <col collapsed="false" customWidth="true" hidden="false" outlineLevel="0" max="11056" min="11056" style="1" width="3.42"/>
    <col collapsed="false" customWidth="true" hidden="false" outlineLevel="0" max="11057" min="11057" style="1" width="2.42"/>
    <col collapsed="false" customWidth="true" hidden="false" outlineLevel="0" max="11058" min="11058" style="1" width="7"/>
    <col collapsed="false" customWidth="false" hidden="false" outlineLevel="0" max="11059" min="11059" style="1" width="0.71"/>
    <col collapsed="false" customWidth="true" hidden="false" outlineLevel="0" max="11060" min="11060" style="1" width="1.57"/>
    <col collapsed="false" customWidth="false" hidden="false" outlineLevel="0" max="11061" min="11061" style="1" width="0.71"/>
    <col collapsed="false" customWidth="true" hidden="false" outlineLevel="0" max="11062" min="11062" style="1" width="11.29"/>
    <col collapsed="false" customWidth="false" hidden="false" outlineLevel="0" max="11063" min="11063" style="1" width="0.71"/>
    <col collapsed="false" customWidth="true" hidden="false" outlineLevel="0" max="11064" min="11064" style="1" width="1.57"/>
    <col collapsed="false" customWidth="false" hidden="false" outlineLevel="0" max="11069" min="11065" style="1" width="0.71"/>
    <col collapsed="false" customWidth="true" hidden="false" outlineLevel="0" max="11070" min="11070" style="1" width="2.15"/>
    <col collapsed="false" customWidth="false" hidden="false" outlineLevel="0" max="11071" min="11071" style="1" width="0.71"/>
    <col collapsed="false" customWidth="true" hidden="false" outlineLevel="0" max="11072" min="11072" style="1" width="1.57"/>
    <col collapsed="false" customWidth="false" hidden="false" outlineLevel="0" max="11073" min="11073" style="1" width="0.71"/>
    <col collapsed="false" customWidth="true" hidden="false" outlineLevel="0" max="11074" min="11074" style="1" width="7"/>
    <col collapsed="false" customWidth="false" hidden="false" outlineLevel="0" max="11075" min="11075" style="1" width="0.71"/>
    <col collapsed="false" customWidth="true" hidden="false" outlineLevel="0" max="11076" min="11076" style="1" width="4"/>
    <col collapsed="false" customWidth="false" hidden="false" outlineLevel="0" max="11077" min="11077" style="1" width="0.71"/>
    <col collapsed="false" customWidth="true" hidden="false" outlineLevel="0" max="11078" min="11078" style="1" width="1.57"/>
    <col collapsed="false" customWidth="false" hidden="false" outlineLevel="0" max="11079" min="11079" style="1" width="0.71"/>
    <col collapsed="false" customWidth="true" hidden="false" outlineLevel="0" max="11080" min="11080" style="1" width="7"/>
    <col collapsed="false" customWidth="false" hidden="false" outlineLevel="0" max="11083" min="11081" style="1" width="0.71"/>
    <col collapsed="false" customWidth="true" hidden="false" outlineLevel="0" max="11084" min="11084" style="1" width="2.42"/>
    <col collapsed="false" customWidth="false" hidden="false" outlineLevel="0" max="11090" min="11085" style="1" width="0.71"/>
    <col collapsed="false" customWidth="true" hidden="false" outlineLevel="0" max="11091" min="11091" style="1" width="16.57"/>
    <col collapsed="false" customWidth="false" hidden="false" outlineLevel="0" max="11094" min="11092" style="1" width="0.71"/>
    <col collapsed="false" customWidth="true" hidden="false" outlineLevel="0" max="11095" min="11095" style="1" width="9.86"/>
    <col collapsed="false" customWidth="true" hidden="false" outlineLevel="0" max="11098" min="11096" style="1" width="9.29"/>
    <col collapsed="false" customWidth="false" hidden="false" outlineLevel="0" max="11311" min="11099" style="1" width="0.71"/>
    <col collapsed="false" customWidth="true" hidden="false" outlineLevel="0" max="11312" min="11312" style="1" width="3.42"/>
    <col collapsed="false" customWidth="true" hidden="false" outlineLevel="0" max="11313" min="11313" style="1" width="2.42"/>
    <col collapsed="false" customWidth="true" hidden="false" outlineLevel="0" max="11314" min="11314" style="1" width="7"/>
    <col collapsed="false" customWidth="false" hidden="false" outlineLevel="0" max="11315" min="11315" style="1" width="0.71"/>
    <col collapsed="false" customWidth="true" hidden="false" outlineLevel="0" max="11316" min="11316" style="1" width="1.57"/>
    <col collapsed="false" customWidth="false" hidden="false" outlineLevel="0" max="11317" min="11317" style="1" width="0.71"/>
    <col collapsed="false" customWidth="true" hidden="false" outlineLevel="0" max="11318" min="11318" style="1" width="11.29"/>
    <col collapsed="false" customWidth="false" hidden="false" outlineLevel="0" max="11319" min="11319" style="1" width="0.71"/>
    <col collapsed="false" customWidth="true" hidden="false" outlineLevel="0" max="11320" min="11320" style="1" width="1.57"/>
    <col collapsed="false" customWidth="false" hidden="false" outlineLevel="0" max="11325" min="11321" style="1" width="0.71"/>
    <col collapsed="false" customWidth="true" hidden="false" outlineLevel="0" max="11326" min="11326" style="1" width="2.15"/>
    <col collapsed="false" customWidth="false" hidden="false" outlineLevel="0" max="11327" min="11327" style="1" width="0.71"/>
    <col collapsed="false" customWidth="true" hidden="false" outlineLevel="0" max="11328" min="11328" style="1" width="1.57"/>
    <col collapsed="false" customWidth="false" hidden="false" outlineLevel="0" max="11329" min="11329" style="1" width="0.71"/>
    <col collapsed="false" customWidth="true" hidden="false" outlineLevel="0" max="11330" min="11330" style="1" width="7"/>
    <col collapsed="false" customWidth="false" hidden="false" outlineLevel="0" max="11331" min="11331" style="1" width="0.71"/>
    <col collapsed="false" customWidth="true" hidden="false" outlineLevel="0" max="11332" min="11332" style="1" width="4"/>
    <col collapsed="false" customWidth="false" hidden="false" outlineLevel="0" max="11333" min="11333" style="1" width="0.71"/>
    <col collapsed="false" customWidth="true" hidden="false" outlineLevel="0" max="11334" min="11334" style="1" width="1.57"/>
    <col collapsed="false" customWidth="false" hidden="false" outlineLevel="0" max="11335" min="11335" style="1" width="0.71"/>
    <col collapsed="false" customWidth="true" hidden="false" outlineLevel="0" max="11336" min="11336" style="1" width="7"/>
    <col collapsed="false" customWidth="false" hidden="false" outlineLevel="0" max="11339" min="11337" style="1" width="0.71"/>
    <col collapsed="false" customWidth="true" hidden="false" outlineLevel="0" max="11340" min="11340" style="1" width="2.42"/>
    <col collapsed="false" customWidth="false" hidden="false" outlineLevel="0" max="11346" min="11341" style="1" width="0.71"/>
    <col collapsed="false" customWidth="true" hidden="false" outlineLevel="0" max="11347" min="11347" style="1" width="16.57"/>
    <col collapsed="false" customWidth="false" hidden="false" outlineLevel="0" max="11350" min="11348" style="1" width="0.71"/>
    <col collapsed="false" customWidth="true" hidden="false" outlineLevel="0" max="11351" min="11351" style="1" width="9.86"/>
    <col collapsed="false" customWidth="true" hidden="false" outlineLevel="0" max="11354" min="11352" style="1" width="9.29"/>
    <col collapsed="false" customWidth="false" hidden="false" outlineLevel="0" max="11567" min="11355" style="1" width="0.71"/>
    <col collapsed="false" customWidth="true" hidden="false" outlineLevel="0" max="11568" min="11568" style="1" width="3.42"/>
    <col collapsed="false" customWidth="true" hidden="false" outlineLevel="0" max="11569" min="11569" style="1" width="2.42"/>
    <col collapsed="false" customWidth="true" hidden="false" outlineLevel="0" max="11570" min="11570" style="1" width="7"/>
    <col collapsed="false" customWidth="false" hidden="false" outlineLevel="0" max="11571" min="11571" style="1" width="0.71"/>
    <col collapsed="false" customWidth="true" hidden="false" outlineLevel="0" max="11572" min="11572" style="1" width="1.57"/>
    <col collapsed="false" customWidth="false" hidden="false" outlineLevel="0" max="11573" min="11573" style="1" width="0.71"/>
    <col collapsed="false" customWidth="true" hidden="false" outlineLevel="0" max="11574" min="11574" style="1" width="11.29"/>
    <col collapsed="false" customWidth="false" hidden="false" outlineLevel="0" max="11575" min="11575" style="1" width="0.71"/>
    <col collapsed="false" customWidth="true" hidden="false" outlineLevel="0" max="11576" min="11576" style="1" width="1.57"/>
    <col collapsed="false" customWidth="false" hidden="false" outlineLevel="0" max="11581" min="11577" style="1" width="0.71"/>
    <col collapsed="false" customWidth="true" hidden="false" outlineLevel="0" max="11582" min="11582" style="1" width="2.15"/>
    <col collapsed="false" customWidth="false" hidden="false" outlineLevel="0" max="11583" min="11583" style="1" width="0.71"/>
    <col collapsed="false" customWidth="true" hidden="false" outlineLevel="0" max="11584" min="11584" style="1" width="1.57"/>
    <col collapsed="false" customWidth="false" hidden="false" outlineLevel="0" max="11585" min="11585" style="1" width="0.71"/>
    <col collapsed="false" customWidth="true" hidden="false" outlineLevel="0" max="11586" min="11586" style="1" width="7"/>
    <col collapsed="false" customWidth="false" hidden="false" outlineLevel="0" max="11587" min="11587" style="1" width="0.71"/>
    <col collapsed="false" customWidth="true" hidden="false" outlineLevel="0" max="11588" min="11588" style="1" width="4"/>
    <col collapsed="false" customWidth="false" hidden="false" outlineLevel="0" max="11589" min="11589" style="1" width="0.71"/>
    <col collapsed="false" customWidth="true" hidden="false" outlineLevel="0" max="11590" min="11590" style="1" width="1.57"/>
    <col collapsed="false" customWidth="false" hidden="false" outlineLevel="0" max="11591" min="11591" style="1" width="0.71"/>
    <col collapsed="false" customWidth="true" hidden="false" outlineLevel="0" max="11592" min="11592" style="1" width="7"/>
    <col collapsed="false" customWidth="false" hidden="false" outlineLevel="0" max="11595" min="11593" style="1" width="0.71"/>
    <col collapsed="false" customWidth="true" hidden="false" outlineLevel="0" max="11596" min="11596" style="1" width="2.42"/>
    <col collapsed="false" customWidth="false" hidden="false" outlineLevel="0" max="11602" min="11597" style="1" width="0.71"/>
    <col collapsed="false" customWidth="true" hidden="false" outlineLevel="0" max="11603" min="11603" style="1" width="16.57"/>
    <col collapsed="false" customWidth="false" hidden="false" outlineLevel="0" max="11606" min="11604" style="1" width="0.71"/>
    <col collapsed="false" customWidth="true" hidden="false" outlineLevel="0" max="11607" min="11607" style="1" width="9.86"/>
    <col collapsed="false" customWidth="true" hidden="false" outlineLevel="0" max="11610" min="11608" style="1" width="9.29"/>
    <col collapsed="false" customWidth="false" hidden="false" outlineLevel="0" max="11823" min="11611" style="1" width="0.71"/>
    <col collapsed="false" customWidth="true" hidden="false" outlineLevel="0" max="11824" min="11824" style="1" width="3.42"/>
    <col collapsed="false" customWidth="true" hidden="false" outlineLevel="0" max="11825" min="11825" style="1" width="2.42"/>
    <col collapsed="false" customWidth="true" hidden="false" outlineLevel="0" max="11826" min="11826" style="1" width="7"/>
    <col collapsed="false" customWidth="false" hidden="false" outlineLevel="0" max="11827" min="11827" style="1" width="0.71"/>
    <col collapsed="false" customWidth="true" hidden="false" outlineLevel="0" max="11828" min="11828" style="1" width="1.57"/>
    <col collapsed="false" customWidth="false" hidden="false" outlineLevel="0" max="11829" min="11829" style="1" width="0.71"/>
    <col collapsed="false" customWidth="true" hidden="false" outlineLevel="0" max="11830" min="11830" style="1" width="11.29"/>
    <col collapsed="false" customWidth="false" hidden="false" outlineLevel="0" max="11831" min="11831" style="1" width="0.71"/>
    <col collapsed="false" customWidth="true" hidden="false" outlineLevel="0" max="11832" min="11832" style="1" width="1.57"/>
    <col collapsed="false" customWidth="false" hidden="false" outlineLevel="0" max="11837" min="11833" style="1" width="0.71"/>
    <col collapsed="false" customWidth="true" hidden="false" outlineLevel="0" max="11838" min="11838" style="1" width="2.15"/>
    <col collapsed="false" customWidth="false" hidden="false" outlineLevel="0" max="11839" min="11839" style="1" width="0.71"/>
    <col collapsed="false" customWidth="true" hidden="false" outlineLevel="0" max="11840" min="11840" style="1" width="1.57"/>
    <col collapsed="false" customWidth="false" hidden="false" outlineLevel="0" max="11841" min="11841" style="1" width="0.71"/>
    <col collapsed="false" customWidth="true" hidden="false" outlineLevel="0" max="11842" min="11842" style="1" width="7"/>
    <col collapsed="false" customWidth="false" hidden="false" outlineLevel="0" max="11843" min="11843" style="1" width="0.71"/>
    <col collapsed="false" customWidth="true" hidden="false" outlineLevel="0" max="11844" min="11844" style="1" width="4"/>
    <col collapsed="false" customWidth="false" hidden="false" outlineLevel="0" max="11845" min="11845" style="1" width="0.71"/>
    <col collapsed="false" customWidth="true" hidden="false" outlineLevel="0" max="11846" min="11846" style="1" width="1.57"/>
    <col collapsed="false" customWidth="false" hidden="false" outlineLevel="0" max="11847" min="11847" style="1" width="0.71"/>
    <col collapsed="false" customWidth="true" hidden="false" outlineLevel="0" max="11848" min="11848" style="1" width="7"/>
    <col collapsed="false" customWidth="false" hidden="false" outlineLevel="0" max="11851" min="11849" style="1" width="0.71"/>
    <col collapsed="false" customWidth="true" hidden="false" outlineLevel="0" max="11852" min="11852" style="1" width="2.42"/>
    <col collapsed="false" customWidth="false" hidden="false" outlineLevel="0" max="11858" min="11853" style="1" width="0.71"/>
    <col collapsed="false" customWidth="true" hidden="false" outlineLevel="0" max="11859" min="11859" style="1" width="16.57"/>
    <col collapsed="false" customWidth="false" hidden="false" outlineLevel="0" max="11862" min="11860" style="1" width="0.71"/>
    <col collapsed="false" customWidth="true" hidden="false" outlineLevel="0" max="11863" min="11863" style="1" width="9.86"/>
    <col collapsed="false" customWidth="true" hidden="false" outlineLevel="0" max="11866" min="11864" style="1" width="9.29"/>
    <col collapsed="false" customWidth="false" hidden="false" outlineLevel="0" max="12079" min="11867" style="1" width="0.71"/>
    <col collapsed="false" customWidth="true" hidden="false" outlineLevel="0" max="12080" min="12080" style="1" width="3.42"/>
    <col collapsed="false" customWidth="true" hidden="false" outlineLevel="0" max="12081" min="12081" style="1" width="2.42"/>
    <col collapsed="false" customWidth="true" hidden="false" outlineLevel="0" max="12082" min="12082" style="1" width="7"/>
    <col collapsed="false" customWidth="false" hidden="false" outlineLevel="0" max="12083" min="12083" style="1" width="0.71"/>
    <col collapsed="false" customWidth="true" hidden="false" outlineLevel="0" max="12084" min="12084" style="1" width="1.57"/>
    <col collapsed="false" customWidth="false" hidden="false" outlineLevel="0" max="12085" min="12085" style="1" width="0.71"/>
    <col collapsed="false" customWidth="true" hidden="false" outlineLevel="0" max="12086" min="12086" style="1" width="11.29"/>
    <col collapsed="false" customWidth="false" hidden="false" outlineLevel="0" max="12087" min="12087" style="1" width="0.71"/>
    <col collapsed="false" customWidth="true" hidden="false" outlineLevel="0" max="12088" min="12088" style="1" width="1.57"/>
    <col collapsed="false" customWidth="false" hidden="false" outlineLevel="0" max="12093" min="12089" style="1" width="0.71"/>
    <col collapsed="false" customWidth="true" hidden="false" outlineLevel="0" max="12094" min="12094" style="1" width="2.15"/>
    <col collapsed="false" customWidth="false" hidden="false" outlineLevel="0" max="12095" min="12095" style="1" width="0.71"/>
    <col collapsed="false" customWidth="true" hidden="false" outlineLevel="0" max="12096" min="12096" style="1" width="1.57"/>
    <col collapsed="false" customWidth="false" hidden="false" outlineLevel="0" max="12097" min="12097" style="1" width="0.71"/>
    <col collapsed="false" customWidth="true" hidden="false" outlineLevel="0" max="12098" min="12098" style="1" width="7"/>
    <col collapsed="false" customWidth="false" hidden="false" outlineLevel="0" max="12099" min="12099" style="1" width="0.71"/>
    <col collapsed="false" customWidth="true" hidden="false" outlineLevel="0" max="12100" min="12100" style="1" width="4"/>
    <col collapsed="false" customWidth="false" hidden="false" outlineLevel="0" max="12101" min="12101" style="1" width="0.71"/>
    <col collapsed="false" customWidth="true" hidden="false" outlineLevel="0" max="12102" min="12102" style="1" width="1.57"/>
    <col collapsed="false" customWidth="false" hidden="false" outlineLevel="0" max="12103" min="12103" style="1" width="0.71"/>
    <col collapsed="false" customWidth="true" hidden="false" outlineLevel="0" max="12104" min="12104" style="1" width="7"/>
    <col collapsed="false" customWidth="false" hidden="false" outlineLevel="0" max="12107" min="12105" style="1" width="0.71"/>
    <col collapsed="false" customWidth="true" hidden="false" outlineLevel="0" max="12108" min="12108" style="1" width="2.42"/>
    <col collapsed="false" customWidth="false" hidden="false" outlineLevel="0" max="12114" min="12109" style="1" width="0.71"/>
    <col collapsed="false" customWidth="true" hidden="false" outlineLevel="0" max="12115" min="12115" style="1" width="16.57"/>
    <col collapsed="false" customWidth="false" hidden="false" outlineLevel="0" max="12118" min="12116" style="1" width="0.71"/>
    <col collapsed="false" customWidth="true" hidden="false" outlineLevel="0" max="12119" min="12119" style="1" width="9.86"/>
    <col collapsed="false" customWidth="true" hidden="false" outlineLevel="0" max="12122" min="12120" style="1" width="9.29"/>
    <col collapsed="false" customWidth="false" hidden="false" outlineLevel="0" max="12335" min="12123" style="1" width="0.71"/>
    <col collapsed="false" customWidth="true" hidden="false" outlineLevel="0" max="12336" min="12336" style="1" width="3.42"/>
    <col collapsed="false" customWidth="true" hidden="false" outlineLevel="0" max="12337" min="12337" style="1" width="2.42"/>
    <col collapsed="false" customWidth="true" hidden="false" outlineLevel="0" max="12338" min="12338" style="1" width="7"/>
    <col collapsed="false" customWidth="false" hidden="false" outlineLevel="0" max="12339" min="12339" style="1" width="0.71"/>
    <col collapsed="false" customWidth="true" hidden="false" outlineLevel="0" max="12340" min="12340" style="1" width="1.57"/>
    <col collapsed="false" customWidth="false" hidden="false" outlineLevel="0" max="12341" min="12341" style="1" width="0.71"/>
    <col collapsed="false" customWidth="true" hidden="false" outlineLevel="0" max="12342" min="12342" style="1" width="11.29"/>
    <col collapsed="false" customWidth="false" hidden="false" outlineLevel="0" max="12343" min="12343" style="1" width="0.71"/>
    <col collapsed="false" customWidth="true" hidden="false" outlineLevel="0" max="12344" min="12344" style="1" width="1.57"/>
    <col collapsed="false" customWidth="false" hidden="false" outlineLevel="0" max="12349" min="12345" style="1" width="0.71"/>
    <col collapsed="false" customWidth="true" hidden="false" outlineLevel="0" max="12350" min="12350" style="1" width="2.15"/>
    <col collapsed="false" customWidth="false" hidden="false" outlineLevel="0" max="12351" min="12351" style="1" width="0.71"/>
    <col collapsed="false" customWidth="true" hidden="false" outlineLevel="0" max="12352" min="12352" style="1" width="1.57"/>
    <col collapsed="false" customWidth="false" hidden="false" outlineLevel="0" max="12353" min="12353" style="1" width="0.71"/>
    <col collapsed="false" customWidth="true" hidden="false" outlineLevel="0" max="12354" min="12354" style="1" width="7"/>
    <col collapsed="false" customWidth="false" hidden="false" outlineLevel="0" max="12355" min="12355" style="1" width="0.71"/>
    <col collapsed="false" customWidth="true" hidden="false" outlineLevel="0" max="12356" min="12356" style="1" width="4"/>
    <col collapsed="false" customWidth="false" hidden="false" outlineLevel="0" max="12357" min="12357" style="1" width="0.71"/>
    <col collapsed="false" customWidth="true" hidden="false" outlineLevel="0" max="12358" min="12358" style="1" width="1.57"/>
    <col collapsed="false" customWidth="false" hidden="false" outlineLevel="0" max="12359" min="12359" style="1" width="0.71"/>
    <col collapsed="false" customWidth="true" hidden="false" outlineLevel="0" max="12360" min="12360" style="1" width="7"/>
    <col collapsed="false" customWidth="false" hidden="false" outlineLevel="0" max="12363" min="12361" style="1" width="0.71"/>
    <col collapsed="false" customWidth="true" hidden="false" outlineLevel="0" max="12364" min="12364" style="1" width="2.42"/>
    <col collapsed="false" customWidth="false" hidden="false" outlineLevel="0" max="12370" min="12365" style="1" width="0.71"/>
    <col collapsed="false" customWidth="true" hidden="false" outlineLevel="0" max="12371" min="12371" style="1" width="16.57"/>
    <col collapsed="false" customWidth="false" hidden="false" outlineLevel="0" max="12374" min="12372" style="1" width="0.71"/>
    <col collapsed="false" customWidth="true" hidden="false" outlineLevel="0" max="12375" min="12375" style="1" width="9.86"/>
    <col collapsed="false" customWidth="true" hidden="false" outlineLevel="0" max="12378" min="12376" style="1" width="9.29"/>
    <col collapsed="false" customWidth="false" hidden="false" outlineLevel="0" max="12591" min="12379" style="1" width="0.71"/>
    <col collapsed="false" customWidth="true" hidden="false" outlineLevel="0" max="12592" min="12592" style="1" width="3.42"/>
    <col collapsed="false" customWidth="true" hidden="false" outlineLevel="0" max="12593" min="12593" style="1" width="2.42"/>
    <col collapsed="false" customWidth="true" hidden="false" outlineLevel="0" max="12594" min="12594" style="1" width="7"/>
    <col collapsed="false" customWidth="false" hidden="false" outlineLevel="0" max="12595" min="12595" style="1" width="0.71"/>
    <col collapsed="false" customWidth="true" hidden="false" outlineLevel="0" max="12596" min="12596" style="1" width="1.57"/>
    <col collapsed="false" customWidth="false" hidden="false" outlineLevel="0" max="12597" min="12597" style="1" width="0.71"/>
    <col collapsed="false" customWidth="true" hidden="false" outlineLevel="0" max="12598" min="12598" style="1" width="11.29"/>
    <col collapsed="false" customWidth="false" hidden="false" outlineLevel="0" max="12599" min="12599" style="1" width="0.71"/>
    <col collapsed="false" customWidth="true" hidden="false" outlineLevel="0" max="12600" min="12600" style="1" width="1.57"/>
    <col collapsed="false" customWidth="false" hidden="false" outlineLevel="0" max="12605" min="12601" style="1" width="0.71"/>
    <col collapsed="false" customWidth="true" hidden="false" outlineLevel="0" max="12606" min="12606" style="1" width="2.15"/>
    <col collapsed="false" customWidth="false" hidden="false" outlineLevel="0" max="12607" min="12607" style="1" width="0.71"/>
    <col collapsed="false" customWidth="true" hidden="false" outlineLevel="0" max="12608" min="12608" style="1" width="1.57"/>
    <col collapsed="false" customWidth="false" hidden="false" outlineLevel="0" max="12609" min="12609" style="1" width="0.71"/>
    <col collapsed="false" customWidth="true" hidden="false" outlineLevel="0" max="12610" min="12610" style="1" width="7"/>
    <col collapsed="false" customWidth="false" hidden="false" outlineLevel="0" max="12611" min="12611" style="1" width="0.71"/>
    <col collapsed="false" customWidth="true" hidden="false" outlineLevel="0" max="12612" min="12612" style="1" width="4"/>
    <col collapsed="false" customWidth="false" hidden="false" outlineLevel="0" max="12613" min="12613" style="1" width="0.71"/>
    <col collapsed="false" customWidth="true" hidden="false" outlineLevel="0" max="12614" min="12614" style="1" width="1.57"/>
    <col collapsed="false" customWidth="false" hidden="false" outlineLevel="0" max="12615" min="12615" style="1" width="0.71"/>
    <col collapsed="false" customWidth="true" hidden="false" outlineLevel="0" max="12616" min="12616" style="1" width="7"/>
    <col collapsed="false" customWidth="false" hidden="false" outlineLevel="0" max="12619" min="12617" style="1" width="0.71"/>
    <col collapsed="false" customWidth="true" hidden="false" outlineLevel="0" max="12620" min="12620" style="1" width="2.42"/>
    <col collapsed="false" customWidth="false" hidden="false" outlineLevel="0" max="12626" min="12621" style="1" width="0.71"/>
    <col collapsed="false" customWidth="true" hidden="false" outlineLevel="0" max="12627" min="12627" style="1" width="16.57"/>
    <col collapsed="false" customWidth="false" hidden="false" outlineLevel="0" max="12630" min="12628" style="1" width="0.71"/>
    <col collapsed="false" customWidth="true" hidden="false" outlineLevel="0" max="12631" min="12631" style="1" width="9.86"/>
    <col collapsed="false" customWidth="true" hidden="false" outlineLevel="0" max="12634" min="12632" style="1" width="9.29"/>
    <col collapsed="false" customWidth="false" hidden="false" outlineLevel="0" max="12847" min="12635" style="1" width="0.71"/>
    <col collapsed="false" customWidth="true" hidden="false" outlineLevel="0" max="12848" min="12848" style="1" width="3.42"/>
    <col collapsed="false" customWidth="true" hidden="false" outlineLevel="0" max="12849" min="12849" style="1" width="2.42"/>
    <col collapsed="false" customWidth="true" hidden="false" outlineLevel="0" max="12850" min="12850" style="1" width="7"/>
    <col collapsed="false" customWidth="false" hidden="false" outlineLevel="0" max="12851" min="12851" style="1" width="0.71"/>
    <col collapsed="false" customWidth="true" hidden="false" outlineLevel="0" max="12852" min="12852" style="1" width="1.57"/>
    <col collapsed="false" customWidth="false" hidden="false" outlineLevel="0" max="12853" min="12853" style="1" width="0.71"/>
    <col collapsed="false" customWidth="true" hidden="false" outlineLevel="0" max="12854" min="12854" style="1" width="11.29"/>
    <col collapsed="false" customWidth="false" hidden="false" outlineLevel="0" max="12855" min="12855" style="1" width="0.71"/>
    <col collapsed="false" customWidth="true" hidden="false" outlineLevel="0" max="12856" min="12856" style="1" width="1.57"/>
    <col collapsed="false" customWidth="false" hidden="false" outlineLevel="0" max="12861" min="12857" style="1" width="0.71"/>
    <col collapsed="false" customWidth="true" hidden="false" outlineLevel="0" max="12862" min="12862" style="1" width="2.15"/>
    <col collapsed="false" customWidth="false" hidden="false" outlineLevel="0" max="12863" min="12863" style="1" width="0.71"/>
    <col collapsed="false" customWidth="true" hidden="false" outlineLevel="0" max="12864" min="12864" style="1" width="1.57"/>
    <col collapsed="false" customWidth="false" hidden="false" outlineLevel="0" max="12865" min="12865" style="1" width="0.71"/>
    <col collapsed="false" customWidth="true" hidden="false" outlineLevel="0" max="12866" min="12866" style="1" width="7"/>
    <col collapsed="false" customWidth="false" hidden="false" outlineLevel="0" max="12867" min="12867" style="1" width="0.71"/>
    <col collapsed="false" customWidth="true" hidden="false" outlineLevel="0" max="12868" min="12868" style="1" width="4"/>
    <col collapsed="false" customWidth="false" hidden="false" outlineLevel="0" max="12869" min="12869" style="1" width="0.71"/>
    <col collapsed="false" customWidth="true" hidden="false" outlineLevel="0" max="12870" min="12870" style="1" width="1.57"/>
    <col collapsed="false" customWidth="false" hidden="false" outlineLevel="0" max="12871" min="12871" style="1" width="0.71"/>
    <col collapsed="false" customWidth="true" hidden="false" outlineLevel="0" max="12872" min="12872" style="1" width="7"/>
    <col collapsed="false" customWidth="false" hidden="false" outlineLevel="0" max="12875" min="12873" style="1" width="0.71"/>
    <col collapsed="false" customWidth="true" hidden="false" outlineLevel="0" max="12876" min="12876" style="1" width="2.42"/>
    <col collapsed="false" customWidth="false" hidden="false" outlineLevel="0" max="12882" min="12877" style="1" width="0.71"/>
    <col collapsed="false" customWidth="true" hidden="false" outlineLevel="0" max="12883" min="12883" style="1" width="16.57"/>
    <col collapsed="false" customWidth="false" hidden="false" outlineLevel="0" max="12886" min="12884" style="1" width="0.71"/>
    <col collapsed="false" customWidth="true" hidden="false" outlineLevel="0" max="12887" min="12887" style="1" width="9.86"/>
    <col collapsed="false" customWidth="true" hidden="false" outlineLevel="0" max="12890" min="12888" style="1" width="9.29"/>
    <col collapsed="false" customWidth="false" hidden="false" outlineLevel="0" max="13103" min="12891" style="1" width="0.71"/>
    <col collapsed="false" customWidth="true" hidden="false" outlineLevel="0" max="13104" min="13104" style="1" width="3.42"/>
    <col collapsed="false" customWidth="true" hidden="false" outlineLevel="0" max="13105" min="13105" style="1" width="2.42"/>
    <col collapsed="false" customWidth="true" hidden="false" outlineLevel="0" max="13106" min="13106" style="1" width="7"/>
    <col collapsed="false" customWidth="false" hidden="false" outlineLevel="0" max="13107" min="13107" style="1" width="0.71"/>
    <col collapsed="false" customWidth="true" hidden="false" outlineLevel="0" max="13108" min="13108" style="1" width="1.57"/>
    <col collapsed="false" customWidth="false" hidden="false" outlineLevel="0" max="13109" min="13109" style="1" width="0.71"/>
    <col collapsed="false" customWidth="true" hidden="false" outlineLevel="0" max="13110" min="13110" style="1" width="11.29"/>
    <col collapsed="false" customWidth="false" hidden="false" outlineLevel="0" max="13111" min="13111" style="1" width="0.71"/>
    <col collapsed="false" customWidth="true" hidden="false" outlineLevel="0" max="13112" min="13112" style="1" width="1.57"/>
    <col collapsed="false" customWidth="false" hidden="false" outlineLevel="0" max="13117" min="13113" style="1" width="0.71"/>
    <col collapsed="false" customWidth="true" hidden="false" outlineLevel="0" max="13118" min="13118" style="1" width="2.15"/>
    <col collapsed="false" customWidth="false" hidden="false" outlineLevel="0" max="13119" min="13119" style="1" width="0.71"/>
    <col collapsed="false" customWidth="true" hidden="false" outlineLevel="0" max="13120" min="13120" style="1" width="1.57"/>
    <col collapsed="false" customWidth="false" hidden="false" outlineLevel="0" max="13121" min="13121" style="1" width="0.71"/>
    <col collapsed="false" customWidth="true" hidden="false" outlineLevel="0" max="13122" min="13122" style="1" width="7"/>
    <col collapsed="false" customWidth="false" hidden="false" outlineLevel="0" max="13123" min="13123" style="1" width="0.71"/>
    <col collapsed="false" customWidth="true" hidden="false" outlineLevel="0" max="13124" min="13124" style="1" width="4"/>
    <col collapsed="false" customWidth="false" hidden="false" outlineLevel="0" max="13125" min="13125" style="1" width="0.71"/>
    <col collapsed="false" customWidth="true" hidden="false" outlineLevel="0" max="13126" min="13126" style="1" width="1.57"/>
    <col collapsed="false" customWidth="false" hidden="false" outlineLevel="0" max="13127" min="13127" style="1" width="0.71"/>
    <col collapsed="false" customWidth="true" hidden="false" outlineLevel="0" max="13128" min="13128" style="1" width="7"/>
    <col collapsed="false" customWidth="false" hidden="false" outlineLevel="0" max="13131" min="13129" style="1" width="0.71"/>
    <col collapsed="false" customWidth="true" hidden="false" outlineLevel="0" max="13132" min="13132" style="1" width="2.42"/>
    <col collapsed="false" customWidth="false" hidden="false" outlineLevel="0" max="13138" min="13133" style="1" width="0.71"/>
    <col collapsed="false" customWidth="true" hidden="false" outlineLevel="0" max="13139" min="13139" style="1" width="16.57"/>
    <col collapsed="false" customWidth="false" hidden="false" outlineLevel="0" max="13142" min="13140" style="1" width="0.71"/>
    <col collapsed="false" customWidth="true" hidden="false" outlineLevel="0" max="13143" min="13143" style="1" width="9.86"/>
    <col collapsed="false" customWidth="true" hidden="false" outlineLevel="0" max="13146" min="13144" style="1" width="9.29"/>
    <col collapsed="false" customWidth="false" hidden="false" outlineLevel="0" max="13359" min="13147" style="1" width="0.71"/>
    <col collapsed="false" customWidth="true" hidden="false" outlineLevel="0" max="13360" min="13360" style="1" width="3.42"/>
    <col collapsed="false" customWidth="true" hidden="false" outlineLevel="0" max="13361" min="13361" style="1" width="2.42"/>
    <col collapsed="false" customWidth="true" hidden="false" outlineLevel="0" max="13362" min="13362" style="1" width="7"/>
    <col collapsed="false" customWidth="false" hidden="false" outlineLevel="0" max="13363" min="13363" style="1" width="0.71"/>
    <col collapsed="false" customWidth="true" hidden="false" outlineLevel="0" max="13364" min="13364" style="1" width="1.57"/>
    <col collapsed="false" customWidth="false" hidden="false" outlineLevel="0" max="13365" min="13365" style="1" width="0.71"/>
    <col collapsed="false" customWidth="true" hidden="false" outlineLevel="0" max="13366" min="13366" style="1" width="11.29"/>
    <col collapsed="false" customWidth="false" hidden="false" outlineLevel="0" max="13367" min="13367" style="1" width="0.71"/>
    <col collapsed="false" customWidth="true" hidden="false" outlineLevel="0" max="13368" min="13368" style="1" width="1.57"/>
    <col collapsed="false" customWidth="false" hidden="false" outlineLevel="0" max="13373" min="13369" style="1" width="0.71"/>
    <col collapsed="false" customWidth="true" hidden="false" outlineLevel="0" max="13374" min="13374" style="1" width="2.15"/>
    <col collapsed="false" customWidth="false" hidden="false" outlineLevel="0" max="13375" min="13375" style="1" width="0.71"/>
    <col collapsed="false" customWidth="true" hidden="false" outlineLevel="0" max="13376" min="13376" style="1" width="1.57"/>
    <col collapsed="false" customWidth="false" hidden="false" outlineLevel="0" max="13377" min="13377" style="1" width="0.71"/>
    <col collapsed="false" customWidth="true" hidden="false" outlineLevel="0" max="13378" min="13378" style="1" width="7"/>
    <col collapsed="false" customWidth="false" hidden="false" outlineLevel="0" max="13379" min="13379" style="1" width="0.71"/>
    <col collapsed="false" customWidth="true" hidden="false" outlineLevel="0" max="13380" min="13380" style="1" width="4"/>
    <col collapsed="false" customWidth="false" hidden="false" outlineLevel="0" max="13381" min="13381" style="1" width="0.71"/>
    <col collapsed="false" customWidth="true" hidden="false" outlineLevel="0" max="13382" min="13382" style="1" width="1.57"/>
    <col collapsed="false" customWidth="false" hidden="false" outlineLevel="0" max="13383" min="13383" style="1" width="0.71"/>
    <col collapsed="false" customWidth="true" hidden="false" outlineLevel="0" max="13384" min="13384" style="1" width="7"/>
    <col collapsed="false" customWidth="false" hidden="false" outlineLevel="0" max="13387" min="13385" style="1" width="0.71"/>
    <col collapsed="false" customWidth="true" hidden="false" outlineLevel="0" max="13388" min="13388" style="1" width="2.42"/>
    <col collapsed="false" customWidth="false" hidden="false" outlineLevel="0" max="13394" min="13389" style="1" width="0.71"/>
    <col collapsed="false" customWidth="true" hidden="false" outlineLevel="0" max="13395" min="13395" style="1" width="16.57"/>
    <col collapsed="false" customWidth="false" hidden="false" outlineLevel="0" max="13398" min="13396" style="1" width="0.71"/>
    <col collapsed="false" customWidth="true" hidden="false" outlineLevel="0" max="13399" min="13399" style="1" width="9.86"/>
    <col collapsed="false" customWidth="true" hidden="false" outlineLevel="0" max="13402" min="13400" style="1" width="9.29"/>
    <col collapsed="false" customWidth="false" hidden="false" outlineLevel="0" max="13615" min="13403" style="1" width="0.71"/>
    <col collapsed="false" customWidth="true" hidden="false" outlineLevel="0" max="13616" min="13616" style="1" width="3.42"/>
    <col collapsed="false" customWidth="true" hidden="false" outlineLevel="0" max="13617" min="13617" style="1" width="2.42"/>
    <col collapsed="false" customWidth="true" hidden="false" outlineLevel="0" max="13618" min="13618" style="1" width="7"/>
    <col collapsed="false" customWidth="false" hidden="false" outlineLevel="0" max="13619" min="13619" style="1" width="0.71"/>
    <col collapsed="false" customWidth="true" hidden="false" outlineLevel="0" max="13620" min="13620" style="1" width="1.57"/>
    <col collapsed="false" customWidth="false" hidden="false" outlineLevel="0" max="13621" min="13621" style="1" width="0.71"/>
    <col collapsed="false" customWidth="true" hidden="false" outlineLevel="0" max="13622" min="13622" style="1" width="11.29"/>
    <col collapsed="false" customWidth="false" hidden="false" outlineLevel="0" max="13623" min="13623" style="1" width="0.71"/>
    <col collapsed="false" customWidth="true" hidden="false" outlineLevel="0" max="13624" min="13624" style="1" width="1.57"/>
    <col collapsed="false" customWidth="false" hidden="false" outlineLevel="0" max="13629" min="13625" style="1" width="0.71"/>
    <col collapsed="false" customWidth="true" hidden="false" outlineLevel="0" max="13630" min="13630" style="1" width="2.15"/>
    <col collapsed="false" customWidth="false" hidden="false" outlineLevel="0" max="13631" min="13631" style="1" width="0.71"/>
    <col collapsed="false" customWidth="true" hidden="false" outlineLevel="0" max="13632" min="13632" style="1" width="1.57"/>
    <col collapsed="false" customWidth="false" hidden="false" outlineLevel="0" max="13633" min="13633" style="1" width="0.71"/>
    <col collapsed="false" customWidth="true" hidden="false" outlineLevel="0" max="13634" min="13634" style="1" width="7"/>
    <col collapsed="false" customWidth="false" hidden="false" outlineLevel="0" max="13635" min="13635" style="1" width="0.71"/>
    <col collapsed="false" customWidth="true" hidden="false" outlineLevel="0" max="13636" min="13636" style="1" width="4"/>
    <col collapsed="false" customWidth="false" hidden="false" outlineLevel="0" max="13637" min="13637" style="1" width="0.71"/>
    <col collapsed="false" customWidth="true" hidden="false" outlineLevel="0" max="13638" min="13638" style="1" width="1.57"/>
    <col collapsed="false" customWidth="false" hidden="false" outlineLevel="0" max="13639" min="13639" style="1" width="0.71"/>
    <col collapsed="false" customWidth="true" hidden="false" outlineLevel="0" max="13640" min="13640" style="1" width="7"/>
    <col collapsed="false" customWidth="false" hidden="false" outlineLevel="0" max="13643" min="13641" style="1" width="0.71"/>
    <col collapsed="false" customWidth="true" hidden="false" outlineLevel="0" max="13644" min="13644" style="1" width="2.42"/>
    <col collapsed="false" customWidth="false" hidden="false" outlineLevel="0" max="13650" min="13645" style="1" width="0.71"/>
    <col collapsed="false" customWidth="true" hidden="false" outlineLevel="0" max="13651" min="13651" style="1" width="16.57"/>
    <col collapsed="false" customWidth="false" hidden="false" outlineLevel="0" max="13654" min="13652" style="1" width="0.71"/>
    <col collapsed="false" customWidth="true" hidden="false" outlineLevel="0" max="13655" min="13655" style="1" width="9.86"/>
    <col collapsed="false" customWidth="true" hidden="false" outlineLevel="0" max="13658" min="13656" style="1" width="9.29"/>
    <col collapsed="false" customWidth="false" hidden="false" outlineLevel="0" max="13871" min="13659" style="1" width="0.71"/>
    <col collapsed="false" customWidth="true" hidden="false" outlineLevel="0" max="13872" min="13872" style="1" width="3.42"/>
    <col collapsed="false" customWidth="true" hidden="false" outlineLevel="0" max="13873" min="13873" style="1" width="2.42"/>
    <col collapsed="false" customWidth="true" hidden="false" outlineLevel="0" max="13874" min="13874" style="1" width="7"/>
    <col collapsed="false" customWidth="false" hidden="false" outlineLevel="0" max="13875" min="13875" style="1" width="0.71"/>
    <col collapsed="false" customWidth="true" hidden="false" outlineLevel="0" max="13876" min="13876" style="1" width="1.57"/>
    <col collapsed="false" customWidth="false" hidden="false" outlineLevel="0" max="13877" min="13877" style="1" width="0.71"/>
    <col collapsed="false" customWidth="true" hidden="false" outlineLevel="0" max="13878" min="13878" style="1" width="11.29"/>
    <col collapsed="false" customWidth="false" hidden="false" outlineLevel="0" max="13879" min="13879" style="1" width="0.71"/>
    <col collapsed="false" customWidth="true" hidden="false" outlineLevel="0" max="13880" min="13880" style="1" width="1.57"/>
    <col collapsed="false" customWidth="false" hidden="false" outlineLevel="0" max="13885" min="13881" style="1" width="0.71"/>
    <col collapsed="false" customWidth="true" hidden="false" outlineLevel="0" max="13886" min="13886" style="1" width="2.15"/>
    <col collapsed="false" customWidth="false" hidden="false" outlineLevel="0" max="13887" min="13887" style="1" width="0.71"/>
    <col collapsed="false" customWidth="true" hidden="false" outlineLevel="0" max="13888" min="13888" style="1" width="1.57"/>
    <col collapsed="false" customWidth="false" hidden="false" outlineLevel="0" max="13889" min="13889" style="1" width="0.71"/>
    <col collapsed="false" customWidth="true" hidden="false" outlineLevel="0" max="13890" min="13890" style="1" width="7"/>
    <col collapsed="false" customWidth="false" hidden="false" outlineLevel="0" max="13891" min="13891" style="1" width="0.71"/>
    <col collapsed="false" customWidth="true" hidden="false" outlineLevel="0" max="13892" min="13892" style="1" width="4"/>
    <col collapsed="false" customWidth="false" hidden="false" outlineLevel="0" max="13893" min="13893" style="1" width="0.71"/>
    <col collapsed="false" customWidth="true" hidden="false" outlineLevel="0" max="13894" min="13894" style="1" width="1.57"/>
    <col collapsed="false" customWidth="false" hidden="false" outlineLevel="0" max="13895" min="13895" style="1" width="0.71"/>
    <col collapsed="false" customWidth="true" hidden="false" outlineLevel="0" max="13896" min="13896" style="1" width="7"/>
    <col collapsed="false" customWidth="false" hidden="false" outlineLevel="0" max="13899" min="13897" style="1" width="0.71"/>
    <col collapsed="false" customWidth="true" hidden="false" outlineLevel="0" max="13900" min="13900" style="1" width="2.42"/>
    <col collapsed="false" customWidth="false" hidden="false" outlineLevel="0" max="13906" min="13901" style="1" width="0.71"/>
    <col collapsed="false" customWidth="true" hidden="false" outlineLevel="0" max="13907" min="13907" style="1" width="16.57"/>
    <col collapsed="false" customWidth="false" hidden="false" outlineLevel="0" max="13910" min="13908" style="1" width="0.71"/>
    <col collapsed="false" customWidth="true" hidden="false" outlineLevel="0" max="13911" min="13911" style="1" width="9.86"/>
    <col collapsed="false" customWidth="true" hidden="false" outlineLevel="0" max="13914" min="13912" style="1" width="9.29"/>
    <col collapsed="false" customWidth="false" hidden="false" outlineLevel="0" max="14127" min="13915" style="1" width="0.71"/>
    <col collapsed="false" customWidth="true" hidden="false" outlineLevel="0" max="14128" min="14128" style="1" width="3.42"/>
    <col collapsed="false" customWidth="true" hidden="false" outlineLevel="0" max="14129" min="14129" style="1" width="2.42"/>
    <col collapsed="false" customWidth="true" hidden="false" outlineLevel="0" max="14130" min="14130" style="1" width="7"/>
    <col collapsed="false" customWidth="false" hidden="false" outlineLevel="0" max="14131" min="14131" style="1" width="0.71"/>
    <col collapsed="false" customWidth="true" hidden="false" outlineLevel="0" max="14132" min="14132" style="1" width="1.57"/>
    <col collapsed="false" customWidth="false" hidden="false" outlineLevel="0" max="14133" min="14133" style="1" width="0.71"/>
    <col collapsed="false" customWidth="true" hidden="false" outlineLevel="0" max="14134" min="14134" style="1" width="11.29"/>
    <col collapsed="false" customWidth="false" hidden="false" outlineLevel="0" max="14135" min="14135" style="1" width="0.71"/>
    <col collapsed="false" customWidth="true" hidden="false" outlineLevel="0" max="14136" min="14136" style="1" width="1.57"/>
    <col collapsed="false" customWidth="false" hidden="false" outlineLevel="0" max="14141" min="14137" style="1" width="0.71"/>
    <col collapsed="false" customWidth="true" hidden="false" outlineLevel="0" max="14142" min="14142" style="1" width="2.15"/>
    <col collapsed="false" customWidth="false" hidden="false" outlineLevel="0" max="14143" min="14143" style="1" width="0.71"/>
    <col collapsed="false" customWidth="true" hidden="false" outlineLevel="0" max="14144" min="14144" style="1" width="1.57"/>
    <col collapsed="false" customWidth="false" hidden="false" outlineLevel="0" max="14145" min="14145" style="1" width="0.71"/>
    <col collapsed="false" customWidth="true" hidden="false" outlineLevel="0" max="14146" min="14146" style="1" width="7"/>
    <col collapsed="false" customWidth="false" hidden="false" outlineLevel="0" max="14147" min="14147" style="1" width="0.71"/>
    <col collapsed="false" customWidth="true" hidden="false" outlineLevel="0" max="14148" min="14148" style="1" width="4"/>
    <col collapsed="false" customWidth="false" hidden="false" outlineLevel="0" max="14149" min="14149" style="1" width="0.71"/>
    <col collapsed="false" customWidth="true" hidden="false" outlineLevel="0" max="14150" min="14150" style="1" width="1.57"/>
    <col collapsed="false" customWidth="false" hidden="false" outlineLevel="0" max="14151" min="14151" style="1" width="0.71"/>
    <col collapsed="false" customWidth="true" hidden="false" outlineLevel="0" max="14152" min="14152" style="1" width="7"/>
    <col collapsed="false" customWidth="false" hidden="false" outlineLevel="0" max="14155" min="14153" style="1" width="0.71"/>
    <col collapsed="false" customWidth="true" hidden="false" outlineLevel="0" max="14156" min="14156" style="1" width="2.42"/>
    <col collapsed="false" customWidth="false" hidden="false" outlineLevel="0" max="14162" min="14157" style="1" width="0.71"/>
    <col collapsed="false" customWidth="true" hidden="false" outlineLevel="0" max="14163" min="14163" style="1" width="16.57"/>
    <col collapsed="false" customWidth="false" hidden="false" outlineLevel="0" max="14166" min="14164" style="1" width="0.71"/>
    <col collapsed="false" customWidth="true" hidden="false" outlineLevel="0" max="14167" min="14167" style="1" width="9.86"/>
    <col collapsed="false" customWidth="true" hidden="false" outlineLevel="0" max="14170" min="14168" style="1" width="9.29"/>
    <col collapsed="false" customWidth="false" hidden="false" outlineLevel="0" max="14383" min="14171" style="1" width="0.71"/>
    <col collapsed="false" customWidth="true" hidden="false" outlineLevel="0" max="14384" min="14384" style="1" width="3.42"/>
    <col collapsed="false" customWidth="true" hidden="false" outlineLevel="0" max="14385" min="14385" style="1" width="2.42"/>
    <col collapsed="false" customWidth="true" hidden="false" outlineLevel="0" max="14386" min="14386" style="1" width="7"/>
    <col collapsed="false" customWidth="false" hidden="false" outlineLevel="0" max="14387" min="14387" style="1" width="0.71"/>
    <col collapsed="false" customWidth="true" hidden="false" outlineLevel="0" max="14388" min="14388" style="1" width="1.57"/>
    <col collapsed="false" customWidth="false" hidden="false" outlineLevel="0" max="14389" min="14389" style="1" width="0.71"/>
    <col collapsed="false" customWidth="true" hidden="false" outlineLevel="0" max="14390" min="14390" style="1" width="11.29"/>
    <col collapsed="false" customWidth="false" hidden="false" outlineLevel="0" max="14391" min="14391" style="1" width="0.71"/>
    <col collapsed="false" customWidth="true" hidden="false" outlineLevel="0" max="14392" min="14392" style="1" width="1.57"/>
    <col collapsed="false" customWidth="false" hidden="false" outlineLevel="0" max="14397" min="14393" style="1" width="0.71"/>
    <col collapsed="false" customWidth="true" hidden="false" outlineLevel="0" max="14398" min="14398" style="1" width="2.15"/>
    <col collapsed="false" customWidth="false" hidden="false" outlineLevel="0" max="14399" min="14399" style="1" width="0.71"/>
    <col collapsed="false" customWidth="true" hidden="false" outlineLevel="0" max="14400" min="14400" style="1" width="1.57"/>
    <col collapsed="false" customWidth="false" hidden="false" outlineLevel="0" max="14401" min="14401" style="1" width="0.71"/>
    <col collapsed="false" customWidth="true" hidden="false" outlineLevel="0" max="14402" min="14402" style="1" width="7"/>
    <col collapsed="false" customWidth="false" hidden="false" outlineLevel="0" max="14403" min="14403" style="1" width="0.71"/>
    <col collapsed="false" customWidth="true" hidden="false" outlineLevel="0" max="14404" min="14404" style="1" width="4"/>
    <col collapsed="false" customWidth="false" hidden="false" outlineLevel="0" max="14405" min="14405" style="1" width="0.71"/>
    <col collapsed="false" customWidth="true" hidden="false" outlineLevel="0" max="14406" min="14406" style="1" width="1.57"/>
    <col collapsed="false" customWidth="false" hidden="false" outlineLevel="0" max="14407" min="14407" style="1" width="0.71"/>
    <col collapsed="false" customWidth="true" hidden="false" outlineLevel="0" max="14408" min="14408" style="1" width="7"/>
    <col collapsed="false" customWidth="false" hidden="false" outlineLevel="0" max="14411" min="14409" style="1" width="0.71"/>
    <col collapsed="false" customWidth="true" hidden="false" outlineLevel="0" max="14412" min="14412" style="1" width="2.42"/>
    <col collapsed="false" customWidth="false" hidden="false" outlineLevel="0" max="14418" min="14413" style="1" width="0.71"/>
    <col collapsed="false" customWidth="true" hidden="false" outlineLevel="0" max="14419" min="14419" style="1" width="16.57"/>
    <col collapsed="false" customWidth="false" hidden="false" outlineLevel="0" max="14422" min="14420" style="1" width="0.71"/>
    <col collapsed="false" customWidth="true" hidden="false" outlineLevel="0" max="14423" min="14423" style="1" width="9.86"/>
    <col collapsed="false" customWidth="true" hidden="false" outlineLevel="0" max="14426" min="14424" style="1" width="9.29"/>
    <col collapsed="false" customWidth="false" hidden="false" outlineLevel="0" max="14639" min="14427" style="1" width="0.71"/>
    <col collapsed="false" customWidth="true" hidden="false" outlineLevel="0" max="14640" min="14640" style="1" width="3.42"/>
    <col collapsed="false" customWidth="true" hidden="false" outlineLevel="0" max="14641" min="14641" style="1" width="2.42"/>
    <col collapsed="false" customWidth="true" hidden="false" outlineLevel="0" max="14642" min="14642" style="1" width="7"/>
    <col collapsed="false" customWidth="false" hidden="false" outlineLevel="0" max="14643" min="14643" style="1" width="0.71"/>
    <col collapsed="false" customWidth="true" hidden="false" outlineLevel="0" max="14644" min="14644" style="1" width="1.57"/>
    <col collapsed="false" customWidth="false" hidden="false" outlineLevel="0" max="14645" min="14645" style="1" width="0.71"/>
    <col collapsed="false" customWidth="true" hidden="false" outlineLevel="0" max="14646" min="14646" style="1" width="11.29"/>
    <col collapsed="false" customWidth="false" hidden="false" outlineLevel="0" max="14647" min="14647" style="1" width="0.71"/>
    <col collapsed="false" customWidth="true" hidden="false" outlineLevel="0" max="14648" min="14648" style="1" width="1.57"/>
    <col collapsed="false" customWidth="false" hidden="false" outlineLevel="0" max="14653" min="14649" style="1" width="0.71"/>
    <col collapsed="false" customWidth="true" hidden="false" outlineLevel="0" max="14654" min="14654" style="1" width="2.15"/>
    <col collapsed="false" customWidth="false" hidden="false" outlineLevel="0" max="14655" min="14655" style="1" width="0.71"/>
    <col collapsed="false" customWidth="true" hidden="false" outlineLevel="0" max="14656" min="14656" style="1" width="1.57"/>
    <col collapsed="false" customWidth="false" hidden="false" outlineLevel="0" max="14657" min="14657" style="1" width="0.71"/>
    <col collapsed="false" customWidth="true" hidden="false" outlineLevel="0" max="14658" min="14658" style="1" width="7"/>
    <col collapsed="false" customWidth="false" hidden="false" outlineLevel="0" max="14659" min="14659" style="1" width="0.71"/>
    <col collapsed="false" customWidth="true" hidden="false" outlineLevel="0" max="14660" min="14660" style="1" width="4"/>
    <col collapsed="false" customWidth="false" hidden="false" outlineLevel="0" max="14661" min="14661" style="1" width="0.71"/>
    <col collapsed="false" customWidth="true" hidden="false" outlineLevel="0" max="14662" min="14662" style="1" width="1.57"/>
    <col collapsed="false" customWidth="false" hidden="false" outlineLevel="0" max="14663" min="14663" style="1" width="0.71"/>
    <col collapsed="false" customWidth="true" hidden="false" outlineLevel="0" max="14664" min="14664" style="1" width="7"/>
    <col collapsed="false" customWidth="false" hidden="false" outlineLevel="0" max="14667" min="14665" style="1" width="0.71"/>
    <col collapsed="false" customWidth="true" hidden="false" outlineLevel="0" max="14668" min="14668" style="1" width="2.42"/>
    <col collapsed="false" customWidth="false" hidden="false" outlineLevel="0" max="14674" min="14669" style="1" width="0.71"/>
    <col collapsed="false" customWidth="true" hidden="false" outlineLevel="0" max="14675" min="14675" style="1" width="16.57"/>
    <col collapsed="false" customWidth="false" hidden="false" outlineLevel="0" max="14678" min="14676" style="1" width="0.71"/>
    <col collapsed="false" customWidth="true" hidden="false" outlineLevel="0" max="14679" min="14679" style="1" width="9.86"/>
    <col collapsed="false" customWidth="true" hidden="false" outlineLevel="0" max="14682" min="14680" style="1" width="9.29"/>
    <col collapsed="false" customWidth="false" hidden="false" outlineLevel="0" max="14895" min="14683" style="1" width="0.71"/>
    <col collapsed="false" customWidth="true" hidden="false" outlineLevel="0" max="14896" min="14896" style="1" width="3.42"/>
    <col collapsed="false" customWidth="true" hidden="false" outlineLevel="0" max="14897" min="14897" style="1" width="2.42"/>
    <col collapsed="false" customWidth="true" hidden="false" outlineLevel="0" max="14898" min="14898" style="1" width="7"/>
    <col collapsed="false" customWidth="false" hidden="false" outlineLevel="0" max="14899" min="14899" style="1" width="0.71"/>
    <col collapsed="false" customWidth="true" hidden="false" outlineLevel="0" max="14900" min="14900" style="1" width="1.57"/>
    <col collapsed="false" customWidth="false" hidden="false" outlineLevel="0" max="14901" min="14901" style="1" width="0.71"/>
    <col collapsed="false" customWidth="true" hidden="false" outlineLevel="0" max="14902" min="14902" style="1" width="11.29"/>
    <col collapsed="false" customWidth="false" hidden="false" outlineLevel="0" max="14903" min="14903" style="1" width="0.71"/>
    <col collapsed="false" customWidth="true" hidden="false" outlineLevel="0" max="14904" min="14904" style="1" width="1.57"/>
    <col collapsed="false" customWidth="false" hidden="false" outlineLevel="0" max="14909" min="14905" style="1" width="0.71"/>
    <col collapsed="false" customWidth="true" hidden="false" outlineLevel="0" max="14910" min="14910" style="1" width="2.15"/>
    <col collapsed="false" customWidth="false" hidden="false" outlineLevel="0" max="14911" min="14911" style="1" width="0.71"/>
    <col collapsed="false" customWidth="true" hidden="false" outlineLevel="0" max="14912" min="14912" style="1" width="1.57"/>
    <col collapsed="false" customWidth="false" hidden="false" outlineLevel="0" max="14913" min="14913" style="1" width="0.71"/>
    <col collapsed="false" customWidth="true" hidden="false" outlineLevel="0" max="14914" min="14914" style="1" width="7"/>
    <col collapsed="false" customWidth="false" hidden="false" outlineLevel="0" max="14915" min="14915" style="1" width="0.71"/>
    <col collapsed="false" customWidth="true" hidden="false" outlineLevel="0" max="14916" min="14916" style="1" width="4"/>
    <col collapsed="false" customWidth="false" hidden="false" outlineLevel="0" max="14917" min="14917" style="1" width="0.71"/>
    <col collapsed="false" customWidth="true" hidden="false" outlineLevel="0" max="14918" min="14918" style="1" width="1.57"/>
    <col collapsed="false" customWidth="false" hidden="false" outlineLevel="0" max="14919" min="14919" style="1" width="0.71"/>
    <col collapsed="false" customWidth="true" hidden="false" outlineLevel="0" max="14920" min="14920" style="1" width="7"/>
    <col collapsed="false" customWidth="false" hidden="false" outlineLevel="0" max="14923" min="14921" style="1" width="0.71"/>
    <col collapsed="false" customWidth="true" hidden="false" outlineLevel="0" max="14924" min="14924" style="1" width="2.42"/>
    <col collapsed="false" customWidth="false" hidden="false" outlineLevel="0" max="14930" min="14925" style="1" width="0.71"/>
    <col collapsed="false" customWidth="true" hidden="false" outlineLevel="0" max="14931" min="14931" style="1" width="16.57"/>
    <col collapsed="false" customWidth="false" hidden="false" outlineLevel="0" max="14934" min="14932" style="1" width="0.71"/>
    <col collapsed="false" customWidth="true" hidden="false" outlineLevel="0" max="14935" min="14935" style="1" width="9.86"/>
    <col collapsed="false" customWidth="true" hidden="false" outlineLevel="0" max="14938" min="14936" style="1" width="9.29"/>
    <col collapsed="false" customWidth="false" hidden="false" outlineLevel="0" max="15151" min="14939" style="1" width="0.71"/>
    <col collapsed="false" customWidth="true" hidden="false" outlineLevel="0" max="15152" min="15152" style="1" width="3.42"/>
    <col collapsed="false" customWidth="true" hidden="false" outlineLevel="0" max="15153" min="15153" style="1" width="2.42"/>
    <col collapsed="false" customWidth="true" hidden="false" outlineLevel="0" max="15154" min="15154" style="1" width="7"/>
    <col collapsed="false" customWidth="false" hidden="false" outlineLevel="0" max="15155" min="15155" style="1" width="0.71"/>
    <col collapsed="false" customWidth="true" hidden="false" outlineLevel="0" max="15156" min="15156" style="1" width="1.57"/>
    <col collapsed="false" customWidth="false" hidden="false" outlineLevel="0" max="15157" min="15157" style="1" width="0.71"/>
    <col collapsed="false" customWidth="true" hidden="false" outlineLevel="0" max="15158" min="15158" style="1" width="11.29"/>
    <col collapsed="false" customWidth="false" hidden="false" outlineLevel="0" max="15159" min="15159" style="1" width="0.71"/>
    <col collapsed="false" customWidth="true" hidden="false" outlineLevel="0" max="15160" min="15160" style="1" width="1.57"/>
    <col collapsed="false" customWidth="false" hidden="false" outlineLevel="0" max="15165" min="15161" style="1" width="0.71"/>
    <col collapsed="false" customWidth="true" hidden="false" outlineLevel="0" max="15166" min="15166" style="1" width="2.15"/>
    <col collapsed="false" customWidth="false" hidden="false" outlineLevel="0" max="15167" min="15167" style="1" width="0.71"/>
    <col collapsed="false" customWidth="true" hidden="false" outlineLevel="0" max="15168" min="15168" style="1" width="1.57"/>
    <col collapsed="false" customWidth="false" hidden="false" outlineLevel="0" max="15169" min="15169" style="1" width="0.71"/>
    <col collapsed="false" customWidth="true" hidden="false" outlineLevel="0" max="15170" min="15170" style="1" width="7"/>
    <col collapsed="false" customWidth="false" hidden="false" outlineLevel="0" max="15171" min="15171" style="1" width="0.71"/>
    <col collapsed="false" customWidth="true" hidden="false" outlineLevel="0" max="15172" min="15172" style="1" width="4"/>
    <col collapsed="false" customWidth="false" hidden="false" outlineLevel="0" max="15173" min="15173" style="1" width="0.71"/>
    <col collapsed="false" customWidth="true" hidden="false" outlineLevel="0" max="15174" min="15174" style="1" width="1.57"/>
    <col collapsed="false" customWidth="false" hidden="false" outlineLevel="0" max="15175" min="15175" style="1" width="0.71"/>
    <col collapsed="false" customWidth="true" hidden="false" outlineLevel="0" max="15176" min="15176" style="1" width="7"/>
    <col collapsed="false" customWidth="false" hidden="false" outlineLevel="0" max="15179" min="15177" style="1" width="0.71"/>
    <col collapsed="false" customWidth="true" hidden="false" outlineLevel="0" max="15180" min="15180" style="1" width="2.42"/>
    <col collapsed="false" customWidth="false" hidden="false" outlineLevel="0" max="15186" min="15181" style="1" width="0.71"/>
    <col collapsed="false" customWidth="true" hidden="false" outlineLevel="0" max="15187" min="15187" style="1" width="16.57"/>
    <col collapsed="false" customWidth="false" hidden="false" outlineLevel="0" max="15190" min="15188" style="1" width="0.71"/>
    <col collapsed="false" customWidth="true" hidden="false" outlineLevel="0" max="15191" min="15191" style="1" width="9.86"/>
    <col collapsed="false" customWidth="true" hidden="false" outlineLevel="0" max="15194" min="15192" style="1" width="9.29"/>
    <col collapsed="false" customWidth="false" hidden="false" outlineLevel="0" max="15407" min="15195" style="1" width="0.71"/>
    <col collapsed="false" customWidth="true" hidden="false" outlineLevel="0" max="15408" min="15408" style="1" width="3.42"/>
    <col collapsed="false" customWidth="true" hidden="false" outlineLevel="0" max="15409" min="15409" style="1" width="2.42"/>
    <col collapsed="false" customWidth="true" hidden="false" outlineLevel="0" max="15410" min="15410" style="1" width="7"/>
    <col collapsed="false" customWidth="false" hidden="false" outlineLevel="0" max="15411" min="15411" style="1" width="0.71"/>
    <col collapsed="false" customWidth="true" hidden="false" outlineLevel="0" max="15412" min="15412" style="1" width="1.57"/>
    <col collapsed="false" customWidth="false" hidden="false" outlineLevel="0" max="15413" min="15413" style="1" width="0.71"/>
    <col collapsed="false" customWidth="true" hidden="false" outlineLevel="0" max="15414" min="15414" style="1" width="11.29"/>
    <col collapsed="false" customWidth="false" hidden="false" outlineLevel="0" max="15415" min="15415" style="1" width="0.71"/>
    <col collapsed="false" customWidth="true" hidden="false" outlineLevel="0" max="15416" min="15416" style="1" width="1.57"/>
    <col collapsed="false" customWidth="false" hidden="false" outlineLevel="0" max="15421" min="15417" style="1" width="0.71"/>
    <col collapsed="false" customWidth="true" hidden="false" outlineLevel="0" max="15422" min="15422" style="1" width="2.15"/>
    <col collapsed="false" customWidth="false" hidden="false" outlineLevel="0" max="15423" min="15423" style="1" width="0.71"/>
    <col collapsed="false" customWidth="true" hidden="false" outlineLevel="0" max="15424" min="15424" style="1" width="1.57"/>
    <col collapsed="false" customWidth="false" hidden="false" outlineLevel="0" max="15425" min="15425" style="1" width="0.71"/>
    <col collapsed="false" customWidth="true" hidden="false" outlineLevel="0" max="15426" min="15426" style="1" width="7"/>
    <col collapsed="false" customWidth="false" hidden="false" outlineLevel="0" max="15427" min="15427" style="1" width="0.71"/>
    <col collapsed="false" customWidth="true" hidden="false" outlineLevel="0" max="15428" min="15428" style="1" width="4"/>
    <col collapsed="false" customWidth="false" hidden="false" outlineLevel="0" max="15429" min="15429" style="1" width="0.71"/>
    <col collapsed="false" customWidth="true" hidden="false" outlineLevel="0" max="15430" min="15430" style="1" width="1.57"/>
    <col collapsed="false" customWidth="false" hidden="false" outlineLevel="0" max="15431" min="15431" style="1" width="0.71"/>
    <col collapsed="false" customWidth="true" hidden="false" outlineLevel="0" max="15432" min="15432" style="1" width="7"/>
    <col collapsed="false" customWidth="false" hidden="false" outlineLevel="0" max="15435" min="15433" style="1" width="0.71"/>
    <col collapsed="false" customWidth="true" hidden="false" outlineLevel="0" max="15436" min="15436" style="1" width="2.42"/>
    <col collapsed="false" customWidth="false" hidden="false" outlineLevel="0" max="15442" min="15437" style="1" width="0.71"/>
    <col collapsed="false" customWidth="true" hidden="false" outlineLevel="0" max="15443" min="15443" style="1" width="16.57"/>
    <col collapsed="false" customWidth="false" hidden="false" outlineLevel="0" max="15446" min="15444" style="1" width="0.71"/>
    <col collapsed="false" customWidth="true" hidden="false" outlineLevel="0" max="15447" min="15447" style="1" width="9.86"/>
    <col collapsed="false" customWidth="true" hidden="false" outlineLevel="0" max="15450" min="15448" style="1" width="9.29"/>
    <col collapsed="false" customWidth="false" hidden="false" outlineLevel="0" max="15663" min="15451" style="1" width="0.71"/>
    <col collapsed="false" customWidth="true" hidden="false" outlineLevel="0" max="15664" min="15664" style="1" width="3.42"/>
    <col collapsed="false" customWidth="true" hidden="false" outlineLevel="0" max="15665" min="15665" style="1" width="2.42"/>
    <col collapsed="false" customWidth="true" hidden="false" outlineLevel="0" max="15666" min="15666" style="1" width="7"/>
    <col collapsed="false" customWidth="false" hidden="false" outlineLevel="0" max="15667" min="15667" style="1" width="0.71"/>
    <col collapsed="false" customWidth="true" hidden="false" outlineLevel="0" max="15668" min="15668" style="1" width="1.57"/>
    <col collapsed="false" customWidth="false" hidden="false" outlineLevel="0" max="15669" min="15669" style="1" width="0.71"/>
    <col collapsed="false" customWidth="true" hidden="false" outlineLevel="0" max="15670" min="15670" style="1" width="11.29"/>
    <col collapsed="false" customWidth="false" hidden="false" outlineLevel="0" max="15671" min="15671" style="1" width="0.71"/>
    <col collapsed="false" customWidth="true" hidden="false" outlineLevel="0" max="15672" min="15672" style="1" width="1.57"/>
    <col collapsed="false" customWidth="false" hidden="false" outlineLevel="0" max="15677" min="15673" style="1" width="0.71"/>
    <col collapsed="false" customWidth="true" hidden="false" outlineLevel="0" max="15678" min="15678" style="1" width="2.15"/>
    <col collapsed="false" customWidth="false" hidden="false" outlineLevel="0" max="15679" min="15679" style="1" width="0.71"/>
    <col collapsed="false" customWidth="true" hidden="false" outlineLevel="0" max="15680" min="15680" style="1" width="1.57"/>
    <col collapsed="false" customWidth="false" hidden="false" outlineLevel="0" max="15681" min="15681" style="1" width="0.71"/>
    <col collapsed="false" customWidth="true" hidden="false" outlineLevel="0" max="15682" min="15682" style="1" width="7"/>
    <col collapsed="false" customWidth="false" hidden="false" outlineLevel="0" max="15683" min="15683" style="1" width="0.71"/>
    <col collapsed="false" customWidth="true" hidden="false" outlineLevel="0" max="15684" min="15684" style="1" width="4"/>
    <col collapsed="false" customWidth="false" hidden="false" outlineLevel="0" max="15685" min="15685" style="1" width="0.71"/>
    <col collapsed="false" customWidth="true" hidden="false" outlineLevel="0" max="15686" min="15686" style="1" width="1.57"/>
    <col collapsed="false" customWidth="false" hidden="false" outlineLevel="0" max="15687" min="15687" style="1" width="0.71"/>
    <col collapsed="false" customWidth="true" hidden="false" outlineLevel="0" max="15688" min="15688" style="1" width="7"/>
    <col collapsed="false" customWidth="false" hidden="false" outlineLevel="0" max="15691" min="15689" style="1" width="0.71"/>
    <col collapsed="false" customWidth="true" hidden="false" outlineLevel="0" max="15692" min="15692" style="1" width="2.42"/>
    <col collapsed="false" customWidth="false" hidden="false" outlineLevel="0" max="15698" min="15693" style="1" width="0.71"/>
    <col collapsed="false" customWidth="true" hidden="false" outlineLevel="0" max="15699" min="15699" style="1" width="16.57"/>
    <col collapsed="false" customWidth="false" hidden="false" outlineLevel="0" max="15702" min="15700" style="1" width="0.71"/>
    <col collapsed="false" customWidth="true" hidden="false" outlineLevel="0" max="15703" min="15703" style="1" width="9.86"/>
    <col collapsed="false" customWidth="true" hidden="false" outlineLevel="0" max="15706" min="15704" style="1" width="9.29"/>
    <col collapsed="false" customWidth="false" hidden="false" outlineLevel="0" max="15919" min="15707" style="1" width="0.71"/>
    <col collapsed="false" customWidth="true" hidden="false" outlineLevel="0" max="15920" min="15920" style="1" width="3.42"/>
    <col collapsed="false" customWidth="true" hidden="false" outlineLevel="0" max="15921" min="15921" style="1" width="2.42"/>
    <col collapsed="false" customWidth="true" hidden="false" outlineLevel="0" max="15922" min="15922" style="1" width="7"/>
    <col collapsed="false" customWidth="false" hidden="false" outlineLevel="0" max="15923" min="15923" style="1" width="0.71"/>
    <col collapsed="false" customWidth="true" hidden="false" outlineLevel="0" max="15924" min="15924" style="1" width="1.57"/>
    <col collapsed="false" customWidth="false" hidden="false" outlineLevel="0" max="15925" min="15925" style="1" width="0.71"/>
    <col collapsed="false" customWidth="true" hidden="false" outlineLevel="0" max="15926" min="15926" style="1" width="11.29"/>
    <col collapsed="false" customWidth="false" hidden="false" outlineLevel="0" max="15927" min="15927" style="1" width="0.71"/>
    <col collapsed="false" customWidth="true" hidden="false" outlineLevel="0" max="15928" min="15928" style="1" width="1.57"/>
    <col collapsed="false" customWidth="false" hidden="false" outlineLevel="0" max="15933" min="15929" style="1" width="0.71"/>
    <col collapsed="false" customWidth="true" hidden="false" outlineLevel="0" max="15934" min="15934" style="1" width="2.15"/>
    <col collapsed="false" customWidth="false" hidden="false" outlineLevel="0" max="15935" min="15935" style="1" width="0.71"/>
    <col collapsed="false" customWidth="true" hidden="false" outlineLevel="0" max="15936" min="15936" style="1" width="1.57"/>
    <col collapsed="false" customWidth="false" hidden="false" outlineLevel="0" max="15937" min="15937" style="1" width="0.71"/>
    <col collapsed="false" customWidth="true" hidden="false" outlineLevel="0" max="15938" min="15938" style="1" width="7"/>
    <col collapsed="false" customWidth="false" hidden="false" outlineLevel="0" max="15939" min="15939" style="1" width="0.71"/>
    <col collapsed="false" customWidth="true" hidden="false" outlineLevel="0" max="15940" min="15940" style="1" width="4"/>
    <col collapsed="false" customWidth="false" hidden="false" outlineLevel="0" max="15941" min="15941" style="1" width="0.71"/>
    <col collapsed="false" customWidth="true" hidden="false" outlineLevel="0" max="15942" min="15942" style="1" width="1.57"/>
    <col collapsed="false" customWidth="false" hidden="false" outlineLevel="0" max="15943" min="15943" style="1" width="0.71"/>
    <col collapsed="false" customWidth="true" hidden="false" outlineLevel="0" max="15944" min="15944" style="1" width="7"/>
    <col collapsed="false" customWidth="false" hidden="false" outlineLevel="0" max="15947" min="15945" style="1" width="0.71"/>
    <col collapsed="false" customWidth="true" hidden="false" outlineLevel="0" max="15948" min="15948" style="1" width="2.42"/>
    <col collapsed="false" customWidth="false" hidden="false" outlineLevel="0" max="15954" min="15949" style="1" width="0.71"/>
    <col collapsed="false" customWidth="true" hidden="false" outlineLevel="0" max="15955" min="15955" style="1" width="16.57"/>
    <col collapsed="false" customWidth="false" hidden="false" outlineLevel="0" max="15958" min="15956" style="1" width="0.71"/>
    <col collapsed="false" customWidth="true" hidden="false" outlineLevel="0" max="15959" min="15959" style="1" width="9.86"/>
    <col collapsed="false" customWidth="true" hidden="false" outlineLevel="0" max="15962" min="15960" style="1" width="9.29"/>
    <col collapsed="false" customWidth="false" hidden="false" outlineLevel="0" max="16175" min="15963" style="1" width="0.71"/>
    <col collapsed="false" customWidth="true" hidden="false" outlineLevel="0" max="16176" min="16176" style="1" width="3.42"/>
    <col collapsed="false" customWidth="true" hidden="false" outlineLevel="0" max="16177" min="16177" style="1" width="2.42"/>
    <col collapsed="false" customWidth="true" hidden="false" outlineLevel="0" max="16178" min="16178" style="1" width="7"/>
    <col collapsed="false" customWidth="false" hidden="false" outlineLevel="0" max="16179" min="16179" style="1" width="0.71"/>
    <col collapsed="false" customWidth="true" hidden="false" outlineLevel="0" max="16180" min="16180" style="1" width="1.57"/>
    <col collapsed="false" customWidth="false" hidden="false" outlineLevel="0" max="16181" min="16181" style="1" width="0.71"/>
    <col collapsed="false" customWidth="true" hidden="false" outlineLevel="0" max="16182" min="16182" style="1" width="11.29"/>
    <col collapsed="false" customWidth="false" hidden="false" outlineLevel="0" max="16183" min="16183" style="1" width="0.71"/>
    <col collapsed="false" customWidth="true" hidden="false" outlineLevel="0" max="16184" min="16184" style="1" width="1.57"/>
    <col collapsed="false" customWidth="false" hidden="false" outlineLevel="0" max="16189" min="16185" style="1" width="0.71"/>
    <col collapsed="false" customWidth="true" hidden="false" outlineLevel="0" max="16190" min="16190" style="1" width="2.15"/>
    <col collapsed="false" customWidth="false" hidden="false" outlineLevel="0" max="16191" min="16191" style="1" width="0.71"/>
    <col collapsed="false" customWidth="true" hidden="false" outlineLevel="0" max="16192" min="16192" style="1" width="1.57"/>
    <col collapsed="false" customWidth="false" hidden="false" outlineLevel="0" max="16193" min="16193" style="1" width="0.71"/>
    <col collapsed="false" customWidth="true" hidden="false" outlineLevel="0" max="16194" min="16194" style="1" width="7"/>
    <col collapsed="false" customWidth="false" hidden="false" outlineLevel="0" max="16195" min="16195" style="1" width="0.71"/>
    <col collapsed="false" customWidth="true" hidden="false" outlineLevel="0" max="16196" min="16196" style="1" width="4"/>
    <col collapsed="false" customWidth="false" hidden="false" outlineLevel="0" max="16197" min="16197" style="1" width="0.71"/>
    <col collapsed="false" customWidth="true" hidden="false" outlineLevel="0" max="16198" min="16198" style="1" width="1.57"/>
    <col collapsed="false" customWidth="false" hidden="false" outlineLevel="0" max="16199" min="16199" style="1" width="0.71"/>
    <col collapsed="false" customWidth="true" hidden="false" outlineLevel="0" max="16200" min="16200" style="1" width="7"/>
    <col collapsed="false" customWidth="false" hidden="false" outlineLevel="0" max="16203" min="16201" style="1" width="0.71"/>
    <col collapsed="false" customWidth="true" hidden="false" outlineLevel="0" max="16204" min="16204" style="1" width="2.42"/>
    <col collapsed="false" customWidth="false" hidden="false" outlineLevel="0" max="16210" min="16205" style="1" width="0.71"/>
    <col collapsed="false" customWidth="true" hidden="false" outlineLevel="0" max="16211" min="16211" style="1" width="16.57"/>
    <col collapsed="false" customWidth="false" hidden="false" outlineLevel="0" max="16214" min="16212" style="1" width="0.71"/>
    <col collapsed="false" customWidth="true" hidden="false" outlineLevel="0" max="16215" min="16215" style="1" width="9.86"/>
    <col collapsed="false" customWidth="true" hidden="false" outlineLevel="0" max="16218" min="16216" style="1" width="9.29"/>
    <col collapsed="false" customWidth="false" hidden="false" outlineLevel="0" max="16384" min="16219" style="1" width="0.71"/>
  </cols>
  <sheetData>
    <row r="1" customFormat="false" ht="14.25" hidden="false" customHeight="true" outlineLevel="0" collapsed="false"/>
    <row r="2" customFormat="false" ht="18" hidden="false" customHeight="true" outlineLevel="0" collapsed="false">
      <c r="C2" s="132" t="s">
        <v>65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</row>
    <row r="3" customFormat="false" ht="9.75" hidden="false" customHeight="true" outlineLevel="0" collapsed="false"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customFormat="false" ht="17.25" hidden="false" customHeight="true" outlineLevel="0" collapsed="false">
      <c r="C4" s="134" t="s">
        <v>1</v>
      </c>
      <c r="D4" s="135"/>
      <c r="E4" s="135"/>
      <c r="F4" s="135"/>
      <c r="G4" s="135"/>
      <c r="H4" s="135"/>
      <c r="I4" s="135"/>
      <c r="J4" s="135"/>
      <c r="K4" s="135"/>
      <c r="L4" s="135"/>
    </row>
    <row r="5" customFormat="false" ht="17.25" hidden="false" customHeight="true" outlineLevel="0" collapsed="false">
      <c r="C5" s="134" t="s">
        <v>2</v>
      </c>
      <c r="D5" s="135" t="n">
        <f aca="true">TODAY()</f>
        <v>46141</v>
      </c>
      <c r="E5" s="135"/>
      <c r="F5" s="135"/>
      <c r="G5" s="135"/>
      <c r="H5" s="135"/>
      <c r="I5" s="135"/>
      <c r="J5" s="135"/>
      <c r="K5" s="135"/>
      <c r="L5" s="135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</row>
    <row r="6" customFormat="false" ht="7.5" hidden="false" customHeight="true" outlineLevel="0" collapsed="false">
      <c r="C6" s="137" t="s">
        <v>3</v>
      </c>
      <c r="D6" s="138"/>
    </row>
    <row r="7" customFormat="false" ht="15" hidden="false" customHeight="true" outlineLevel="0" collapsed="false">
      <c r="C7" s="139" t="s">
        <v>4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AD7" s="140" t="s">
        <v>5</v>
      </c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E7" s="141" t="s">
        <v>6</v>
      </c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</row>
    <row r="8" s="13" customFormat="true" ht="15" hidden="false" customHeight="true" outlineLevel="0" collapsed="false">
      <c r="C8" s="142" t="s">
        <v>7</v>
      </c>
      <c r="D8" s="142"/>
      <c r="E8" s="142"/>
      <c r="F8" s="142"/>
      <c r="G8" s="142"/>
      <c r="H8" s="142"/>
      <c r="I8" s="143" t="n">
        <v>1800</v>
      </c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AD8" s="144" t="s">
        <v>7</v>
      </c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5" t="n">
        <f aca="false">I8</f>
        <v>1800</v>
      </c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E8" s="142" t="s">
        <v>8</v>
      </c>
      <c r="BF8" s="142"/>
      <c r="BG8" s="142"/>
      <c r="BH8" s="142"/>
      <c r="BI8" s="142"/>
      <c r="BJ8" s="142"/>
      <c r="BK8" s="142"/>
      <c r="BL8" s="146" t="e">
        <f aca="false">AP18</f>
        <v>#DIV/0!</v>
      </c>
      <c r="BM8" s="146"/>
      <c r="BN8" s="146"/>
      <c r="BO8" s="146"/>
      <c r="BP8" s="146"/>
      <c r="BQ8" s="146"/>
      <c r="BR8" s="146"/>
      <c r="BS8" s="146"/>
      <c r="BT8" s="146"/>
      <c r="BU8" s="146"/>
      <c r="BV8" s="146"/>
      <c r="BW8" s="146"/>
      <c r="BX8" s="146"/>
      <c r="BY8" s="146"/>
      <c r="BZ8" s="146"/>
      <c r="CA8" s="146"/>
      <c r="CB8" s="146"/>
      <c r="CE8" s="19"/>
      <c r="CI8" s="20"/>
      <c r="CK8" s="19"/>
      <c r="CL8" s="20"/>
    </row>
    <row r="9" s="13" customFormat="true" ht="15" hidden="false" customHeight="true" outlineLevel="0" collapsed="false">
      <c r="C9" s="147" t="s">
        <v>9</v>
      </c>
      <c r="D9" s="147"/>
      <c r="E9" s="147"/>
      <c r="F9" s="147"/>
      <c r="G9" s="147"/>
      <c r="H9" s="147"/>
      <c r="I9" s="148" t="n">
        <v>0</v>
      </c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AD9" s="147" t="s">
        <v>9</v>
      </c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8" t="n">
        <v>0</v>
      </c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E9" s="147" t="s">
        <v>10</v>
      </c>
      <c r="BF9" s="147"/>
      <c r="BG9" s="147"/>
      <c r="BH9" s="147"/>
      <c r="BI9" s="147"/>
      <c r="BJ9" s="147"/>
      <c r="BK9" s="147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E9" s="19"/>
      <c r="CI9" s="20"/>
      <c r="CK9" s="19"/>
      <c r="CL9" s="20"/>
    </row>
    <row r="10" s="13" customFormat="true" ht="15" hidden="false" customHeight="true" outlineLevel="0" collapsed="false">
      <c r="C10" s="147" t="s">
        <v>11</v>
      </c>
      <c r="D10" s="147"/>
      <c r="E10" s="147"/>
      <c r="F10" s="147"/>
      <c r="G10" s="147"/>
      <c r="H10" s="147"/>
      <c r="I10" s="148" t="n">
        <v>40</v>
      </c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AD10" s="147" t="s">
        <v>11</v>
      </c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8" t="n">
        <v>0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E10" s="147" t="s">
        <v>12</v>
      </c>
      <c r="BF10" s="147"/>
      <c r="BG10" s="147"/>
      <c r="BH10" s="147"/>
      <c r="BI10" s="147"/>
      <c r="BJ10" s="147"/>
      <c r="BK10" s="147"/>
      <c r="BL10" s="150" t="n">
        <f aca="false">I17</f>
        <v>0</v>
      </c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E10" s="19"/>
      <c r="CI10" s="20"/>
      <c r="CK10" s="19"/>
      <c r="CL10" s="20"/>
    </row>
    <row r="11" s="13" customFormat="true" ht="15" hidden="false" customHeight="true" outlineLevel="0" collapsed="false">
      <c r="C11" s="147" t="s">
        <v>13</v>
      </c>
      <c r="D11" s="147"/>
      <c r="E11" s="147"/>
      <c r="F11" s="147"/>
      <c r="G11" s="147"/>
      <c r="H11" s="147"/>
      <c r="I11" s="148" t="n">
        <v>0</v>
      </c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AD11" s="147" t="s">
        <v>13</v>
      </c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8" t="n">
        <v>0</v>
      </c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E11" s="147" t="s">
        <v>14</v>
      </c>
      <c r="BF11" s="147"/>
      <c r="BG11" s="147"/>
      <c r="BH11" s="147"/>
      <c r="BI11" s="147"/>
      <c r="BJ11" s="147"/>
      <c r="BK11" s="147"/>
      <c r="BL11" s="148" t="n">
        <f aca="false">BL9*BL10</f>
        <v>0</v>
      </c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E11" s="25"/>
      <c r="CI11" s="19"/>
      <c r="CJ11" s="26"/>
      <c r="CK11" s="25"/>
      <c r="CL11" s="20"/>
    </row>
    <row r="12" s="13" customFormat="true" ht="15" hidden="false" customHeight="true" outlineLevel="0" collapsed="false">
      <c r="C12" s="147" t="s">
        <v>15</v>
      </c>
      <c r="D12" s="147"/>
      <c r="E12" s="147"/>
      <c r="F12" s="147"/>
      <c r="G12" s="147"/>
      <c r="H12" s="147"/>
      <c r="I12" s="148" t="n">
        <v>0</v>
      </c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AD12" s="147" t="s">
        <v>15</v>
      </c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8" t="n">
        <v>0</v>
      </c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E12" s="147" t="s">
        <v>16</v>
      </c>
      <c r="BF12" s="147"/>
      <c r="BG12" s="147"/>
      <c r="BH12" s="147"/>
      <c r="BI12" s="147"/>
      <c r="BJ12" s="147"/>
      <c r="BK12" s="147"/>
      <c r="BL12" s="148" t="e">
        <f aca="false">BL8-BL11</f>
        <v>#DIV/0!</v>
      </c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51"/>
      <c r="CE12" s="25"/>
      <c r="CI12" s="19"/>
      <c r="CJ12" s="26"/>
      <c r="CK12" s="25"/>
      <c r="CL12" s="20"/>
    </row>
    <row r="13" s="13" customFormat="true" ht="15" hidden="false" customHeight="true" outlineLevel="0" collapsed="false">
      <c r="C13" s="147" t="s">
        <v>17</v>
      </c>
      <c r="D13" s="147"/>
      <c r="E13" s="147"/>
      <c r="F13" s="147"/>
      <c r="G13" s="147"/>
      <c r="H13" s="147"/>
      <c r="I13" s="148" t="n">
        <v>0</v>
      </c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AD13" s="147" t="s">
        <v>17</v>
      </c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8" t="n">
        <v>0</v>
      </c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E13" s="147" t="s">
        <v>18</v>
      </c>
      <c r="BF13" s="147"/>
      <c r="BG13" s="147"/>
      <c r="BH13" s="147"/>
      <c r="BI13" s="147"/>
      <c r="BJ13" s="147"/>
      <c r="BK13" s="147"/>
      <c r="BL13" s="152" t="n">
        <f aca="false">I16-BL9</f>
        <v>22</v>
      </c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E13" s="25"/>
      <c r="CI13" s="19"/>
      <c r="CJ13" s="26"/>
      <c r="CK13" s="25"/>
      <c r="CL13" s="20"/>
    </row>
    <row r="14" s="13" customFormat="true" ht="15" hidden="false" customHeight="true" outlineLevel="0" collapsed="false">
      <c r="C14" s="147" t="s">
        <v>19</v>
      </c>
      <c r="D14" s="147"/>
      <c r="E14" s="147"/>
      <c r="F14" s="147"/>
      <c r="G14" s="147"/>
      <c r="H14" s="147"/>
      <c r="I14" s="153" t="n">
        <v>57.33</v>
      </c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AD14" s="147" t="s">
        <v>20</v>
      </c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53" t="n">
        <f aca="false">I14</f>
        <v>57.33</v>
      </c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E14" s="154" t="s">
        <v>21</v>
      </c>
      <c r="BF14" s="154"/>
      <c r="BG14" s="154"/>
      <c r="BH14" s="154"/>
      <c r="BI14" s="154"/>
      <c r="BJ14" s="154"/>
      <c r="BK14" s="154"/>
      <c r="BL14" s="155" t="e">
        <f aca="false">BL12/BL13</f>
        <v>#DIV/0!</v>
      </c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E14" s="25"/>
      <c r="CI14" s="19"/>
      <c r="CJ14" s="26"/>
      <c r="CK14" s="25"/>
      <c r="CL14" s="20"/>
    </row>
    <row r="15" s="13" customFormat="true" ht="15" hidden="false" customHeight="true" outlineLevel="0" collapsed="false">
      <c r="C15" s="147" t="s">
        <v>22</v>
      </c>
      <c r="D15" s="147"/>
      <c r="E15" s="147"/>
      <c r="F15" s="147"/>
      <c r="G15" s="147"/>
      <c r="H15" s="147"/>
      <c r="I15" s="148" t="n">
        <f aca="false">SUM(I8:Y14)</f>
        <v>1897.33</v>
      </c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AD15" s="147" t="s">
        <v>22</v>
      </c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8" t="n">
        <f aca="false">SUM(AP8:AZ14)</f>
        <v>1857.33</v>
      </c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E15" s="154"/>
      <c r="BF15" s="154"/>
      <c r="BG15" s="154"/>
      <c r="BH15" s="154"/>
      <c r="BI15" s="154"/>
      <c r="BJ15" s="154"/>
      <c r="BK15" s="154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E15" s="25"/>
      <c r="CI15" s="19"/>
      <c r="CJ15" s="26"/>
      <c r="CK15" s="25"/>
      <c r="CL15" s="20"/>
    </row>
    <row r="16" s="13" customFormat="true" ht="15" hidden="false" customHeight="true" outlineLevel="0" collapsed="false">
      <c r="C16" s="147" t="s">
        <v>23</v>
      </c>
      <c r="D16" s="147"/>
      <c r="E16" s="147"/>
      <c r="F16" s="147"/>
      <c r="G16" s="147"/>
      <c r="H16" s="147"/>
      <c r="I16" s="152" t="n">
        <v>22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AD16" s="147" t="s">
        <v>24</v>
      </c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CE16" s="25"/>
      <c r="CI16" s="19"/>
      <c r="CJ16" s="26"/>
      <c r="CK16" s="25"/>
      <c r="CL16" s="20"/>
    </row>
    <row r="17" s="13" customFormat="true" ht="15" hidden="false" customHeight="true" outlineLevel="0" collapsed="false">
      <c r="C17" s="147" t="s">
        <v>25</v>
      </c>
      <c r="D17" s="147"/>
      <c r="E17" s="147"/>
      <c r="F17" s="147"/>
      <c r="G17" s="147"/>
      <c r="H17" s="147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AD17" s="147" t="s">
        <v>26</v>
      </c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57" t="e">
        <f aca="false">AH122</f>
        <v>#DIV/0!</v>
      </c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E17" s="142" t="s">
        <v>27</v>
      </c>
      <c r="BF17" s="142"/>
      <c r="BG17" s="142"/>
      <c r="BH17" s="142"/>
      <c r="BI17" s="142"/>
      <c r="BJ17" s="142"/>
      <c r="BK17" s="142"/>
      <c r="BL17" s="143" t="n">
        <f aca="false">BL13*I17</f>
        <v>0</v>
      </c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E17" s="25"/>
      <c r="CI17" s="19"/>
      <c r="CJ17" s="26"/>
      <c r="CK17" s="25"/>
      <c r="CL17" s="20"/>
    </row>
    <row r="18" s="13" customFormat="true" ht="15" hidden="false" customHeight="true" outlineLevel="0" collapsed="false">
      <c r="C18" s="147" t="s">
        <v>28</v>
      </c>
      <c r="D18" s="147"/>
      <c r="E18" s="147"/>
      <c r="F18" s="147"/>
      <c r="G18" s="147"/>
      <c r="H18" s="147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AD18" s="147" t="s">
        <v>29</v>
      </c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50" t="e">
        <f aca="false">I16*AP17</f>
        <v>#DIV/0!</v>
      </c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E18" s="158" t="s">
        <v>30</v>
      </c>
      <c r="BF18" s="158"/>
      <c r="BG18" s="158"/>
      <c r="BH18" s="158"/>
      <c r="BI18" s="158"/>
      <c r="BJ18" s="158"/>
      <c r="BK18" s="158"/>
      <c r="BL18" s="159" t="e">
        <f aca="false">BL13*BL14</f>
        <v>#DIV/0!</v>
      </c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E18" s="25"/>
      <c r="CI18" s="19"/>
      <c r="CJ18" s="26"/>
      <c r="CK18" s="25"/>
      <c r="CL18" s="20"/>
    </row>
    <row r="19" s="13" customFormat="true" ht="15" hidden="false" customHeight="true" outlineLevel="0" collapsed="false">
      <c r="C19" s="160" t="s">
        <v>31</v>
      </c>
      <c r="D19" s="160"/>
      <c r="E19" s="160"/>
      <c r="F19" s="160"/>
      <c r="G19" s="160"/>
      <c r="H19" s="160"/>
      <c r="I19" s="161" t="n">
        <f aca="false">I16*I17</f>
        <v>0</v>
      </c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AD19" s="162" t="s">
        <v>32</v>
      </c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3" t="e">
        <f aca="false">I17-AP17</f>
        <v>#DIV/0!</v>
      </c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E19" s="164" t="s">
        <v>33</v>
      </c>
      <c r="BF19" s="164"/>
      <c r="BG19" s="164"/>
      <c r="BH19" s="164"/>
      <c r="BI19" s="164"/>
      <c r="BJ19" s="164"/>
      <c r="BK19" s="164"/>
      <c r="BL19" s="165" t="e">
        <f aca="false">BL17-BL18</f>
        <v>#DIV/0!</v>
      </c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E19" s="25"/>
      <c r="CI19" s="19"/>
      <c r="CJ19" s="26"/>
      <c r="CK19" s="25"/>
      <c r="CL19" s="20"/>
    </row>
    <row r="20" s="13" customFormat="true" ht="15" hidden="false" customHeight="true" outlineLevel="0" collapsed="false">
      <c r="AD20" s="166" t="s">
        <v>34</v>
      </c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7" t="e">
        <f aca="false">I19-AP18</f>
        <v>#DIV/0!</v>
      </c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E20" s="154" t="s">
        <v>35</v>
      </c>
      <c r="BF20" s="154"/>
      <c r="BG20" s="154"/>
      <c r="BH20" s="154"/>
      <c r="BI20" s="154"/>
      <c r="BJ20" s="154"/>
      <c r="BK20" s="154"/>
      <c r="BL20" s="168" t="e">
        <f aca="false">BL19/BL13</f>
        <v>#DIV/0!</v>
      </c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E20" s="25"/>
      <c r="CI20" s="19"/>
      <c r="CJ20" s="26"/>
      <c r="CK20" s="25"/>
      <c r="CL20" s="20"/>
    </row>
    <row r="21" customFormat="false" ht="9.75" hidden="true" customHeight="true" outlineLevel="0" collapsed="false">
      <c r="CE21" s="45"/>
      <c r="CI21" s="46"/>
      <c r="CJ21" s="47"/>
      <c r="CK21" s="45"/>
    </row>
    <row r="22" customFormat="false" ht="9.75" hidden="true" customHeight="true" outlineLevel="0" collapsed="false">
      <c r="CE22" s="45"/>
      <c r="CI22" s="46"/>
      <c r="CJ22" s="47"/>
      <c r="CK22" s="45"/>
    </row>
    <row r="23" customFormat="false" ht="9.75" hidden="true" customHeight="true" outlineLevel="0" collapsed="false">
      <c r="CE23" s="45"/>
      <c r="CI23" s="46"/>
      <c r="CJ23" s="47"/>
      <c r="CK23" s="45"/>
    </row>
    <row r="24" customFormat="false" ht="9.75" hidden="true" customHeight="true" outlineLevel="0" collapsed="false">
      <c r="BE24" s="1" t="s">
        <v>36</v>
      </c>
      <c r="CE24" s="45"/>
      <c r="CI24" s="46"/>
      <c r="CJ24" s="47"/>
      <c r="CK24" s="45"/>
    </row>
    <row r="25" customFormat="false" ht="9.75" hidden="false" customHeight="true" outlineLevel="0" collapsed="false">
      <c r="CE25" s="45"/>
      <c r="CI25" s="46"/>
      <c r="CJ25" s="47"/>
      <c r="CK25" s="45"/>
    </row>
    <row r="26" customFormat="false" ht="13.5" hidden="false" customHeight="false" outlineLevel="0" collapsed="false">
      <c r="C26" s="169" t="s">
        <v>37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AD26" s="169" t="s">
        <v>38</v>
      </c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1"/>
      <c r="CI26" s="46"/>
      <c r="CK26" s="51"/>
      <c r="CL26" s="46"/>
    </row>
    <row r="27" customFormat="false" ht="13.5" hidden="true" customHeight="true" outlineLevel="0" collapsed="false">
      <c r="C27" s="170"/>
      <c r="Y27" s="171"/>
      <c r="AD27" s="170"/>
      <c r="AZ27" s="171"/>
      <c r="CE27" s="54"/>
      <c r="CI27" s="55"/>
      <c r="CJ27" s="47"/>
      <c r="CK27" s="54"/>
      <c r="CL27" s="46"/>
    </row>
    <row r="28" customFormat="false" ht="12" hidden="true" customHeight="true" outlineLevel="0" collapsed="false">
      <c r="C28" s="172"/>
      <c r="D28" s="85"/>
      <c r="Y28" s="171"/>
      <c r="AD28" s="172"/>
      <c r="AE28" s="85"/>
      <c r="AZ28" s="171"/>
      <c r="BE28" s="85"/>
      <c r="BF28" s="85"/>
      <c r="CE28" s="3"/>
      <c r="CI28" s="57"/>
      <c r="CK28" s="3"/>
      <c r="CL28" s="46"/>
    </row>
    <row r="29" customFormat="false" ht="12" hidden="false" customHeight="true" outlineLevel="0" collapsed="false">
      <c r="C29" s="172"/>
      <c r="D29" s="85"/>
      <c r="Y29" s="171"/>
      <c r="AD29" s="172"/>
      <c r="AE29" s="85"/>
      <c r="AZ29" s="171"/>
      <c r="BE29" s="85"/>
      <c r="BF29" s="85"/>
      <c r="CE29" s="45"/>
      <c r="CK29" s="45"/>
    </row>
    <row r="30" customFormat="false" ht="24" hidden="false" customHeight="true" outlineLevel="0" collapsed="false">
      <c r="C30" s="173" t="s">
        <v>39</v>
      </c>
      <c r="D30" s="174"/>
      <c r="E30" s="175"/>
      <c r="F30" s="175"/>
      <c r="G30" s="175"/>
      <c r="H30" s="176" t="n">
        <f aca="false">I15</f>
        <v>1897.33</v>
      </c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85"/>
      <c r="Y30" s="177"/>
      <c r="AD30" s="178" t="s">
        <v>40</v>
      </c>
      <c r="AE30" s="178"/>
      <c r="AF30" s="178"/>
      <c r="AG30" s="178"/>
      <c r="AH30" s="178"/>
      <c r="AI30" s="176" t="n">
        <f aca="false">AP15</f>
        <v>1857.33</v>
      </c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85"/>
      <c r="AZ30" s="177"/>
      <c r="BE30" s="179" t="s">
        <v>41</v>
      </c>
      <c r="BF30" s="179"/>
      <c r="BG30" s="179"/>
      <c r="BH30" s="179"/>
      <c r="BJ30" s="180"/>
      <c r="BK30" s="179" t="s">
        <v>42</v>
      </c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  <c r="BX30" s="179"/>
      <c r="BY30" s="179"/>
      <c r="BZ30" s="179"/>
      <c r="CA30" s="179"/>
      <c r="CB30" s="179"/>
      <c r="CD30" s="66"/>
      <c r="CE30" s="45"/>
      <c r="CF30" s="3"/>
      <c r="CG30" s="3"/>
      <c r="CK30" s="45"/>
    </row>
    <row r="31" customFormat="false" ht="12" hidden="false" customHeight="true" outlineLevel="0" collapsed="false">
      <c r="C31" s="173" t="s">
        <v>43</v>
      </c>
      <c r="D31" s="174"/>
      <c r="E31" s="175"/>
      <c r="F31" s="175"/>
      <c r="G31" s="175"/>
      <c r="H31" s="181" t="n">
        <f aca="false">I18</f>
        <v>0</v>
      </c>
      <c r="I31" s="181"/>
      <c r="J31" s="181"/>
      <c r="K31" s="181"/>
      <c r="L31" s="181"/>
      <c r="M31" s="181"/>
      <c r="N31" s="181"/>
      <c r="O31" s="181"/>
      <c r="P31" s="181"/>
      <c r="Q31" s="181"/>
      <c r="R31" s="174"/>
      <c r="S31" s="182"/>
      <c r="Y31" s="177"/>
      <c r="AC31" s="183"/>
      <c r="AD31" s="173" t="s">
        <v>44</v>
      </c>
      <c r="AE31" s="174"/>
      <c r="AF31" s="175"/>
      <c r="AG31" s="175"/>
      <c r="AH31" s="175"/>
      <c r="AI31" s="181" t="n">
        <f aca="false">AP16</f>
        <v>0</v>
      </c>
      <c r="AJ31" s="181"/>
      <c r="AK31" s="181"/>
      <c r="AL31" s="181"/>
      <c r="AM31" s="181"/>
      <c r="AN31" s="181"/>
      <c r="AO31" s="181"/>
      <c r="AP31" s="181"/>
      <c r="AQ31" s="181"/>
      <c r="AR31" s="181"/>
      <c r="AS31" s="174"/>
      <c r="AT31" s="182"/>
      <c r="AZ31" s="177"/>
      <c r="BE31" s="184" t="e">
        <f aca="false">H31/AI31-100%</f>
        <v>#DIV/0!</v>
      </c>
      <c r="BF31" s="184"/>
      <c r="BG31" s="184"/>
      <c r="BH31" s="184"/>
      <c r="BJ31" s="185"/>
      <c r="BK31" s="186" t="n">
        <f aca="false">SUM(I9:Y13)</f>
        <v>40</v>
      </c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D31" s="66"/>
      <c r="CE31" s="45"/>
      <c r="CI31" s="45"/>
      <c r="CK31" s="45"/>
    </row>
    <row r="32" customFormat="false" ht="12" hidden="false" customHeight="true" outlineLevel="0" collapsed="false">
      <c r="C32" s="173" t="s">
        <v>23</v>
      </c>
      <c r="D32" s="174"/>
      <c r="E32" s="175"/>
      <c r="F32" s="175"/>
      <c r="G32" s="175"/>
      <c r="H32" s="175"/>
      <c r="I32" s="187" t="n">
        <f aca="false">I16</f>
        <v>22</v>
      </c>
      <c r="J32" s="187"/>
      <c r="K32" s="187"/>
      <c r="L32" s="187"/>
      <c r="M32" s="187"/>
      <c r="N32" s="187"/>
      <c r="O32" s="187"/>
      <c r="P32" s="175"/>
      <c r="Q32" s="175"/>
      <c r="R32" s="175"/>
      <c r="S32" s="188"/>
      <c r="Y32" s="171"/>
      <c r="AD32" s="173" t="s">
        <v>45</v>
      </c>
      <c r="AE32" s="174"/>
      <c r="AF32" s="175"/>
      <c r="AG32" s="175"/>
      <c r="AH32" s="175"/>
      <c r="AI32" s="175"/>
      <c r="AJ32" s="187" t="n">
        <f aca="false">I16</f>
        <v>22</v>
      </c>
      <c r="AK32" s="187"/>
      <c r="AL32" s="187"/>
      <c r="AM32" s="187"/>
      <c r="AN32" s="187"/>
      <c r="AO32" s="187"/>
      <c r="AP32" s="187"/>
      <c r="AQ32" s="175"/>
      <c r="AR32" s="175"/>
      <c r="AS32" s="175"/>
      <c r="AT32" s="188"/>
      <c r="AZ32" s="171"/>
      <c r="BE32" s="184"/>
      <c r="BF32" s="184"/>
      <c r="BG32" s="184"/>
      <c r="BH32" s="184"/>
      <c r="BJ32" s="189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E32" s="76"/>
      <c r="CI32" s="45"/>
      <c r="CK32" s="76"/>
    </row>
    <row r="33" customFormat="false" ht="9" hidden="false" customHeight="true" outlineLevel="0" collapsed="false">
      <c r="B33" s="77"/>
      <c r="C33" s="170"/>
      <c r="Y33" s="171"/>
      <c r="AD33" s="170"/>
      <c r="AZ33" s="171"/>
      <c r="CE33" s="78"/>
      <c r="CK33" s="78"/>
    </row>
    <row r="34" customFormat="false" ht="3" hidden="false" customHeight="true" outlineLevel="0" collapsed="false">
      <c r="B34" s="77"/>
      <c r="C34" s="190" t="s">
        <v>46</v>
      </c>
      <c r="D34" s="85"/>
      <c r="E34" s="191" t="s">
        <v>47</v>
      </c>
      <c r="F34" s="85"/>
      <c r="G34" s="191" t="s">
        <v>48</v>
      </c>
      <c r="H34" s="85"/>
      <c r="I34" s="191" t="s">
        <v>49</v>
      </c>
      <c r="J34" s="85"/>
      <c r="K34" s="85"/>
      <c r="L34" s="85"/>
      <c r="M34" s="85"/>
      <c r="N34" s="192"/>
      <c r="O34" s="191" t="n">
        <v>1</v>
      </c>
      <c r="P34" s="192"/>
      <c r="Q34" s="191" t="s">
        <v>50</v>
      </c>
      <c r="R34" s="192"/>
      <c r="S34" s="191" t="s">
        <v>51</v>
      </c>
      <c r="T34" s="192"/>
      <c r="U34" s="193" t="s">
        <v>52</v>
      </c>
      <c r="V34" s="85"/>
      <c r="W34" s="191" t="s">
        <v>49</v>
      </c>
      <c r="X34" s="194"/>
      <c r="Y34" s="195" t="s">
        <v>51</v>
      </c>
      <c r="AD34" s="190" t="s">
        <v>46</v>
      </c>
      <c r="AE34" s="85"/>
      <c r="AF34" s="191" t="s">
        <v>47</v>
      </c>
      <c r="AG34" s="85"/>
      <c r="AH34" s="191" t="s">
        <v>48</v>
      </c>
      <c r="AI34" s="85"/>
      <c r="AJ34" s="191" t="s">
        <v>49</v>
      </c>
      <c r="AK34" s="85"/>
      <c r="AL34" s="85"/>
      <c r="AM34" s="85"/>
      <c r="AN34" s="85"/>
      <c r="AO34" s="192"/>
      <c r="AP34" s="191" t="n">
        <v>1</v>
      </c>
      <c r="AQ34" s="192"/>
      <c r="AR34" s="191" t="s">
        <v>50</v>
      </c>
      <c r="AS34" s="192"/>
      <c r="AT34" s="191" t="s">
        <v>51</v>
      </c>
      <c r="AU34" s="192"/>
      <c r="AV34" s="193" t="s">
        <v>52</v>
      </c>
      <c r="AW34" s="85"/>
      <c r="AX34" s="191" t="s">
        <v>49</v>
      </c>
      <c r="AY34" s="194"/>
      <c r="AZ34" s="195" t="s">
        <v>51</v>
      </c>
      <c r="BE34" s="196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192"/>
      <c r="BT34" s="85"/>
      <c r="BU34" s="192"/>
      <c r="BV34" s="85"/>
      <c r="BW34" s="192"/>
      <c r="BX34" s="85"/>
      <c r="BY34" s="192"/>
      <c r="BZ34" s="85"/>
      <c r="CA34" s="85"/>
      <c r="CB34" s="85"/>
      <c r="CC34" s="194"/>
      <c r="CD34" s="85"/>
    </row>
    <row r="35" customFormat="false" ht="3" hidden="false" customHeight="true" outlineLevel="0" collapsed="false">
      <c r="B35" s="77"/>
      <c r="C35" s="190"/>
      <c r="D35" s="85"/>
      <c r="E35" s="191"/>
      <c r="F35" s="85"/>
      <c r="G35" s="191"/>
      <c r="H35" s="85"/>
      <c r="I35" s="191"/>
      <c r="J35" s="85"/>
      <c r="K35" s="85"/>
      <c r="L35" s="85"/>
      <c r="M35" s="85"/>
      <c r="N35" s="192"/>
      <c r="O35" s="191"/>
      <c r="P35" s="192"/>
      <c r="Q35" s="191"/>
      <c r="R35" s="192"/>
      <c r="S35" s="191"/>
      <c r="T35" s="192"/>
      <c r="U35" s="193"/>
      <c r="V35" s="85"/>
      <c r="W35" s="191"/>
      <c r="X35" s="194"/>
      <c r="Y35" s="195"/>
      <c r="AD35" s="190"/>
      <c r="AE35" s="85"/>
      <c r="AF35" s="191"/>
      <c r="AG35" s="85"/>
      <c r="AH35" s="191"/>
      <c r="AI35" s="85"/>
      <c r="AJ35" s="191"/>
      <c r="AK35" s="85"/>
      <c r="AL35" s="85"/>
      <c r="AM35" s="85"/>
      <c r="AN35" s="85"/>
      <c r="AO35" s="192"/>
      <c r="AP35" s="191"/>
      <c r="AQ35" s="192"/>
      <c r="AR35" s="191"/>
      <c r="AS35" s="192"/>
      <c r="AT35" s="191"/>
      <c r="AU35" s="192"/>
      <c r="AV35" s="193"/>
      <c r="AW35" s="85"/>
      <c r="AX35" s="191"/>
      <c r="AY35" s="194"/>
      <c r="AZ35" s="195"/>
      <c r="BE35" s="196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192"/>
      <c r="BT35" s="85"/>
      <c r="BU35" s="192"/>
      <c r="BV35" s="85"/>
      <c r="BW35" s="192"/>
      <c r="BX35" s="85"/>
      <c r="BY35" s="192"/>
      <c r="BZ35" s="85"/>
      <c r="CA35" s="85"/>
      <c r="CB35" s="85"/>
      <c r="CC35" s="194"/>
      <c r="CD35" s="85"/>
    </row>
    <row r="36" customFormat="false" ht="3" hidden="false" customHeight="true" outlineLevel="0" collapsed="false">
      <c r="B36" s="77"/>
      <c r="C36" s="190"/>
      <c r="D36" s="85"/>
      <c r="E36" s="191"/>
      <c r="F36" s="85"/>
      <c r="G36" s="191"/>
      <c r="H36" s="85"/>
      <c r="I36" s="191"/>
      <c r="J36" s="85"/>
      <c r="K36" s="85"/>
      <c r="L36" s="85"/>
      <c r="M36" s="85"/>
      <c r="N36" s="192"/>
      <c r="O36" s="191"/>
      <c r="P36" s="192"/>
      <c r="Q36" s="191"/>
      <c r="R36" s="192"/>
      <c r="S36" s="191"/>
      <c r="T36" s="192"/>
      <c r="U36" s="193"/>
      <c r="V36" s="85"/>
      <c r="W36" s="191"/>
      <c r="X36" s="194"/>
      <c r="Y36" s="195"/>
      <c r="AD36" s="190"/>
      <c r="AE36" s="85"/>
      <c r="AF36" s="191"/>
      <c r="AG36" s="85"/>
      <c r="AH36" s="191"/>
      <c r="AI36" s="85"/>
      <c r="AJ36" s="191"/>
      <c r="AK36" s="85"/>
      <c r="AL36" s="85"/>
      <c r="AM36" s="85"/>
      <c r="AN36" s="85"/>
      <c r="AO36" s="192"/>
      <c r="AP36" s="191"/>
      <c r="AQ36" s="192"/>
      <c r="AR36" s="191"/>
      <c r="AS36" s="192"/>
      <c r="AT36" s="191"/>
      <c r="AU36" s="192"/>
      <c r="AV36" s="193"/>
      <c r="AW36" s="85"/>
      <c r="AX36" s="191"/>
      <c r="AY36" s="194"/>
      <c r="AZ36" s="195"/>
      <c r="BE36" s="196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192"/>
      <c r="BT36" s="85"/>
      <c r="BU36" s="192"/>
      <c r="BV36" s="85"/>
      <c r="BW36" s="192"/>
      <c r="BX36" s="85"/>
      <c r="BY36" s="192"/>
      <c r="BZ36" s="85"/>
      <c r="CA36" s="85"/>
      <c r="CB36" s="85"/>
      <c r="CC36" s="194"/>
      <c r="CD36" s="85"/>
    </row>
    <row r="37" customFormat="false" ht="3" hidden="false" customHeight="true" outlineLevel="0" collapsed="false">
      <c r="B37" s="77"/>
      <c r="C37" s="190"/>
      <c r="D37" s="85"/>
      <c r="E37" s="191"/>
      <c r="F37" s="85"/>
      <c r="G37" s="191"/>
      <c r="H37" s="85"/>
      <c r="I37" s="191"/>
      <c r="J37" s="85"/>
      <c r="K37" s="85"/>
      <c r="L37" s="85"/>
      <c r="M37" s="85"/>
      <c r="N37" s="85"/>
      <c r="O37" s="191"/>
      <c r="P37" s="85"/>
      <c r="Q37" s="191"/>
      <c r="R37" s="85"/>
      <c r="S37" s="191"/>
      <c r="T37" s="192"/>
      <c r="U37" s="192"/>
      <c r="V37" s="85"/>
      <c r="W37" s="191"/>
      <c r="X37" s="85"/>
      <c r="Y37" s="195"/>
      <c r="AD37" s="190"/>
      <c r="AE37" s="85"/>
      <c r="AF37" s="191"/>
      <c r="AG37" s="85"/>
      <c r="AH37" s="191"/>
      <c r="AI37" s="85"/>
      <c r="AJ37" s="191"/>
      <c r="AK37" s="85"/>
      <c r="AL37" s="85"/>
      <c r="AM37" s="85"/>
      <c r="AN37" s="85"/>
      <c r="AO37" s="85"/>
      <c r="AP37" s="191"/>
      <c r="AQ37" s="85"/>
      <c r="AR37" s="191"/>
      <c r="AS37" s="85"/>
      <c r="AT37" s="191"/>
      <c r="AU37" s="192"/>
      <c r="AV37" s="192"/>
      <c r="AW37" s="85"/>
      <c r="AX37" s="191"/>
      <c r="AY37" s="85"/>
      <c r="AZ37" s="195"/>
      <c r="BE37" s="196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192"/>
      <c r="BZ37" s="192"/>
      <c r="CA37" s="85"/>
      <c r="CB37" s="85"/>
      <c r="CC37" s="85"/>
      <c r="CD37" s="85"/>
    </row>
    <row r="38" customFormat="false" ht="3" hidden="false" customHeight="true" outlineLevel="0" collapsed="false">
      <c r="B38" s="77"/>
      <c r="C38" s="190"/>
      <c r="D38" s="85"/>
      <c r="E38" s="191"/>
      <c r="F38" s="85"/>
      <c r="G38" s="191"/>
      <c r="H38" s="85"/>
      <c r="I38" s="191"/>
      <c r="J38" s="85"/>
      <c r="K38" s="85"/>
      <c r="L38" s="85"/>
      <c r="M38" s="85"/>
      <c r="N38" s="85"/>
      <c r="O38" s="191"/>
      <c r="P38" s="85"/>
      <c r="Q38" s="191"/>
      <c r="R38" s="85"/>
      <c r="S38" s="191"/>
      <c r="T38" s="192"/>
      <c r="U38" s="192"/>
      <c r="V38" s="85"/>
      <c r="W38" s="191"/>
      <c r="X38" s="85"/>
      <c r="Y38" s="195"/>
      <c r="AD38" s="190"/>
      <c r="AE38" s="85"/>
      <c r="AF38" s="191"/>
      <c r="AG38" s="85"/>
      <c r="AH38" s="191"/>
      <c r="AI38" s="85"/>
      <c r="AJ38" s="191"/>
      <c r="AK38" s="85"/>
      <c r="AL38" s="85"/>
      <c r="AM38" s="85"/>
      <c r="AN38" s="85"/>
      <c r="AO38" s="85"/>
      <c r="AP38" s="191"/>
      <c r="AQ38" s="85"/>
      <c r="AR38" s="191"/>
      <c r="AS38" s="85"/>
      <c r="AT38" s="191"/>
      <c r="AU38" s="192"/>
      <c r="AV38" s="192"/>
      <c r="AW38" s="85"/>
      <c r="AX38" s="191"/>
      <c r="AY38" s="85"/>
      <c r="AZ38" s="195"/>
      <c r="BE38" s="196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192"/>
      <c r="BZ38" s="192"/>
      <c r="CA38" s="85"/>
      <c r="CB38" s="85"/>
      <c r="CC38" s="85"/>
      <c r="CD38" s="85"/>
    </row>
    <row r="39" customFormat="false" ht="3" hidden="false" customHeight="true" outlineLevel="0" collapsed="false">
      <c r="B39" s="77"/>
      <c r="C39" s="190"/>
      <c r="D39" s="85"/>
      <c r="E39" s="191"/>
      <c r="F39" s="85"/>
      <c r="G39" s="191"/>
      <c r="H39" s="85"/>
      <c r="I39" s="191"/>
      <c r="J39" s="85"/>
      <c r="K39" s="85"/>
      <c r="L39" s="85"/>
      <c r="M39" s="85"/>
      <c r="N39" s="192"/>
      <c r="O39" s="191"/>
      <c r="P39" s="192"/>
      <c r="Q39" s="191"/>
      <c r="R39" s="192"/>
      <c r="S39" s="191"/>
      <c r="T39" s="192"/>
      <c r="U39" s="192"/>
      <c r="V39" s="85"/>
      <c r="W39" s="191"/>
      <c r="X39" s="85"/>
      <c r="Y39" s="195"/>
      <c r="AD39" s="190"/>
      <c r="AE39" s="85"/>
      <c r="AF39" s="191"/>
      <c r="AG39" s="85"/>
      <c r="AH39" s="191"/>
      <c r="AI39" s="85"/>
      <c r="AJ39" s="191"/>
      <c r="AK39" s="85"/>
      <c r="AL39" s="85"/>
      <c r="AM39" s="85"/>
      <c r="AN39" s="85"/>
      <c r="AO39" s="192"/>
      <c r="AP39" s="191"/>
      <c r="AQ39" s="192"/>
      <c r="AR39" s="191"/>
      <c r="AS39" s="192"/>
      <c r="AT39" s="191"/>
      <c r="AU39" s="192"/>
      <c r="AV39" s="192"/>
      <c r="AW39" s="85"/>
      <c r="AX39" s="191"/>
      <c r="AY39" s="85"/>
      <c r="AZ39" s="195"/>
      <c r="BE39" s="243" t="s">
        <v>53</v>
      </c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  <c r="BX39" s="243"/>
      <c r="BY39" s="243"/>
      <c r="BZ39" s="243"/>
      <c r="CA39" s="243"/>
      <c r="CB39" s="243"/>
      <c r="CC39" s="85"/>
      <c r="CD39" s="85"/>
    </row>
    <row r="40" customFormat="false" ht="3" hidden="false" customHeight="true" outlineLevel="0" collapsed="false">
      <c r="B40" s="77"/>
      <c r="C40" s="190"/>
      <c r="D40" s="192"/>
      <c r="E40" s="191"/>
      <c r="F40" s="85"/>
      <c r="G40" s="191"/>
      <c r="H40" s="85"/>
      <c r="I40" s="1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198"/>
      <c r="AD40" s="190"/>
      <c r="AE40" s="192"/>
      <c r="AF40" s="191"/>
      <c r="AG40" s="85"/>
      <c r="AH40" s="191"/>
      <c r="AI40" s="85"/>
      <c r="AJ40" s="191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198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  <c r="BX40" s="243"/>
      <c r="BY40" s="243"/>
      <c r="BZ40" s="243"/>
      <c r="CA40" s="243"/>
      <c r="CB40" s="243"/>
      <c r="CC40" s="85"/>
      <c r="CD40" s="85"/>
    </row>
    <row r="41" customFormat="false" ht="3" hidden="false" customHeight="true" outlineLevel="0" collapsed="false">
      <c r="B41" s="77"/>
      <c r="C41" s="190"/>
      <c r="D41" s="192"/>
      <c r="E41" s="191"/>
      <c r="F41" s="85"/>
      <c r="G41" s="191"/>
      <c r="H41" s="85"/>
      <c r="I41" s="1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198"/>
      <c r="AD41" s="190"/>
      <c r="AE41" s="192"/>
      <c r="AF41" s="191"/>
      <c r="AG41" s="85"/>
      <c r="AH41" s="191"/>
      <c r="AI41" s="85"/>
      <c r="AJ41" s="191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198"/>
      <c r="BE41" s="243"/>
      <c r="BF41" s="243"/>
      <c r="BG41" s="243"/>
      <c r="BH41" s="243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  <c r="BX41" s="243"/>
      <c r="BY41" s="243"/>
      <c r="BZ41" s="243"/>
      <c r="CA41" s="243"/>
      <c r="CB41" s="243"/>
      <c r="CC41" s="85"/>
      <c r="CD41" s="85"/>
    </row>
    <row r="42" customFormat="false" ht="3" hidden="false" customHeight="true" outlineLevel="0" collapsed="false">
      <c r="B42" s="77"/>
      <c r="C42" s="190"/>
      <c r="D42" s="85"/>
      <c r="E42" s="191"/>
      <c r="F42" s="85"/>
      <c r="G42" s="191"/>
      <c r="H42" s="85"/>
      <c r="I42" s="191"/>
      <c r="J42" s="85"/>
      <c r="K42" s="85"/>
      <c r="L42" s="85"/>
      <c r="M42" s="85"/>
      <c r="N42" s="192"/>
      <c r="O42" s="191" t="n">
        <v>1</v>
      </c>
      <c r="P42" s="192"/>
      <c r="Q42" s="191" t="s">
        <v>50</v>
      </c>
      <c r="R42" s="192"/>
      <c r="S42" s="191" t="s">
        <v>51</v>
      </c>
      <c r="T42" s="192"/>
      <c r="U42" s="193" t="s">
        <v>52</v>
      </c>
      <c r="V42" s="85"/>
      <c r="W42" s="191" t="s">
        <v>54</v>
      </c>
      <c r="X42" s="194"/>
      <c r="Y42" s="195" t="n">
        <v>1</v>
      </c>
      <c r="AD42" s="190"/>
      <c r="AE42" s="85"/>
      <c r="AF42" s="191"/>
      <c r="AG42" s="85"/>
      <c r="AH42" s="191"/>
      <c r="AI42" s="85"/>
      <c r="AJ42" s="191"/>
      <c r="AK42" s="85"/>
      <c r="AL42" s="85"/>
      <c r="AM42" s="85"/>
      <c r="AN42" s="85"/>
      <c r="AO42" s="192"/>
      <c r="AP42" s="191" t="n">
        <v>1</v>
      </c>
      <c r="AQ42" s="192"/>
      <c r="AR42" s="191" t="s">
        <v>50</v>
      </c>
      <c r="AS42" s="192"/>
      <c r="AT42" s="191" t="s">
        <v>51</v>
      </c>
      <c r="AU42" s="192"/>
      <c r="AV42" s="193" t="s">
        <v>52</v>
      </c>
      <c r="AW42" s="85"/>
      <c r="AX42" s="191" t="s">
        <v>54</v>
      </c>
      <c r="AY42" s="194"/>
      <c r="AZ42" s="195" t="n">
        <v>1</v>
      </c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  <c r="BX42" s="243"/>
      <c r="BY42" s="243"/>
      <c r="BZ42" s="243"/>
      <c r="CA42" s="243"/>
      <c r="CB42" s="243"/>
      <c r="CC42" s="194"/>
      <c r="CD42" s="85"/>
    </row>
    <row r="43" customFormat="false" ht="3" hidden="false" customHeight="true" outlineLevel="0" collapsed="false">
      <c r="B43" s="77"/>
      <c r="C43" s="190"/>
      <c r="D43" s="85"/>
      <c r="E43" s="191"/>
      <c r="F43" s="85"/>
      <c r="G43" s="191"/>
      <c r="H43" s="85"/>
      <c r="I43" s="191"/>
      <c r="J43" s="85"/>
      <c r="K43" s="85"/>
      <c r="L43" s="85"/>
      <c r="M43" s="85"/>
      <c r="N43" s="192"/>
      <c r="O43" s="191"/>
      <c r="P43" s="192"/>
      <c r="Q43" s="191"/>
      <c r="R43" s="192"/>
      <c r="S43" s="191"/>
      <c r="T43" s="192"/>
      <c r="U43" s="193"/>
      <c r="V43" s="85"/>
      <c r="W43" s="191"/>
      <c r="X43" s="194"/>
      <c r="Y43" s="195"/>
      <c r="AD43" s="190"/>
      <c r="AE43" s="85"/>
      <c r="AF43" s="191"/>
      <c r="AG43" s="85"/>
      <c r="AH43" s="191"/>
      <c r="AI43" s="85"/>
      <c r="AJ43" s="191"/>
      <c r="AK43" s="85"/>
      <c r="AL43" s="85"/>
      <c r="AM43" s="85"/>
      <c r="AN43" s="85"/>
      <c r="AO43" s="192"/>
      <c r="AP43" s="191"/>
      <c r="AQ43" s="192"/>
      <c r="AR43" s="191"/>
      <c r="AS43" s="192"/>
      <c r="AT43" s="191"/>
      <c r="AU43" s="192"/>
      <c r="AV43" s="193"/>
      <c r="AW43" s="85"/>
      <c r="AX43" s="191"/>
      <c r="AY43" s="194"/>
      <c r="AZ43" s="195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  <c r="BX43" s="243"/>
      <c r="BY43" s="243"/>
      <c r="BZ43" s="243"/>
      <c r="CA43" s="243"/>
      <c r="CB43" s="243"/>
      <c r="CC43" s="194"/>
      <c r="CD43" s="85"/>
    </row>
    <row r="44" customFormat="false" ht="3" hidden="false" customHeight="true" outlineLevel="0" collapsed="false">
      <c r="B44" s="77"/>
      <c r="C44" s="190"/>
      <c r="D44" s="85"/>
      <c r="E44" s="191"/>
      <c r="F44" s="85"/>
      <c r="G44" s="191"/>
      <c r="H44" s="85"/>
      <c r="I44" s="191"/>
      <c r="J44" s="85"/>
      <c r="K44" s="85"/>
      <c r="L44" s="85"/>
      <c r="M44" s="85"/>
      <c r="N44" s="192"/>
      <c r="O44" s="191"/>
      <c r="P44" s="192"/>
      <c r="Q44" s="191"/>
      <c r="R44" s="192"/>
      <c r="S44" s="191"/>
      <c r="T44" s="192"/>
      <c r="U44" s="193"/>
      <c r="V44" s="85"/>
      <c r="W44" s="191"/>
      <c r="X44" s="194"/>
      <c r="Y44" s="195"/>
      <c r="AD44" s="190"/>
      <c r="AE44" s="85"/>
      <c r="AF44" s="191"/>
      <c r="AG44" s="85"/>
      <c r="AH44" s="191"/>
      <c r="AI44" s="85"/>
      <c r="AJ44" s="191"/>
      <c r="AK44" s="85"/>
      <c r="AL44" s="85"/>
      <c r="AM44" s="85"/>
      <c r="AN44" s="85"/>
      <c r="AO44" s="192"/>
      <c r="AP44" s="191"/>
      <c r="AQ44" s="192"/>
      <c r="AR44" s="191"/>
      <c r="AS44" s="192"/>
      <c r="AT44" s="191"/>
      <c r="AU44" s="192"/>
      <c r="AV44" s="193"/>
      <c r="AW44" s="85"/>
      <c r="AX44" s="191"/>
      <c r="AY44" s="194"/>
      <c r="AZ44" s="195"/>
      <c r="BE44" s="243"/>
      <c r="BF44" s="243"/>
      <c r="BG44" s="243"/>
      <c r="BH44" s="243"/>
      <c r="BI44" s="243"/>
      <c r="BJ44" s="243"/>
      <c r="BK44" s="243"/>
      <c r="BL44" s="243"/>
      <c r="BM44" s="243"/>
      <c r="BN44" s="243"/>
      <c r="BO44" s="243"/>
      <c r="BP44" s="243"/>
      <c r="BQ44" s="243"/>
      <c r="BR44" s="243"/>
      <c r="BS44" s="243"/>
      <c r="BT44" s="243"/>
      <c r="BU44" s="243"/>
      <c r="BV44" s="243"/>
      <c r="BW44" s="243"/>
      <c r="BX44" s="243"/>
      <c r="BY44" s="243"/>
      <c r="BZ44" s="243"/>
      <c r="CA44" s="243"/>
      <c r="CB44" s="243"/>
      <c r="CC44" s="194"/>
      <c r="CD44" s="85"/>
    </row>
    <row r="45" customFormat="false" ht="3" hidden="false" customHeight="true" outlineLevel="0" collapsed="false">
      <c r="B45" s="77"/>
      <c r="C45" s="190"/>
      <c r="D45" s="85"/>
      <c r="E45" s="191"/>
      <c r="F45" s="85"/>
      <c r="G45" s="191"/>
      <c r="H45" s="85"/>
      <c r="I45" s="191"/>
      <c r="J45" s="85"/>
      <c r="K45" s="85"/>
      <c r="L45" s="85"/>
      <c r="M45" s="85"/>
      <c r="N45" s="85"/>
      <c r="O45" s="191"/>
      <c r="P45" s="85"/>
      <c r="Q45" s="191"/>
      <c r="R45" s="85"/>
      <c r="S45" s="191"/>
      <c r="T45" s="192"/>
      <c r="U45" s="192"/>
      <c r="V45" s="85"/>
      <c r="W45" s="191"/>
      <c r="X45" s="85"/>
      <c r="Y45" s="195"/>
      <c r="AD45" s="190"/>
      <c r="AE45" s="85"/>
      <c r="AF45" s="191"/>
      <c r="AG45" s="85"/>
      <c r="AH45" s="191"/>
      <c r="AI45" s="85"/>
      <c r="AJ45" s="191"/>
      <c r="AK45" s="85"/>
      <c r="AL45" s="85"/>
      <c r="AM45" s="85"/>
      <c r="AN45" s="85"/>
      <c r="AO45" s="85"/>
      <c r="AP45" s="191"/>
      <c r="AQ45" s="85"/>
      <c r="AR45" s="191"/>
      <c r="AS45" s="85"/>
      <c r="AT45" s="191"/>
      <c r="AU45" s="192"/>
      <c r="AV45" s="192"/>
      <c r="AW45" s="85"/>
      <c r="AX45" s="191"/>
      <c r="AY45" s="85"/>
      <c r="AZ45" s="195"/>
      <c r="BE45" s="243"/>
      <c r="BF45" s="243"/>
      <c r="BG45" s="243"/>
      <c r="BH45" s="243"/>
      <c r="BI45" s="243"/>
      <c r="BJ45" s="243"/>
      <c r="BK45" s="243"/>
      <c r="BL45" s="243"/>
      <c r="BM45" s="243"/>
      <c r="BN45" s="243"/>
      <c r="BO45" s="243"/>
      <c r="BP45" s="243"/>
      <c r="BQ45" s="243"/>
      <c r="BR45" s="243"/>
      <c r="BS45" s="243"/>
      <c r="BT45" s="243"/>
      <c r="BU45" s="243"/>
      <c r="BV45" s="243"/>
      <c r="BW45" s="243"/>
      <c r="BX45" s="243"/>
      <c r="BY45" s="243"/>
      <c r="BZ45" s="243"/>
      <c r="CA45" s="243"/>
      <c r="CB45" s="243"/>
      <c r="CC45" s="85"/>
      <c r="CD45" s="85"/>
    </row>
    <row r="46" customFormat="false" ht="3" hidden="false" customHeight="true" outlineLevel="0" collapsed="false">
      <c r="B46" s="77"/>
      <c r="C46" s="190"/>
      <c r="D46" s="85"/>
      <c r="E46" s="191"/>
      <c r="F46" s="85"/>
      <c r="G46" s="191"/>
      <c r="H46" s="85"/>
      <c r="I46" s="191"/>
      <c r="J46" s="85"/>
      <c r="K46" s="85"/>
      <c r="L46" s="85"/>
      <c r="M46" s="85"/>
      <c r="N46" s="85"/>
      <c r="O46" s="191"/>
      <c r="P46" s="85"/>
      <c r="Q46" s="191"/>
      <c r="R46" s="85"/>
      <c r="S46" s="191"/>
      <c r="T46" s="192"/>
      <c r="U46" s="192"/>
      <c r="V46" s="85"/>
      <c r="W46" s="191"/>
      <c r="X46" s="85"/>
      <c r="Y46" s="195"/>
      <c r="AD46" s="190"/>
      <c r="AE46" s="85"/>
      <c r="AF46" s="191"/>
      <c r="AG46" s="85"/>
      <c r="AH46" s="191"/>
      <c r="AI46" s="85"/>
      <c r="AJ46" s="191"/>
      <c r="AK46" s="85"/>
      <c r="AL46" s="85"/>
      <c r="AM46" s="85"/>
      <c r="AN46" s="85"/>
      <c r="AO46" s="85"/>
      <c r="AP46" s="191"/>
      <c r="AQ46" s="85"/>
      <c r="AR46" s="191"/>
      <c r="AS46" s="85"/>
      <c r="AT46" s="191"/>
      <c r="AU46" s="192"/>
      <c r="AV46" s="192"/>
      <c r="AW46" s="85"/>
      <c r="AX46" s="191"/>
      <c r="AY46" s="85"/>
      <c r="AZ46" s="195"/>
      <c r="BE46" s="244" t="n">
        <f aca="false">RATE(I16,I17,-I15)</f>
        <v>-0.83667455297412</v>
      </c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P46" s="244"/>
      <c r="BQ46" s="244"/>
      <c r="BR46" s="244"/>
      <c r="BS46" s="244"/>
      <c r="BT46" s="244"/>
      <c r="BU46" s="244"/>
      <c r="BV46" s="244"/>
      <c r="BW46" s="244"/>
      <c r="BX46" s="244"/>
      <c r="BY46" s="244"/>
      <c r="BZ46" s="244"/>
      <c r="CA46" s="244"/>
      <c r="CB46" s="244"/>
      <c r="CC46" s="85"/>
      <c r="CD46" s="85"/>
    </row>
    <row r="47" customFormat="false" ht="3" hidden="false" customHeight="true" outlineLevel="0" collapsed="false">
      <c r="B47" s="77"/>
      <c r="C47" s="190"/>
      <c r="D47" s="85"/>
      <c r="E47" s="191"/>
      <c r="F47" s="85"/>
      <c r="G47" s="191"/>
      <c r="H47" s="85"/>
      <c r="I47" s="191"/>
      <c r="J47" s="85"/>
      <c r="K47" s="85"/>
      <c r="L47" s="85"/>
      <c r="M47" s="85"/>
      <c r="N47" s="192"/>
      <c r="O47" s="191"/>
      <c r="P47" s="192"/>
      <c r="Q47" s="191"/>
      <c r="R47" s="192"/>
      <c r="S47" s="191"/>
      <c r="T47" s="192"/>
      <c r="U47" s="192"/>
      <c r="V47" s="85"/>
      <c r="W47" s="191"/>
      <c r="X47" s="85"/>
      <c r="Y47" s="195"/>
      <c r="AD47" s="190"/>
      <c r="AE47" s="85"/>
      <c r="AF47" s="191"/>
      <c r="AG47" s="85"/>
      <c r="AH47" s="191"/>
      <c r="AI47" s="85"/>
      <c r="AJ47" s="191"/>
      <c r="AK47" s="85"/>
      <c r="AL47" s="85"/>
      <c r="AM47" s="85"/>
      <c r="AN47" s="85"/>
      <c r="AO47" s="192"/>
      <c r="AP47" s="191"/>
      <c r="AQ47" s="192"/>
      <c r="AR47" s="191"/>
      <c r="AS47" s="192"/>
      <c r="AT47" s="191"/>
      <c r="AU47" s="192"/>
      <c r="AV47" s="192"/>
      <c r="AW47" s="85"/>
      <c r="AX47" s="191"/>
      <c r="AY47" s="85"/>
      <c r="AZ47" s="195"/>
      <c r="BE47" s="244"/>
      <c r="BF47" s="244"/>
      <c r="BG47" s="244"/>
      <c r="BH47" s="244"/>
      <c r="BI47" s="244"/>
      <c r="BJ47" s="244"/>
      <c r="BK47" s="244"/>
      <c r="BL47" s="244"/>
      <c r="BM47" s="244"/>
      <c r="BN47" s="244"/>
      <c r="BO47" s="244"/>
      <c r="BP47" s="244"/>
      <c r="BQ47" s="244"/>
      <c r="BR47" s="244"/>
      <c r="BS47" s="244"/>
      <c r="BT47" s="244"/>
      <c r="BU47" s="244"/>
      <c r="BV47" s="244"/>
      <c r="BW47" s="244"/>
      <c r="BX47" s="244"/>
      <c r="BY47" s="244"/>
      <c r="BZ47" s="244"/>
      <c r="CA47" s="244"/>
      <c r="CB47" s="244"/>
      <c r="CC47" s="85"/>
      <c r="CD47" s="85"/>
    </row>
    <row r="48" customFormat="false" ht="3" hidden="false" customHeight="true" outlineLevel="0" collapsed="false">
      <c r="C48" s="190"/>
      <c r="D48" s="85"/>
      <c r="E48" s="191"/>
      <c r="F48" s="85"/>
      <c r="G48" s="191"/>
      <c r="H48" s="85"/>
      <c r="I48" s="1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198"/>
      <c r="AD48" s="190"/>
      <c r="AE48" s="85"/>
      <c r="AF48" s="191"/>
      <c r="AG48" s="85"/>
      <c r="AH48" s="191"/>
      <c r="AI48" s="85"/>
      <c r="AJ48" s="191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198"/>
      <c r="BE48" s="244"/>
      <c r="BF48" s="244"/>
      <c r="BG48" s="244"/>
      <c r="BH48" s="244"/>
      <c r="BI48" s="244"/>
      <c r="BJ48" s="244"/>
      <c r="BK48" s="244"/>
      <c r="BL48" s="244"/>
      <c r="BM48" s="244"/>
      <c r="BN48" s="244"/>
      <c r="BO48" s="244"/>
      <c r="BP48" s="244"/>
      <c r="BQ48" s="244"/>
      <c r="BR48" s="244"/>
      <c r="BS48" s="244"/>
      <c r="BT48" s="244"/>
      <c r="BU48" s="244"/>
      <c r="BV48" s="244"/>
      <c r="BW48" s="244"/>
      <c r="BX48" s="244"/>
      <c r="BY48" s="244"/>
      <c r="BZ48" s="244"/>
      <c r="CA48" s="244"/>
      <c r="CB48" s="244"/>
      <c r="CC48" s="85"/>
      <c r="CD48" s="85"/>
    </row>
    <row r="49" customFormat="false" ht="9" hidden="false" customHeight="true" outlineLevel="0" collapsed="false">
      <c r="C49" s="172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198"/>
      <c r="AD49" s="172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198"/>
      <c r="BE49" s="244"/>
      <c r="BF49" s="244"/>
      <c r="BG49" s="244"/>
      <c r="BH49" s="244"/>
      <c r="BI49" s="244"/>
      <c r="BJ49" s="244"/>
      <c r="BK49" s="244"/>
      <c r="BL49" s="244"/>
      <c r="BM49" s="244"/>
      <c r="BN49" s="244"/>
      <c r="BO49" s="244"/>
      <c r="BP49" s="244"/>
      <c r="BQ49" s="244"/>
      <c r="BR49" s="244"/>
      <c r="BS49" s="244"/>
      <c r="BT49" s="244"/>
      <c r="BU49" s="244"/>
      <c r="BV49" s="244"/>
      <c r="BW49" s="244"/>
      <c r="BX49" s="244"/>
      <c r="BY49" s="244"/>
      <c r="BZ49" s="244"/>
      <c r="CA49" s="244"/>
      <c r="CB49" s="244"/>
      <c r="CC49" s="85"/>
      <c r="CD49" s="85"/>
    </row>
    <row r="50" customFormat="false" ht="3" hidden="false" customHeight="true" outlineLevel="0" collapsed="false">
      <c r="B50" s="77"/>
      <c r="C50" s="190" t="s">
        <v>46</v>
      </c>
      <c r="D50" s="85"/>
      <c r="E50" s="191" t="s">
        <v>47</v>
      </c>
      <c r="F50" s="85"/>
      <c r="G50" s="200" t="n">
        <f aca="false">H30</f>
        <v>1897.33</v>
      </c>
      <c r="H50" s="85"/>
      <c r="I50" s="191" t="s">
        <v>49</v>
      </c>
      <c r="J50" s="85"/>
      <c r="K50" s="85"/>
      <c r="L50" s="85"/>
      <c r="M50" s="85"/>
      <c r="N50" s="192"/>
      <c r="O50" s="191" t="n">
        <v>1</v>
      </c>
      <c r="P50" s="192"/>
      <c r="Q50" s="191" t="s">
        <v>50</v>
      </c>
      <c r="R50" s="192"/>
      <c r="S50" s="201" t="n">
        <f aca="false">H31</f>
        <v>0</v>
      </c>
      <c r="T50" s="192"/>
      <c r="U50" s="202" t="n">
        <f aca="false">I32</f>
        <v>22</v>
      </c>
      <c r="V50" s="85"/>
      <c r="W50" s="191" t="s">
        <v>49</v>
      </c>
      <c r="X50" s="194"/>
      <c r="Y50" s="203" t="n">
        <f aca="false">S50</f>
        <v>0</v>
      </c>
      <c r="AD50" s="190" t="s">
        <v>46</v>
      </c>
      <c r="AE50" s="85"/>
      <c r="AF50" s="191" t="s">
        <v>47</v>
      </c>
      <c r="AG50" s="85"/>
      <c r="AH50" s="200" t="n">
        <f aca="false">AI30</f>
        <v>1857.33</v>
      </c>
      <c r="AI50" s="85"/>
      <c r="AJ50" s="191" t="s">
        <v>49</v>
      </c>
      <c r="AK50" s="85"/>
      <c r="AL50" s="85"/>
      <c r="AM50" s="85"/>
      <c r="AN50" s="85"/>
      <c r="AO50" s="192"/>
      <c r="AP50" s="191" t="n">
        <v>1</v>
      </c>
      <c r="AQ50" s="192"/>
      <c r="AR50" s="191" t="s">
        <v>50</v>
      </c>
      <c r="AS50" s="192"/>
      <c r="AT50" s="201" t="n">
        <f aca="false">AI31</f>
        <v>0</v>
      </c>
      <c r="AU50" s="192"/>
      <c r="AV50" s="202" t="n">
        <f aca="false">AJ32</f>
        <v>22</v>
      </c>
      <c r="AW50" s="85"/>
      <c r="AX50" s="191" t="s">
        <v>49</v>
      </c>
      <c r="AY50" s="194"/>
      <c r="AZ50" s="203" t="n">
        <f aca="false">AT50</f>
        <v>0</v>
      </c>
      <c r="BE50" s="196"/>
      <c r="BF50" s="85"/>
      <c r="BG50" s="85"/>
      <c r="BH50" s="85"/>
      <c r="BI50" s="85"/>
      <c r="BJ50" s="85"/>
      <c r="BK50" s="85"/>
      <c r="BL50" s="204"/>
      <c r="BM50" s="85"/>
      <c r="BN50" s="85"/>
      <c r="BO50" s="85"/>
      <c r="BP50" s="85"/>
      <c r="BQ50" s="85"/>
      <c r="BR50" s="85"/>
      <c r="BS50" s="192"/>
      <c r="BT50" s="85"/>
      <c r="BU50" s="192"/>
      <c r="BV50" s="85"/>
      <c r="BW50" s="192"/>
      <c r="BX50" s="96"/>
      <c r="BY50" s="192"/>
      <c r="BZ50" s="205"/>
      <c r="CA50" s="85"/>
      <c r="CB50" s="85"/>
      <c r="CC50" s="194"/>
      <c r="CD50" s="96"/>
    </row>
    <row r="51" customFormat="false" ht="3" hidden="false" customHeight="true" outlineLevel="0" collapsed="false">
      <c r="B51" s="77"/>
      <c r="C51" s="190"/>
      <c r="D51" s="85"/>
      <c r="E51" s="191"/>
      <c r="F51" s="85"/>
      <c r="G51" s="200"/>
      <c r="H51" s="85"/>
      <c r="I51" s="191"/>
      <c r="J51" s="85"/>
      <c r="K51" s="85"/>
      <c r="L51" s="85"/>
      <c r="M51" s="85"/>
      <c r="N51" s="192"/>
      <c r="O51" s="191"/>
      <c r="P51" s="192"/>
      <c r="Q51" s="191"/>
      <c r="R51" s="192"/>
      <c r="S51" s="201"/>
      <c r="T51" s="192"/>
      <c r="U51" s="202"/>
      <c r="V51" s="85"/>
      <c r="W51" s="191"/>
      <c r="X51" s="194"/>
      <c r="Y51" s="203"/>
      <c r="AD51" s="190"/>
      <c r="AE51" s="85"/>
      <c r="AF51" s="191"/>
      <c r="AG51" s="85"/>
      <c r="AH51" s="200"/>
      <c r="AI51" s="85"/>
      <c r="AJ51" s="191"/>
      <c r="AK51" s="85"/>
      <c r="AL51" s="85"/>
      <c r="AM51" s="85"/>
      <c r="AN51" s="85"/>
      <c r="AO51" s="192"/>
      <c r="AP51" s="191"/>
      <c r="AQ51" s="192"/>
      <c r="AR51" s="191"/>
      <c r="AS51" s="192"/>
      <c r="AT51" s="201"/>
      <c r="AU51" s="192"/>
      <c r="AV51" s="202"/>
      <c r="AW51" s="85"/>
      <c r="AX51" s="191"/>
      <c r="AY51" s="194"/>
      <c r="AZ51" s="203"/>
      <c r="BE51" s="196"/>
      <c r="BF51" s="85"/>
      <c r="BG51" s="85"/>
      <c r="BH51" s="85"/>
      <c r="BI51" s="85"/>
      <c r="BJ51" s="85"/>
      <c r="BK51" s="85"/>
      <c r="BL51" s="204"/>
      <c r="BM51" s="85"/>
      <c r="BN51" s="85"/>
      <c r="BO51" s="85"/>
      <c r="BP51" s="85"/>
      <c r="BQ51" s="85"/>
      <c r="BR51" s="85"/>
      <c r="BS51" s="192"/>
      <c r="BT51" s="85"/>
      <c r="BU51" s="192"/>
      <c r="BV51" s="85"/>
      <c r="BW51" s="192"/>
      <c r="BX51" s="96"/>
      <c r="BY51" s="192"/>
      <c r="BZ51" s="205"/>
      <c r="CA51" s="85"/>
      <c r="CB51" s="85"/>
      <c r="CC51" s="194"/>
      <c r="CD51" s="96"/>
    </row>
    <row r="52" customFormat="false" ht="3" hidden="false" customHeight="true" outlineLevel="0" collapsed="false">
      <c r="B52" s="77"/>
      <c r="C52" s="190"/>
      <c r="D52" s="85"/>
      <c r="E52" s="191"/>
      <c r="F52" s="85"/>
      <c r="G52" s="200"/>
      <c r="H52" s="85"/>
      <c r="I52" s="191"/>
      <c r="J52" s="85"/>
      <c r="K52" s="85"/>
      <c r="L52" s="85"/>
      <c r="M52" s="85"/>
      <c r="N52" s="192"/>
      <c r="O52" s="191"/>
      <c r="P52" s="192"/>
      <c r="Q52" s="191"/>
      <c r="R52" s="192"/>
      <c r="S52" s="201"/>
      <c r="T52" s="192"/>
      <c r="U52" s="202"/>
      <c r="V52" s="85"/>
      <c r="W52" s="191"/>
      <c r="X52" s="194"/>
      <c r="Y52" s="203"/>
      <c r="AD52" s="190"/>
      <c r="AE52" s="85"/>
      <c r="AF52" s="191"/>
      <c r="AG52" s="85"/>
      <c r="AH52" s="200"/>
      <c r="AI52" s="85"/>
      <c r="AJ52" s="191"/>
      <c r="AK52" s="85"/>
      <c r="AL52" s="85"/>
      <c r="AM52" s="85"/>
      <c r="AN52" s="85"/>
      <c r="AO52" s="192"/>
      <c r="AP52" s="191"/>
      <c r="AQ52" s="192"/>
      <c r="AR52" s="191"/>
      <c r="AS52" s="192"/>
      <c r="AT52" s="201"/>
      <c r="AU52" s="192"/>
      <c r="AV52" s="202"/>
      <c r="AW52" s="85"/>
      <c r="AX52" s="191"/>
      <c r="AY52" s="194"/>
      <c r="AZ52" s="203"/>
      <c r="BE52" s="196"/>
      <c r="BF52" s="85"/>
      <c r="BG52" s="85"/>
      <c r="BH52" s="85"/>
      <c r="BI52" s="85"/>
      <c r="BJ52" s="85"/>
      <c r="BK52" s="85"/>
      <c r="BL52" s="204"/>
      <c r="BM52" s="85"/>
      <c r="BN52" s="85"/>
      <c r="BO52" s="85"/>
      <c r="BP52" s="85"/>
      <c r="BQ52" s="85"/>
      <c r="BR52" s="85"/>
      <c r="BS52" s="192"/>
      <c r="BT52" s="85"/>
      <c r="BU52" s="192"/>
      <c r="BV52" s="85"/>
      <c r="BW52" s="192"/>
      <c r="BX52" s="96"/>
      <c r="BY52" s="192"/>
      <c r="BZ52" s="205"/>
      <c r="CA52" s="85"/>
      <c r="CB52" s="85"/>
      <c r="CC52" s="194"/>
      <c r="CD52" s="96"/>
    </row>
    <row r="53" customFormat="false" ht="3" hidden="false" customHeight="true" outlineLevel="0" collapsed="false">
      <c r="B53" s="77"/>
      <c r="C53" s="190"/>
      <c r="D53" s="85"/>
      <c r="E53" s="191"/>
      <c r="F53" s="85"/>
      <c r="G53" s="200"/>
      <c r="H53" s="85"/>
      <c r="I53" s="191"/>
      <c r="J53" s="85"/>
      <c r="K53" s="85"/>
      <c r="L53" s="85"/>
      <c r="M53" s="85"/>
      <c r="N53" s="85"/>
      <c r="O53" s="191"/>
      <c r="P53" s="85"/>
      <c r="Q53" s="191"/>
      <c r="R53" s="85"/>
      <c r="S53" s="201"/>
      <c r="T53" s="192"/>
      <c r="U53" s="192"/>
      <c r="V53" s="85"/>
      <c r="W53" s="191"/>
      <c r="X53" s="85"/>
      <c r="Y53" s="203"/>
      <c r="AD53" s="190"/>
      <c r="AE53" s="85"/>
      <c r="AF53" s="191"/>
      <c r="AG53" s="85"/>
      <c r="AH53" s="200"/>
      <c r="AI53" s="85"/>
      <c r="AJ53" s="191"/>
      <c r="AK53" s="85"/>
      <c r="AL53" s="85"/>
      <c r="AM53" s="85"/>
      <c r="AN53" s="85"/>
      <c r="AO53" s="85"/>
      <c r="AP53" s="191"/>
      <c r="AQ53" s="85"/>
      <c r="AR53" s="191"/>
      <c r="AS53" s="85"/>
      <c r="AT53" s="201"/>
      <c r="AU53" s="192"/>
      <c r="AV53" s="192"/>
      <c r="AW53" s="85"/>
      <c r="AX53" s="191"/>
      <c r="AY53" s="85"/>
      <c r="AZ53" s="203"/>
      <c r="BE53" s="196"/>
      <c r="BF53" s="85"/>
      <c r="BG53" s="85"/>
      <c r="BH53" s="85"/>
      <c r="BI53" s="85"/>
      <c r="BJ53" s="85"/>
      <c r="BK53" s="85"/>
      <c r="BL53" s="204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96"/>
      <c r="BY53" s="192"/>
      <c r="BZ53" s="192"/>
      <c r="CA53" s="85"/>
      <c r="CB53" s="85"/>
      <c r="CC53" s="85"/>
      <c r="CD53" s="96"/>
    </row>
    <row r="54" customFormat="false" ht="3" hidden="false" customHeight="true" outlineLevel="0" collapsed="false">
      <c r="B54" s="77"/>
      <c r="C54" s="190"/>
      <c r="D54" s="85"/>
      <c r="E54" s="191"/>
      <c r="F54" s="85"/>
      <c r="G54" s="200"/>
      <c r="H54" s="85"/>
      <c r="I54" s="191"/>
      <c r="J54" s="85"/>
      <c r="K54" s="85"/>
      <c r="L54" s="85"/>
      <c r="M54" s="85"/>
      <c r="N54" s="85"/>
      <c r="O54" s="191"/>
      <c r="P54" s="85"/>
      <c r="Q54" s="191"/>
      <c r="R54" s="85"/>
      <c r="S54" s="201"/>
      <c r="T54" s="192"/>
      <c r="U54" s="192"/>
      <c r="V54" s="85"/>
      <c r="W54" s="191"/>
      <c r="X54" s="85"/>
      <c r="Y54" s="203"/>
      <c r="AD54" s="190"/>
      <c r="AE54" s="85"/>
      <c r="AF54" s="191"/>
      <c r="AG54" s="85"/>
      <c r="AH54" s="200"/>
      <c r="AI54" s="85"/>
      <c r="AJ54" s="191"/>
      <c r="AK54" s="85"/>
      <c r="AL54" s="85"/>
      <c r="AM54" s="85"/>
      <c r="AN54" s="85"/>
      <c r="AO54" s="85"/>
      <c r="AP54" s="191"/>
      <c r="AQ54" s="85"/>
      <c r="AR54" s="191"/>
      <c r="AS54" s="85"/>
      <c r="AT54" s="201"/>
      <c r="AU54" s="192"/>
      <c r="AV54" s="192"/>
      <c r="AW54" s="85"/>
      <c r="AX54" s="191"/>
      <c r="AY54" s="85"/>
      <c r="AZ54" s="203"/>
      <c r="BE54" s="196"/>
      <c r="BF54" s="85"/>
      <c r="BG54" s="85"/>
      <c r="BH54" s="85"/>
      <c r="BI54" s="85"/>
      <c r="BJ54" s="85"/>
      <c r="BK54" s="85"/>
      <c r="BL54" s="204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96"/>
      <c r="BY54" s="192"/>
      <c r="BZ54" s="192"/>
      <c r="CA54" s="85"/>
      <c r="CB54" s="85"/>
      <c r="CC54" s="85"/>
      <c r="CD54" s="96"/>
    </row>
    <row r="55" customFormat="false" ht="3" hidden="false" customHeight="true" outlineLevel="0" collapsed="false">
      <c r="B55" s="77"/>
      <c r="C55" s="190"/>
      <c r="D55" s="85"/>
      <c r="E55" s="191"/>
      <c r="F55" s="85"/>
      <c r="G55" s="200"/>
      <c r="H55" s="85"/>
      <c r="I55" s="191"/>
      <c r="J55" s="85"/>
      <c r="K55" s="85"/>
      <c r="L55" s="85"/>
      <c r="M55" s="85"/>
      <c r="N55" s="192"/>
      <c r="O55" s="191"/>
      <c r="P55" s="192"/>
      <c r="Q55" s="191"/>
      <c r="R55" s="192"/>
      <c r="S55" s="201"/>
      <c r="T55" s="192"/>
      <c r="U55" s="192"/>
      <c r="V55" s="85"/>
      <c r="W55" s="191"/>
      <c r="X55" s="85"/>
      <c r="Y55" s="203"/>
      <c r="AD55" s="190"/>
      <c r="AE55" s="85"/>
      <c r="AF55" s="191"/>
      <c r="AG55" s="85"/>
      <c r="AH55" s="200"/>
      <c r="AI55" s="85"/>
      <c r="AJ55" s="191"/>
      <c r="AK55" s="85"/>
      <c r="AL55" s="85"/>
      <c r="AM55" s="85"/>
      <c r="AN55" s="85"/>
      <c r="AO55" s="192"/>
      <c r="AP55" s="191"/>
      <c r="AQ55" s="192"/>
      <c r="AR55" s="191"/>
      <c r="AS55" s="192"/>
      <c r="AT55" s="201"/>
      <c r="AU55" s="192"/>
      <c r="AV55" s="192"/>
      <c r="AW55" s="85"/>
      <c r="AX55" s="191"/>
      <c r="AY55" s="85"/>
      <c r="AZ55" s="203"/>
      <c r="BE55" s="196"/>
      <c r="BF55" s="85"/>
      <c r="BG55" s="85"/>
      <c r="BH55" s="85"/>
      <c r="BI55" s="85"/>
      <c r="BJ55" s="85"/>
      <c r="BK55" s="85"/>
      <c r="BL55" s="204"/>
      <c r="BM55" s="85"/>
      <c r="BN55" s="85"/>
      <c r="BO55" s="85"/>
      <c r="BP55" s="85"/>
      <c r="BQ55" s="85"/>
      <c r="BR55" s="85"/>
      <c r="BS55" s="192"/>
      <c r="BT55" s="85"/>
      <c r="BU55" s="192"/>
      <c r="BV55" s="85"/>
      <c r="BW55" s="192"/>
      <c r="BX55" s="96"/>
      <c r="BY55" s="192"/>
      <c r="BZ55" s="192"/>
      <c r="CA55" s="85"/>
      <c r="CB55" s="85"/>
      <c r="CC55" s="85"/>
      <c r="CD55" s="96"/>
    </row>
    <row r="56" customFormat="false" ht="0.75" hidden="false" customHeight="true" outlineLevel="0" collapsed="false">
      <c r="B56" s="77"/>
      <c r="C56" s="190"/>
      <c r="D56" s="192"/>
      <c r="E56" s="191"/>
      <c r="F56" s="85"/>
      <c r="G56" s="200"/>
      <c r="H56" s="85"/>
      <c r="I56" s="1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198"/>
      <c r="AD56" s="190"/>
      <c r="AE56" s="192"/>
      <c r="AF56" s="191"/>
      <c r="AG56" s="85"/>
      <c r="AH56" s="200"/>
      <c r="AI56" s="85"/>
      <c r="AJ56" s="191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198"/>
      <c r="BE56" s="196"/>
      <c r="BF56" s="192"/>
      <c r="BG56" s="85"/>
      <c r="BH56" s="85"/>
      <c r="BI56" s="85"/>
      <c r="BJ56" s="85"/>
      <c r="BK56" s="85"/>
      <c r="BL56" s="204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</row>
    <row r="57" customFormat="false" ht="3" hidden="true" customHeight="true" outlineLevel="0" collapsed="false">
      <c r="B57" s="77"/>
      <c r="C57" s="190"/>
      <c r="D57" s="192"/>
      <c r="E57" s="191"/>
      <c r="F57" s="85"/>
      <c r="G57" s="200"/>
      <c r="H57" s="85"/>
      <c r="I57" s="1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198"/>
      <c r="AD57" s="190"/>
      <c r="AE57" s="192"/>
      <c r="AF57" s="191"/>
      <c r="AG57" s="85"/>
      <c r="AH57" s="200"/>
      <c r="AI57" s="85"/>
      <c r="AJ57" s="191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198"/>
      <c r="BE57" s="196"/>
      <c r="BF57" s="192"/>
      <c r="BG57" s="85"/>
      <c r="BH57" s="85"/>
      <c r="BI57" s="85"/>
      <c r="BJ57" s="85"/>
      <c r="BK57" s="85"/>
      <c r="BL57" s="204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</row>
    <row r="58" customFormat="false" ht="3" hidden="false" customHeight="true" outlineLevel="0" collapsed="false">
      <c r="B58" s="77"/>
      <c r="C58" s="190"/>
      <c r="D58" s="85"/>
      <c r="E58" s="191"/>
      <c r="F58" s="85"/>
      <c r="G58" s="200"/>
      <c r="H58" s="85"/>
      <c r="I58" s="191"/>
      <c r="J58" s="85"/>
      <c r="K58" s="85"/>
      <c r="L58" s="85"/>
      <c r="M58" s="85"/>
      <c r="N58" s="192"/>
      <c r="O58" s="191" t="n">
        <v>1</v>
      </c>
      <c r="P58" s="192"/>
      <c r="Q58" s="191" t="s">
        <v>50</v>
      </c>
      <c r="R58" s="192"/>
      <c r="S58" s="201" t="n">
        <f aca="false">S50</f>
        <v>0</v>
      </c>
      <c r="T58" s="192"/>
      <c r="U58" s="202" t="n">
        <f aca="false">U50</f>
        <v>22</v>
      </c>
      <c r="V58" s="85"/>
      <c r="W58" s="191" t="s">
        <v>54</v>
      </c>
      <c r="X58" s="194"/>
      <c r="Y58" s="195" t="n">
        <v>1</v>
      </c>
      <c r="AD58" s="190"/>
      <c r="AE58" s="85"/>
      <c r="AF58" s="191"/>
      <c r="AG58" s="85"/>
      <c r="AH58" s="200"/>
      <c r="AI58" s="85"/>
      <c r="AJ58" s="191"/>
      <c r="AK58" s="85"/>
      <c r="AL58" s="85"/>
      <c r="AM58" s="85"/>
      <c r="AN58" s="85"/>
      <c r="AO58" s="192"/>
      <c r="AP58" s="191" t="n">
        <v>1</v>
      </c>
      <c r="AQ58" s="192"/>
      <c r="AR58" s="191" t="s">
        <v>50</v>
      </c>
      <c r="AS58" s="192"/>
      <c r="AT58" s="201" t="n">
        <f aca="false">AT50</f>
        <v>0</v>
      </c>
      <c r="AU58" s="192"/>
      <c r="AV58" s="202" t="n">
        <f aca="false">AV50</f>
        <v>22</v>
      </c>
      <c r="AW58" s="85"/>
      <c r="AX58" s="191" t="s">
        <v>54</v>
      </c>
      <c r="AY58" s="194"/>
      <c r="AZ58" s="195" t="n">
        <v>1</v>
      </c>
      <c r="BE58" s="196"/>
      <c r="BF58" s="85"/>
      <c r="BG58" s="85"/>
      <c r="BH58" s="85"/>
      <c r="BI58" s="85"/>
      <c r="BJ58" s="85"/>
      <c r="BK58" s="85"/>
      <c r="BL58" s="204"/>
      <c r="BM58" s="85"/>
      <c r="BN58" s="85"/>
      <c r="BO58" s="85"/>
      <c r="BP58" s="85"/>
      <c r="BQ58" s="85"/>
      <c r="BR58" s="85"/>
      <c r="BS58" s="192"/>
      <c r="BT58" s="85"/>
      <c r="BU58" s="192"/>
      <c r="BV58" s="85"/>
      <c r="BW58" s="192"/>
      <c r="BX58" s="96"/>
      <c r="BY58" s="192"/>
      <c r="BZ58" s="205"/>
      <c r="CA58" s="85"/>
      <c r="CB58" s="85"/>
      <c r="CC58" s="194"/>
      <c r="CD58" s="85"/>
    </row>
    <row r="59" customFormat="false" ht="3" hidden="false" customHeight="true" outlineLevel="0" collapsed="false">
      <c r="B59" s="77"/>
      <c r="C59" s="190"/>
      <c r="D59" s="85"/>
      <c r="E59" s="191"/>
      <c r="F59" s="85"/>
      <c r="G59" s="200"/>
      <c r="H59" s="85"/>
      <c r="I59" s="191"/>
      <c r="J59" s="85"/>
      <c r="K59" s="85"/>
      <c r="L59" s="85"/>
      <c r="M59" s="85"/>
      <c r="N59" s="192"/>
      <c r="O59" s="191"/>
      <c r="P59" s="192"/>
      <c r="Q59" s="191"/>
      <c r="R59" s="192"/>
      <c r="S59" s="201"/>
      <c r="T59" s="192"/>
      <c r="U59" s="202"/>
      <c r="V59" s="85"/>
      <c r="W59" s="191"/>
      <c r="X59" s="194"/>
      <c r="Y59" s="195"/>
      <c r="AD59" s="190"/>
      <c r="AE59" s="85"/>
      <c r="AF59" s="191"/>
      <c r="AG59" s="85"/>
      <c r="AH59" s="200"/>
      <c r="AI59" s="85"/>
      <c r="AJ59" s="191"/>
      <c r="AK59" s="85"/>
      <c r="AL59" s="85"/>
      <c r="AM59" s="85"/>
      <c r="AN59" s="85"/>
      <c r="AO59" s="192"/>
      <c r="AP59" s="191"/>
      <c r="AQ59" s="192"/>
      <c r="AR59" s="191"/>
      <c r="AS59" s="192"/>
      <c r="AT59" s="201"/>
      <c r="AU59" s="192"/>
      <c r="AV59" s="202"/>
      <c r="AW59" s="85"/>
      <c r="AX59" s="191"/>
      <c r="AY59" s="194"/>
      <c r="AZ59" s="195"/>
      <c r="BE59" s="196"/>
      <c r="BF59" s="85"/>
      <c r="BG59" s="85"/>
      <c r="BH59" s="85"/>
      <c r="BI59" s="85"/>
      <c r="BJ59" s="85"/>
      <c r="BK59" s="85"/>
      <c r="BL59" s="204"/>
      <c r="BM59" s="85"/>
      <c r="BN59" s="85"/>
      <c r="BO59" s="85"/>
      <c r="BP59" s="85"/>
      <c r="BQ59" s="85"/>
      <c r="BR59" s="85"/>
      <c r="BS59" s="192"/>
      <c r="BT59" s="85"/>
      <c r="BU59" s="192"/>
      <c r="BV59" s="85"/>
      <c r="BW59" s="192"/>
      <c r="BX59" s="96"/>
      <c r="BY59" s="192"/>
      <c r="BZ59" s="205"/>
      <c r="CA59" s="85"/>
      <c r="CB59" s="85"/>
      <c r="CC59" s="194"/>
      <c r="CD59" s="85"/>
    </row>
    <row r="60" customFormat="false" ht="3" hidden="false" customHeight="true" outlineLevel="0" collapsed="false">
      <c r="B60" s="77"/>
      <c r="C60" s="190"/>
      <c r="D60" s="85"/>
      <c r="E60" s="191"/>
      <c r="F60" s="85"/>
      <c r="G60" s="200"/>
      <c r="H60" s="85"/>
      <c r="I60" s="191"/>
      <c r="J60" s="85"/>
      <c r="K60" s="85"/>
      <c r="L60" s="85"/>
      <c r="M60" s="85"/>
      <c r="N60" s="192"/>
      <c r="O60" s="191"/>
      <c r="P60" s="192"/>
      <c r="Q60" s="191"/>
      <c r="R60" s="192"/>
      <c r="S60" s="201"/>
      <c r="T60" s="192"/>
      <c r="U60" s="202"/>
      <c r="V60" s="85"/>
      <c r="W60" s="191"/>
      <c r="X60" s="194"/>
      <c r="Y60" s="195"/>
      <c r="AD60" s="190"/>
      <c r="AE60" s="85"/>
      <c r="AF60" s="191"/>
      <c r="AG60" s="85"/>
      <c r="AH60" s="200"/>
      <c r="AI60" s="85"/>
      <c r="AJ60" s="191"/>
      <c r="AK60" s="85"/>
      <c r="AL60" s="85"/>
      <c r="AM60" s="85"/>
      <c r="AN60" s="85"/>
      <c r="AO60" s="192"/>
      <c r="AP60" s="191"/>
      <c r="AQ60" s="192"/>
      <c r="AR60" s="191"/>
      <c r="AS60" s="192"/>
      <c r="AT60" s="201"/>
      <c r="AU60" s="192"/>
      <c r="AV60" s="202"/>
      <c r="AW60" s="85"/>
      <c r="AX60" s="191"/>
      <c r="AY60" s="194"/>
      <c r="AZ60" s="195"/>
      <c r="BE60" s="196"/>
      <c r="BF60" s="85"/>
      <c r="BG60" s="85"/>
      <c r="BH60" s="85"/>
      <c r="BI60" s="85"/>
      <c r="BJ60" s="85"/>
      <c r="BK60" s="85"/>
      <c r="BL60" s="204"/>
      <c r="BM60" s="85"/>
      <c r="BN60" s="85"/>
      <c r="BO60" s="85"/>
      <c r="BP60" s="85"/>
      <c r="BQ60" s="85"/>
      <c r="BR60" s="85"/>
      <c r="BS60" s="192"/>
      <c r="BT60" s="85"/>
      <c r="BU60" s="192"/>
      <c r="BV60" s="85"/>
      <c r="BW60" s="192"/>
      <c r="BX60" s="96"/>
      <c r="BY60" s="192"/>
      <c r="BZ60" s="205"/>
      <c r="CA60" s="85"/>
      <c r="CB60" s="85"/>
      <c r="CC60" s="194"/>
      <c r="CD60" s="85"/>
    </row>
    <row r="61" customFormat="false" ht="3" hidden="false" customHeight="true" outlineLevel="0" collapsed="false">
      <c r="B61" s="77"/>
      <c r="C61" s="190"/>
      <c r="D61" s="85"/>
      <c r="E61" s="191"/>
      <c r="F61" s="85"/>
      <c r="G61" s="200"/>
      <c r="H61" s="85"/>
      <c r="I61" s="191"/>
      <c r="J61" s="85"/>
      <c r="K61" s="85"/>
      <c r="L61" s="85"/>
      <c r="M61" s="85"/>
      <c r="N61" s="85"/>
      <c r="O61" s="191"/>
      <c r="P61" s="85"/>
      <c r="Q61" s="191"/>
      <c r="R61" s="85"/>
      <c r="S61" s="201"/>
      <c r="T61" s="192"/>
      <c r="U61" s="192"/>
      <c r="V61" s="85"/>
      <c r="W61" s="191"/>
      <c r="X61" s="85"/>
      <c r="Y61" s="195"/>
      <c r="AD61" s="190"/>
      <c r="AE61" s="85"/>
      <c r="AF61" s="191"/>
      <c r="AG61" s="85"/>
      <c r="AH61" s="200"/>
      <c r="AI61" s="85"/>
      <c r="AJ61" s="191"/>
      <c r="AK61" s="85"/>
      <c r="AL61" s="85"/>
      <c r="AM61" s="85"/>
      <c r="AN61" s="85"/>
      <c r="AO61" s="85"/>
      <c r="AP61" s="191"/>
      <c r="AQ61" s="85"/>
      <c r="AR61" s="191"/>
      <c r="AS61" s="85"/>
      <c r="AT61" s="201"/>
      <c r="AU61" s="192"/>
      <c r="AV61" s="192"/>
      <c r="AW61" s="85"/>
      <c r="AX61" s="191"/>
      <c r="AY61" s="85"/>
      <c r="AZ61" s="195"/>
      <c r="BE61" s="196"/>
      <c r="BF61" s="85"/>
      <c r="BG61" s="85"/>
      <c r="BH61" s="85"/>
      <c r="BI61" s="85"/>
      <c r="BJ61" s="85"/>
      <c r="BK61" s="85"/>
      <c r="BL61" s="204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96"/>
      <c r="BY61" s="192"/>
      <c r="BZ61" s="192"/>
      <c r="CA61" s="85"/>
      <c r="CB61" s="85"/>
      <c r="CC61" s="85"/>
      <c r="CD61" s="85"/>
    </row>
    <row r="62" customFormat="false" ht="3" hidden="false" customHeight="true" outlineLevel="0" collapsed="false">
      <c r="B62" s="77"/>
      <c r="C62" s="190"/>
      <c r="D62" s="85"/>
      <c r="E62" s="191"/>
      <c r="F62" s="85"/>
      <c r="G62" s="200"/>
      <c r="H62" s="85"/>
      <c r="I62" s="191"/>
      <c r="J62" s="85"/>
      <c r="K62" s="85"/>
      <c r="L62" s="85"/>
      <c r="M62" s="85"/>
      <c r="N62" s="85"/>
      <c r="O62" s="191"/>
      <c r="P62" s="85"/>
      <c r="Q62" s="191"/>
      <c r="R62" s="85"/>
      <c r="S62" s="201"/>
      <c r="T62" s="192"/>
      <c r="U62" s="192"/>
      <c r="V62" s="85"/>
      <c r="W62" s="191"/>
      <c r="X62" s="85"/>
      <c r="Y62" s="195"/>
      <c r="AD62" s="190"/>
      <c r="AE62" s="85"/>
      <c r="AF62" s="191"/>
      <c r="AG62" s="85"/>
      <c r="AH62" s="200"/>
      <c r="AI62" s="85"/>
      <c r="AJ62" s="191"/>
      <c r="AK62" s="85"/>
      <c r="AL62" s="85"/>
      <c r="AM62" s="85"/>
      <c r="AN62" s="85"/>
      <c r="AO62" s="85"/>
      <c r="AP62" s="191"/>
      <c r="AQ62" s="85"/>
      <c r="AR62" s="191"/>
      <c r="AS62" s="85"/>
      <c r="AT62" s="201"/>
      <c r="AU62" s="192"/>
      <c r="AV62" s="192"/>
      <c r="AW62" s="85"/>
      <c r="AX62" s="191"/>
      <c r="AY62" s="85"/>
      <c r="AZ62" s="195"/>
      <c r="BE62" s="196"/>
      <c r="BF62" s="85"/>
      <c r="BG62" s="85"/>
      <c r="BH62" s="85"/>
      <c r="BI62" s="85"/>
      <c r="BJ62" s="85"/>
      <c r="BK62" s="85"/>
      <c r="BL62" s="204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96"/>
      <c r="BY62" s="192"/>
      <c r="BZ62" s="192"/>
      <c r="CA62" s="85"/>
      <c r="CB62" s="85"/>
      <c r="CC62" s="85"/>
      <c r="CD62" s="85"/>
    </row>
    <row r="63" customFormat="false" ht="3" hidden="false" customHeight="true" outlineLevel="0" collapsed="false">
      <c r="B63" s="77"/>
      <c r="C63" s="190"/>
      <c r="D63" s="85"/>
      <c r="E63" s="191"/>
      <c r="F63" s="85"/>
      <c r="G63" s="200"/>
      <c r="H63" s="85"/>
      <c r="I63" s="191"/>
      <c r="J63" s="85"/>
      <c r="K63" s="85"/>
      <c r="L63" s="85"/>
      <c r="M63" s="85"/>
      <c r="N63" s="192"/>
      <c r="O63" s="191"/>
      <c r="P63" s="192"/>
      <c r="Q63" s="191"/>
      <c r="R63" s="192"/>
      <c r="S63" s="201"/>
      <c r="T63" s="192"/>
      <c r="U63" s="192"/>
      <c r="V63" s="85"/>
      <c r="W63" s="191"/>
      <c r="X63" s="85"/>
      <c r="Y63" s="195"/>
      <c r="AD63" s="190"/>
      <c r="AE63" s="85"/>
      <c r="AF63" s="191"/>
      <c r="AG63" s="85"/>
      <c r="AH63" s="200"/>
      <c r="AI63" s="85"/>
      <c r="AJ63" s="191"/>
      <c r="AK63" s="85"/>
      <c r="AL63" s="85"/>
      <c r="AM63" s="85"/>
      <c r="AN63" s="85"/>
      <c r="AO63" s="192"/>
      <c r="AP63" s="191"/>
      <c r="AQ63" s="192"/>
      <c r="AR63" s="191"/>
      <c r="AS63" s="192"/>
      <c r="AT63" s="201"/>
      <c r="AU63" s="192"/>
      <c r="AV63" s="192"/>
      <c r="AW63" s="85"/>
      <c r="AX63" s="191"/>
      <c r="AY63" s="85"/>
      <c r="AZ63" s="195"/>
      <c r="BE63" s="196"/>
      <c r="BF63" s="85"/>
      <c r="BG63" s="85"/>
      <c r="BH63" s="85"/>
      <c r="BI63" s="85"/>
      <c r="BJ63" s="85"/>
      <c r="BK63" s="85"/>
      <c r="BL63" s="204"/>
      <c r="BM63" s="85"/>
      <c r="BN63" s="85"/>
      <c r="BO63" s="85"/>
      <c r="BP63" s="85"/>
      <c r="BQ63" s="85"/>
      <c r="BR63" s="85"/>
      <c r="BS63" s="192"/>
      <c r="BT63" s="85"/>
      <c r="BU63" s="192"/>
      <c r="BV63" s="85"/>
      <c r="BW63" s="192"/>
      <c r="BX63" s="96"/>
      <c r="BY63" s="192"/>
      <c r="BZ63" s="192"/>
      <c r="CA63" s="85"/>
      <c r="CB63" s="85"/>
      <c r="CC63" s="85"/>
      <c r="CD63" s="85"/>
    </row>
    <row r="64" customFormat="false" ht="3" hidden="true" customHeight="true" outlineLevel="0" collapsed="false">
      <c r="C64" s="190"/>
      <c r="D64" s="85"/>
      <c r="E64" s="191"/>
      <c r="F64" s="85"/>
      <c r="G64" s="200"/>
      <c r="H64" s="85"/>
      <c r="I64" s="1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198"/>
      <c r="AD64" s="190"/>
      <c r="AE64" s="85"/>
      <c r="AF64" s="191"/>
      <c r="AG64" s="85"/>
      <c r="AH64" s="200"/>
      <c r="AI64" s="85"/>
      <c r="AJ64" s="191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198"/>
      <c r="BE64" s="196"/>
      <c r="BF64" s="85"/>
      <c r="BG64" s="85"/>
      <c r="BH64" s="85"/>
      <c r="BI64" s="85"/>
      <c r="BJ64" s="85"/>
      <c r="BK64" s="85"/>
      <c r="BL64" s="204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</row>
    <row r="65" customFormat="false" ht="9" hidden="true" customHeight="true" outlineLevel="0" collapsed="false">
      <c r="C65" s="172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198"/>
      <c r="AD65" s="172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198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</row>
    <row r="66" customFormat="false" ht="3" hidden="true" customHeight="true" outlineLevel="0" collapsed="false">
      <c r="B66" s="77"/>
      <c r="C66" s="190" t="s">
        <v>55</v>
      </c>
      <c r="D66" s="85"/>
      <c r="E66" s="191" t="s">
        <v>47</v>
      </c>
      <c r="F66" s="85"/>
      <c r="G66" s="200" t="n">
        <f aca="false">G50</f>
        <v>1897.33</v>
      </c>
      <c r="H66" s="85"/>
      <c r="I66" s="191" t="s">
        <v>49</v>
      </c>
      <c r="J66" s="85"/>
      <c r="K66" s="85"/>
      <c r="L66" s="85"/>
      <c r="M66" s="85"/>
      <c r="N66" s="192"/>
      <c r="O66" s="206" t="n">
        <f aca="false">O50+S50</f>
        <v>1</v>
      </c>
      <c r="P66" s="206"/>
      <c r="Q66" s="206"/>
      <c r="R66" s="206"/>
      <c r="S66" s="206"/>
      <c r="T66" s="192"/>
      <c r="U66" s="202" t="n">
        <f aca="false">U50</f>
        <v>22</v>
      </c>
      <c r="V66" s="85"/>
      <c r="W66" s="191" t="s">
        <v>49</v>
      </c>
      <c r="X66" s="194"/>
      <c r="Y66" s="207" t="n">
        <f aca="false">Y50</f>
        <v>0</v>
      </c>
      <c r="AD66" s="190" t="s">
        <v>55</v>
      </c>
      <c r="AE66" s="85"/>
      <c r="AF66" s="191" t="s">
        <v>47</v>
      </c>
      <c r="AG66" s="85"/>
      <c r="AH66" s="200" t="n">
        <f aca="false">AH50</f>
        <v>1857.33</v>
      </c>
      <c r="AI66" s="85"/>
      <c r="AJ66" s="191" t="s">
        <v>49</v>
      </c>
      <c r="AK66" s="85"/>
      <c r="AL66" s="85"/>
      <c r="AM66" s="85"/>
      <c r="AN66" s="85"/>
      <c r="AO66" s="192"/>
      <c r="AP66" s="206" t="n">
        <f aca="false">AP50+AT50</f>
        <v>1</v>
      </c>
      <c r="AQ66" s="206"/>
      <c r="AR66" s="206"/>
      <c r="AS66" s="206"/>
      <c r="AT66" s="206"/>
      <c r="AU66" s="192"/>
      <c r="AV66" s="202" t="n">
        <f aca="false">AV50</f>
        <v>22</v>
      </c>
      <c r="AW66" s="85"/>
      <c r="AX66" s="191" t="s">
        <v>49</v>
      </c>
      <c r="AY66" s="194"/>
      <c r="AZ66" s="207" t="n">
        <f aca="false">AZ50</f>
        <v>0</v>
      </c>
      <c r="BE66" s="196"/>
      <c r="BF66" s="85"/>
      <c r="BG66" s="85"/>
      <c r="BH66" s="85"/>
      <c r="BI66" s="85"/>
      <c r="BJ66" s="85"/>
      <c r="BK66" s="85"/>
      <c r="BL66" s="204"/>
      <c r="BM66" s="85"/>
      <c r="BN66" s="85"/>
      <c r="BO66" s="85"/>
      <c r="BP66" s="85"/>
      <c r="BQ66" s="85"/>
      <c r="BR66" s="85"/>
      <c r="BS66" s="192"/>
      <c r="BT66" s="208"/>
      <c r="BU66" s="208"/>
      <c r="BV66" s="208"/>
      <c r="BW66" s="208"/>
      <c r="BX66" s="208"/>
      <c r="BY66" s="192"/>
      <c r="BZ66" s="205"/>
      <c r="CA66" s="85"/>
      <c r="CB66" s="85"/>
      <c r="CC66" s="194"/>
      <c r="CD66" s="96"/>
    </row>
    <row r="67" customFormat="false" ht="3" hidden="true" customHeight="true" outlineLevel="0" collapsed="false">
      <c r="B67" s="77"/>
      <c r="C67" s="190"/>
      <c r="D67" s="85"/>
      <c r="E67" s="191"/>
      <c r="F67" s="85"/>
      <c r="G67" s="200"/>
      <c r="H67" s="85"/>
      <c r="I67" s="191"/>
      <c r="J67" s="85"/>
      <c r="K67" s="85"/>
      <c r="L67" s="85"/>
      <c r="M67" s="85"/>
      <c r="N67" s="192"/>
      <c r="O67" s="206"/>
      <c r="P67" s="206"/>
      <c r="Q67" s="206"/>
      <c r="R67" s="206"/>
      <c r="S67" s="206"/>
      <c r="T67" s="192"/>
      <c r="U67" s="202"/>
      <c r="V67" s="85"/>
      <c r="W67" s="191"/>
      <c r="X67" s="194"/>
      <c r="Y67" s="207"/>
      <c r="AD67" s="190"/>
      <c r="AE67" s="85"/>
      <c r="AF67" s="191"/>
      <c r="AG67" s="85"/>
      <c r="AH67" s="200"/>
      <c r="AI67" s="85"/>
      <c r="AJ67" s="191"/>
      <c r="AK67" s="85"/>
      <c r="AL67" s="85"/>
      <c r="AM67" s="85"/>
      <c r="AN67" s="85"/>
      <c r="AO67" s="192"/>
      <c r="AP67" s="206"/>
      <c r="AQ67" s="206"/>
      <c r="AR67" s="206"/>
      <c r="AS67" s="206"/>
      <c r="AT67" s="206"/>
      <c r="AU67" s="192"/>
      <c r="AV67" s="202"/>
      <c r="AW67" s="85"/>
      <c r="AX67" s="191"/>
      <c r="AY67" s="194"/>
      <c r="AZ67" s="207"/>
      <c r="BE67" s="196"/>
      <c r="BF67" s="85"/>
      <c r="BG67" s="85"/>
      <c r="BH67" s="85"/>
      <c r="BI67" s="85"/>
      <c r="BJ67" s="85"/>
      <c r="BK67" s="85"/>
      <c r="BL67" s="204"/>
      <c r="BM67" s="85"/>
      <c r="BN67" s="85"/>
      <c r="BO67" s="85"/>
      <c r="BP67" s="85"/>
      <c r="BQ67" s="85"/>
      <c r="BR67" s="85"/>
      <c r="BS67" s="192"/>
      <c r="BT67" s="208"/>
      <c r="BU67" s="208"/>
      <c r="BV67" s="208"/>
      <c r="BW67" s="208"/>
      <c r="BX67" s="208"/>
      <c r="BY67" s="192"/>
      <c r="BZ67" s="205"/>
      <c r="CA67" s="85"/>
      <c r="CB67" s="85"/>
      <c r="CC67" s="194"/>
      <c r="CD67" s="96"/>
    </row>
    <row r="68" customFormat="false" ht="3" hidden="true" customHeight="true" outlineLevel="0" collapsed="false">
      <c r="B68" s="77"/>
      <c r="C68" s="190"/>
      <c r="D68" s="85"/>
      <c r="E68" s="191"/>
      <c r="F68" s="85"/>
      <c r="G68" s="200"/>
      <c r="H68" s="85"/>
      <c r="I68" s="191"/>
      <c r="J68" s="85"/>
      <c r="K68" s="85"/>
      <c r="L68" s="85"/>
      <c r="M68" s="85"/>
      <c r="N68" s="192"/>
      <c r="O68" s="206"/>
      <c r="P68" s="206"/>
      <c r="Q68" s="206"/>
      <c r="R68" s="206"/>
      <c r="S68" s="206"/>
      <c r="T68" s="192"/>
      <c r="U68" s="202"/>
      <c r="V68" s="85"/>
      <c r="W68" s="191"/>
      <c r="X68" s="194"/>
      <c r="Y68" s="207"/>
      <c r="AD68" s="190"/>
      <c r="AE68" s="85"/>
      <c r="AF68" s="191"/>
      <c r="AG68" s="85"/>
      <c r="AH68" s="200"/>
      <c r="AI68" s="85"/>
      <c r="AJ68" s="191"/>
      <c r="AK68" s="85"/>
      <c r="AL68" s="85"/>
      <c r="AM68" s="85"/>
      <c r="AN68" s="85"/>
      <c r="AO68" s="192"/>
      <c r="AP68" s="206"/>
      <c r="AQ68" s="206"/>
      <c r="AR68" s="206"/>
      <c r="AS68" s="206"/>
      <c r="AT68" s="206"/>
      <c r="AU68" s="192"/>
      <c r="AV68" s="202"/>
      <c r="AW68" s="85"/>
      <c r="AX68" s="191"/>
      <c r="AY68" s="194"/>
      <c r="AZ68" s="207"/>
      <c r="BE68" s="196"/>
      <c r="BF68" s="85"/>
      <c r="BG68" s="85"/>
      <c r="BH68" s="85"/>
      <c r="BI68" s="85"/>
      <c r="BJ68" s="85"/>
      <c r="BK68" s="85"/>
      <c r="BL68" s="204"/>
      <c r="BM68" s="85"/>
      <c r="BN68" s="85"/>
      <c r="BO68" s="85"/>
      <c r="BP68" s="85"/>
      <c r="BQ68" s="85"/>
      <c r="BR68" s="85"/>
      <c r="BS68" s="192"/>
      <c r="BT68" s="208"/>
      <c r="BU68" s="208"/>
      <c r="BV68" s="208"/>
      <c r="BW68" s="208"/>
      <c r="BX68" s="208"/>
      <c r="BY68" s="192"/>
      <c r="BZ68" s="205"/>
      <c r="CA68" s="85"/>
      <c r="CB68" s="85"/>
      <c r="CC68" s="194"/>
      <c r="CD68" s="96"/>
    </row>
    <row r="69" customFormat="false" ht="3" hidden="true" customHeight="true" outlineLevel="0" collapsed="false">
      <c r="B69" s="77"/>
      <c r="C69" s="190"/>
      <c r="D69" s="85"/>
      <c r="E69" s="191"/>
      <c r="F69" s="85"/>
      <c r="G69" s="200"/>
      <c r="H69" s="85"/>
      <c r="I69" s="191"/>
      <c r="J69" s="85"/>
      <c r="K69" s="85"/>
      <c r="L69" s="85"/>
      <c r="M69" s="85"/>
      <c r="N69" s="85"/>
      <c r="O69" s="206"/>
      <c r="P69" s="206"/>
      <c r="Q69" s="206"/>
      <c r="R69" s="206"/>
      <c r="S69" s="206"/>
      <c r="T69" s="192"/>
      <c r="U69" s="192"/>
      <c r="V69" s="85"/>
      <c r="W69" s="191"/>
      <c r="X69" s="85"/>
      <c r="Y69" s="207"/>
      <c r="AD69" s="190"/>
      <c r="AE69" s="85"/>
      <c r="AF69" s="191"/>
      <c r="AG69" s="85"/>
      <c r="AH69" s="200"/>
      <c r="AI69" s="85"/>
      <c r="AJ69" s="191"/>
      <c r="AK69" s="85"/>
      <c r="AL69" s="85"/>
      <c r="AM69" s="85"/>
      <c r="AN69" s="85"/>
      <c r="AO69" s="85"/>
      <c r="AP69" s="206"/>
      <c r="AQ69" s="206"/>
      <c r="AR69" s="206"/>
      <c r="AS69" s="206"/>
      <c r="AT69" s="206"/>
      <c r="AU69" s="192"/>
      <c r="AV69" s="192"/>
      <c r="AW69" s="85"/>
      <c r="AX69" s="191"/>
      <c r="AY69" s="85"/>
      <c r="AZ69" s="207"/>
      <c r="BE69" s="196"/>
      <c r="BF69" s="85"/>
      <c r="BG69" s="85"/>
      <c r="BH69" s="85"/>
      <c r="BI69" s="85"/>
      <c r="BJ69" s="85"/>
      <c r="BK69" s="85"/>
      <c r="BL69" s="204"/>
      <c r="BM69" s="85"/>
      <c r="BN69" s="85"/>
      <c r="BO69" s="85"/>
      <c r="BP69" s="85"/>
      <c r="BQ69" s="85"/>
      <c r="BR69" s="85"/>
      <c r="BS69" s="85"/>
      <c r="BT69" s="208"/>
      <c r="BU69" s="208"/>
      <c r="BV69" s="208"/>
      <c r="BW69" s="208"/>
      <c r="BX69" s="208"/>
      <c r="BY69" s="192"/>
      <c r="BZ69" s="192"/>
      <c r="CA69" s="85"/>
      <c r="CB69" s="85"/>
      <c r="CC69" s="85"/>
      <c r="CD69" s="96"/>
    </row>
    <row r="70" customFormat="false" ht="3" hidden="true" customHeight="true" outlineLevel="0" collapsed="false">
      <c r="B70" s="77"/>
      <c r="C70" s="190"/>
      <c r="D70" s="85"/>
      <c r="E70" s="191"/>
      <c r="F70" s="85"/>
      <c r="G70" s="200"/>
      <c r="H70" s="85"/>
      <c r="I70" s="191"/>
      <c r="J70" s="85"/>
      <c r="K70" s="85"/>
      <c r="L70" s="85"/>
      <c r="M70" s="85"/>
      <c r="N70" s="85"/>
      <c r="O70" s="206"/>
      <c r="P70" s="206"/>
      <c r="Q70" s="206"/>
      <c r="R70" s="206"/>
      <c r="S70" s="206"/>
      <c r="T70" s="192"/>
      <c r="U70" s="192"/>
      <c r="V70" s="85"/>
      <c r="W70" s="191"/>
      <c r="X70" s="85"/>
      <c r="Y70" s="207"/>
      <c r="AD70" s="190"/>
      <c r="AE70" s="85"/>
      <c r="AF70" s="191"/>
      <c r="AG70" s="85"/>
      <c r="AH70" s="200"/>
      <c r="AI70" s="85"/>
      <c r="AJ70" s="191"/>
      <c r="AK70" s="85"/>
      <c r="AL70" s="85"/>
      <c r="AM70" s="85"/>
      <c r="AN70" s="85"/>
      <c r="AO70" s="85"/>
      <c r="AP70" s="206"/>
      <c r="AQ70" s="206"/>
      <c r="AR70" s="206"/>
      <c r="AS70" s="206"/>
      <c r="AT70" s="206"/>
      <c r="AU70" s="192"/>
      <c r="AV70" s="192"/>
      <c r="AW70" s="85"/>
      <c r="AX70" s="191"/>
      <c r="AY70" s="85"/>
      <c r="AZ70" s="207"/>
      <c r="BE70" s="196"/>
      <c r="BF70" s="85"/>
      <c r="BG70" s="85"/>
      <c r="BH70" s="85"/>
      <c r="BI70" s="85"/>
      <c r="BJ70" s="85"/>
      <c r="BK70" s="85"/>
      <c r="BL70" s="204"/>
      <c r="BM70" s="85"/>
      <c r="BN70" s="85"/>
      <c r="BO70" s="85"/>
      <c r="BP70" s="85"/>
      <c r="BQ70" s="85"/>
      <c r="BR70" s="85"/>
      <c r="BS70" s="85"/>
      <c r="BT70" s="208"/>
      <c r="BU70" s="208"/>
      <c r="BV70" s="208"/>
      <c r="BW70" s="208"/>
      <c r="BX70" s="208"/>
      <c r="BY70" s="192"/>
      <c r="BZ70" s="192"/>
      <c r="CA70" s="85"/>
      <c r="CB70" s="85"/>
      <c r="CC70" s="85"/>
      <c r="CD70" s="96"/>
    </row>
    <row r="71" customFormat="false" ht="3" hidden="true" customHeight="true" outlineLevel="0" collapsed="false">
      <c r="B71" s="77"/>
      <c r="C71" s="190"/>
      <c r="D71" s="85"/>
      <c r="E71" s="191"/>
      <c r="F71" s="85"/>
      <c r="G71" s="200"/>
      <c r="H71" s="85"/>
      <c r="I71" s="191"/>
      <c r="J71" s="85"/>
      <c r="K71" s="85"/>
      <c r="L71" s="85"/>
      <c r="M71" s="85"/>
      <c r="N71" s="192"/>
      <c r="O71" s="206"/>
      <c r="P71" s="206"/>
      <c r="Q71" s="206"/>
      <c r="R71" s="206"/>
      <c r="S71" s="206"/>
      <c r="T71" s="192"/>
      <c r="U71" s="192"/>
      <c r="V71" s="85"/>
      <c r="W71" s="191"/>
      <c r="X71" s="85"/>
      <c r="Y71" s="207"/>
      <c r="AD71" s="190"/>
      <c r="AE71" s="85"/>
      <c r="AF71" s="191"/>
      <c r="AG71" s="85"/>
      <c r="AH71" s="200"/>
      <c r="AI71" s="85"/>
      <c r="AJ71" s="191"/>
      <c r="AK71" s="85"/>
      <c r="AL71" s="85"/>
      <c r="AM71" s="85"/>
      <c r="AN71" s="85"/>
      <c r="AO71" s="192"/>
      <c r="AP71" s="206"/>
      <c r="AQ71" s="206"/>
      <c r="AR71" s="206"/>
      <c r="AS71" s="206"/>
      <c r="AT71" s="206"/>
      <c r="AU71" s="192"/>
      <c r="AV71" s="192"/>
      <c r="AW71" s="85"/>
      <c r="AX71" s="191"/>
      <c r="AY71" s="85"/>
      <c r="AZ71" s="207"/>
      <c r="BE71" s="196"/>
      <c r="BF71" s="85"/>
      <c r="BG71" s="85"/>
      <c r="BH71" s="85"/>
      <c r="BI71" s="85"/>
      <c r="BJ71" s="85"/>
      <c r="BK71" s="85"/>
      <c r="BL71" s="204"/>
      <c r="BM71" s="85"/>
      <c r="BN71" s="85"/>
      <c r="BO71" s="85"/>
      <c r="BP71" s="85"/>
      <c r="BQ71" s="85"/>
      <c r="BR71" s="85"/>
      <c r="BS71" s="192"/>
      <c r="BT71" s="208"/>
      <c r="BU71" s="208"/>
      <c r="BV71" s="208"/>
      <c r="BW71" s="208"/>
      <c r="BX71" s="208"/>
      <c r="BY71" s="192"/>
      <c r="BZ71" s="192"/>
      <c r="CA71" s="85"/>
      <c r="CB71" s="85"/>
      <c r="CC71" s="85"/>
      <c r="CD71" s="96"/>
    </row>
    <row r="72" customFormat="false" ht="3" hidden="true" customHeight="true" outlineLevel="0" collapsed="false">
      <c r="B72" s="77"/>
      <c r="C72" s="190"/>
      <c r="D72" s="192"/>
      <c r="E72" s="191"/>
      <c r="F72" s="85"/>
      <c r="G72" s="200"/>
      <c r="H72" s="85"/>
      <c r="I72" s="1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198"/>
      <c r="AD72" s="190"/>
      <c r="AE72" s="192"/>
      <c r="AF72" s="191"/>
      <c r="AG72" s="85"/>
      <c r="AH72" s="200"/>
      <c r="AI72" s="85"/>
      <c r="AJ72" s="191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198"/>
      <c r="BE72" s="196"/>
      <c r="BF72" s="192"/>
      <c r="BG72" s="85"/>
      <c r="BH72" s="85"/>
      <c r="BI72" s="85"/>
      <c r="BJ72" s="85"/>
      <c r="BK72" s="85"/>
      <c r="BL72" s="204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</row>
    <row r="73" customFormat="false" ht="3" hidden="true" customHeight="true" outlineLevel="0" collapsed="false">
      <c r="B73" s="77"/>
      <c r="C73" s="190"/>
      <c r="D73" s="192"/>
      <c r="E73" s="191"/>
      <c r="F73" s="85"/>
      <c r="G73" s="200"/>
      <c r="H73" s="85"/>
      <c r="I73" s="1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198"/>
      <c r="AD73" s="190"/>
      <c r="AE73" s="192"/>
      <c r="AF73" s="191"/>
      <c r="AG73" s="85"/>
      <c r="AH73" s="200"/>
      <c r="AI73" s="85"/>
      <c r="AJ73" s="191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198"/>
      <c r="BE73" s="196"/>
      <c r="BF73" s="192"/>
      <c r="BG73" s="85"/>
      <c r="BH73" s="85"/>
      <c r="BI73" s="85"/>
      <c r="BJ73" s="85"/>
      <c r="BK73" s="85"/>
      <c r="BL73" s="204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</row>
    <row r="74" customFormat="false" ht="3" hidden="true" customHeight="true" outlineLevel="0" collapsed="false">
      <c r="B74" s="77"/>
      <c r="C74" s="190"/>
      <c r="D74" s="85"/>
      <c r="E74" s="191"/>
      <c r="F74" s="85"/>
      <c r="G74" s="200"/>
      <c r="H74" s="85"/>
      <c r="I74" s="191"/>
      <c r="J74" s="85"/>
      <c r="K74" s="85"/>
      <c r="L74" s="85"/>
      <c r="M74" s="85"/>
      <c r="N74" s="192"/>
      <c r="O74" s="206" t="n">
        <f aca="false">O66</f>
        <v>1</v>
      </c>
      <c r="P74" s="206"/>
      <c r="Q74" s="206"/>
      <c r="R74" s="206"/>
      <c r="S74" s="206"/>
      <c r="T74" s="192"/>
      <c r="U74" s="202" t="n">
        <f aca="false">U50</f>
        <v>22</v>
      </c>
      <c r="V74" s="85"/>
      <c r="W74" s="191" t="s">
        <v>54</v>
      </c>
      <c r="X74" s="194"/>
      <c r="Y74" s="195" t="n">
        <v>1</v>
      </c>
      <c r="AD74" s="190"/>
      <c r="AE74" s="85"/>
      <c r="AF74" s="191"/>
      <c r="AG74" s="85"/>
      <c r="AH74" s="200"/>
      <c r="AI74" s="85"/>
      <c r="AJ74" s="191"/>
      <c r="AK74" s="85"/>
      <c r="AL74" s="85"/>
      <c r="AM74" s="85"/>
      <c r="AN74" s="85"/>
      <c r="AO74" s="192"/>
      <c r="AP74" s="206" t="n">
        <f aca="false">AP66</f>
        <v>1</v>
      </c>
      <c r="AQ74" s="206"/>
      <c r="AR74" s="206"/>
      <c r="AS74" s="206"/>
      <c r="AT74" s="206"/>
      <c r="AU74" s="192"/>
      <c r="AV74" s="202" t="n">
        <f aca="false">AV50</f>
        <v>22</v>
      </c>
      <c r="AW74" s="85"/>
      <c r="AX74" s="191" t="s">
        <v>54</v>
      </c>
      <c r="AY74" s="194"/>
      <c r="AZ74" s="195" t="n">
        <v>1</v>
      </c>
      <c r="BE74" s="196"/>
      <c r="BF74" s="85"/>
      <c r="BG74" s="85"/>
      <c r="BH74" s="85"/>
      <c r="BI74" s="85"/>
      <c r="BJ74" s="85"/>
      <c r="BK74" s="85"/>
      <c r="BL74" s="204"/>
      <c r="BM74" s="85"/>
      <c r="BN74" s="85"/>
      <c r="BO74" s="85"/>
      <c r="BP74" s="85"/>
      <c r="BQ74" s="85"/>
      <c r="BR74" s="85"/>
      <c r="BS74" s="192"/>
      <c r="BT74" s="208"/>
      <c r="BU74" s="208"/>
      <c r="BV74" s="208"/>
      <c r="BW74" s="208"/>
      <c r="BX74" s="208"/>
      <c r="BY74" s="192"/>
      <c r="BZ74" s="205"/>
      <c r="CA74" s="85"/>
      <c r="CB74" s="85"/>
      <c r="CC74" s="194"/>
      <c r="CD74" s="85"/>
    </row>
    <row r="75" customFormat="false" ht="3" hidden="true" customHeight="true" outlineLevel="0" collapsed="false">
      <c r="B75" s="77"/>
      <c r="C75" s="190"/>
      <c r="D75" s="85"/>
      <c r="E75" s="191"/>
      <c r="F75" s="85"/>
      <c r="G75" s="200"/>
      <c r="H75" s="85"/>
      <c r="I75" s="191"/>
      <c r="J75" s="85"/>
      <c r="K75" s="85"/>
      <c r="L75" s="85"/>
      <c r="M75" s="85"/>
      <c r="N75" s="192"/>
      <c r="O75" s="206"/>
      <c r="P75" s="206"/>
      <c r="Q75" s="206"/>
      <c r="R75" s="206"/>
      <c r="S75" s="206"/>
      <c r="T75" s="192"/>
      <c r="U75" s="202"/>
      <c r="V75" s="85"/>
      <c r="W75" s="191"/>
      <c r="X75" s="194"/>
      <c r="Y75" s="195"/>
      <c r="AD75" s="190"/>
      <c r="AE75" s="85"/>
      <c r="AF75" s="191"/>
      <c r="AG75" s="85"/>
      <c r="AH75" s="200"/>
      <c r="AI75" s="85"/>
      <c r="AJ75" s="191"/>
      <c r="AK75" s="85"/>
      <c r="AL75" s="85"/>
      <c r="AM75" s="85"/>
      <c r="AN75" s="85"/>
      <c r="AO75" s="192"/>
      <c r="AP75" s="206"/>
      <c r="AQ75" s="206"/>
      <c r="AR75" s="206"/>
      <c r="AS75" s="206"/>
      <c r="AT75" s="206"/>
      <c r="AU75" s="192"/>
      <c r="AV75" s="202"/>
      <c r="AW75" s="85"/>
      <c r="AX75" s="191"/>
      <c r="AY75" s="194"/>
      <c r="AZ75" s="195"/>
      <c r="BE75" s="196"/>
      <c r="BF75" s="85"/>
      <c r="BG75" s="85"/>
      <c r="BH75" s="85"/>
      <c r="BI75" s="85"/>
      <c r="BJ75" s="85"/>
      <c r="BK75" s="85"/>
      <c r="BL75" s="204"/>
      <c r="BM75" s="85"/>
      <c r="BN75" s="85"/>
      <c r="BO75" s="85"/>
      <c r="BP75" s="85"/>
      <c r="BQ75" s="85"/>
      <c r="BR75" s="85"/>
      <c r="BS75" s="192"/>
      <c r="BT75" s="208"/>
      <c r="BU75" s="208"/>
      <c r="BV75" s="208"/>
      <c r="BW75" s="208"/>
      <c r="BX75" s="208"/>
      <c r="BY75" s="192"/>
      <c r="BZ75" s="205"/>
      <c r="CA75" s="85"/>
      <c r="CB75" s="85"/>
      <c r="CC75" s="194"/>
      <c r="CD75" s="85"/>
    </row>
    <row r="76" customFormat="false" ht="3" hidden="true" customHeight="true" outlineLevel="0" collapsed="false">
      <c r="B76" s="77"/>
      <c r="C76" s="190"/>
      <c r="D76" s="85"/>
      <c r="E76" s="191"/>
      <c r="F76" s="85"/>
      <c r="G76" s="200"/>
      <c r="H76" s="85"/>
      <c r="I76" s="191"/>
      <c r="J76" s="85"/>
      <c r="K76" s="85"/>
      <c r="L76" s="85"/>
      <c r="M76" s="85"/>
      <c r="N76" s="192"/>
      <c r="O76" s="206"/>
      <c r="P76" s="206"/>
      <c r="Q76" s="206"/>
      <c r="R76" s="206"/>
      <c r="S76" s="206"/>
      <c r="T76" s="192"/>
      <c r="U76" s="202"/>
      <c r="V76" s="85"/>
      <c r="W76" s="191"/>
      <c r="X76" s="194"/>
      <c r="Y76" s="195"/>
      <c r="AD76" s="190"/>
      <c r="AE76" s="85"/>
      <c r="AF76" s="191"/>
      <c r="AG76" s="85"/>
      <c r="AH76" s="200"/>
      <c r="AI76" s="85"/>
      <c r="AJ76" s="191"/>
      <c r="AK76" s="85"/>
      <c r="AL76" s="85"/>
      <c r="AM76" s="85"/>
      <c r="AN76" s="85"/>
      <c r="AO76" s="192"/>
      <c r="AP76" s="206"/>
      <c r="AQ76" s="206"/>
      <c r="AR76" s="206"/>
      <c r="AS76" s="206"/>
      <c r="AT76" s="206"/>
      <c r="AU76" s="192"/>
      <c r="AV76" s="202"/>
      <c r="AW76" s="85"/>
      <c r="AX76" s="191"/>
      <c r="AY76" s="194"/>
      <c r="AZ76" s="195"/>
      <c r="BE76" s="196"/>
      <c r="BF76" s="85"/>
      <c r="BG76" s="85"/>
      <c r="BH76" s="85"/>
      <c r="BI76" s="85"/>
      <c r="BJ76" s="85"/>
      <c r="BK76" s="85"/>
      <c r="BL76" s="204"/>
      <c r="BM76" s="85"/>
      <c r="BN76" s="85"/>
      <c r="BO76" s="85"/>
      <c r="BP76" s="85"/>
      <c r="BQ76" s="85"/>
      <c r="BR76" s="85"/>
      <c r="BS76" s="192"/>
      <c r="BT76" s="208"/>
      <c r="BU76" s="208"/>
      <c r="BV76" s="208"/>
      <c r="BW76" s="208"/>
      <c r="BX76" s="208"/>
      <c r="BY76" s="192"/>
      <c r="BZ76" s="205"/>
      <c r="CA76" s="85"/>
      <c r="CB76" s="85"/>
      <c r="CC76" s="194"/>
      <c r="CD76" s="85"/>
    </row>
    <row r="77" customFormat="false" ht="3" hidden="true" customHeight="true" outlineLevel="0" collapsed="false">
      <c r="B77" s="77"/>
      <c r="C77" s="190"/>
      <c r="D77" s="85"/>
      <c r="E77" s="191"/>
      <c r="F77" s="85"/>
      <c r="G77" s="200"/>
      <c r="H77" s="85"/>
      <c r="I77" s="191"/>
      <c r="J77" s="85"/>
      <c r="K77" s="85"/>
      <c r="L77" s="85"/>
      <c r="M77" s="85"/>
      <c r="N77" s="85"/>
      <c r="O77" s="206"/>
      <c r="P77" s="206"/>
      <c r="Q77" s="206"/>
      <c r="R77" s="206"/>
      <c r="S77" s="206"/>
      <c r="T77" s="192"/>
      <c r="U77" s="192"/>
      <c r="V77" s="85"/>
      <c r="W77" s="191"/>
      <c r="X77" s="85"/>
      <c r="Y77" s="195"/>
      <c r="AD77" s="190"/>
      <c r="AE77" s="85"/>
      <c r="AF77" s="191"/>
      <c r="AG77" s="85"/>
      <c r="AH77" s="200"/>
      <c r="AI77" s="85"/>
      <c r="AJ77" s="191"/>
      <c r="AK77" s="85"/>
      <c r="AL77" s="85"/>
      <c r="AM77" s="85"/>
      <c r="AN77" s="85"/>
      <c r="AO77" s="85"/>
      <c r="AP77" s="206"/>
      <c r="AQ77" s="206"/>
      <c r="AR77" s="206"/>
      <c r="AS77" s="206"/>
      <c r="AT77" s="206"/>
      <c r="AU77" s="192"/>
      <c r="AV77" s="192"/>
      <c r="AW77" s="85"/>
      <c r="AX77" s="191"/>
      <c r="AY77" s="85"/>
      <c r="AZ77" s="195"/>
      <c r="BE77" s="196"/>
      <c r="BF77" s="85"/>
      <c r="BG77" s="85"/>
      <c r="BH77" s="85"/>
      <c r="BI77" s="85"/>
      <c r="BJ77" s="85"/>
      <c r="BK77" s="85"/>
      <c r="BL77" s="204"/>
      <c r="BM77" s="85"/>
      <c r="BN77" s="85"/>
      <c r="BO77" s="85"/>
      <c r="BP77" s="85"/>
      <c r="BQ77" s="85"/>
      <c r="BR77" s="85"/>
      <c r="BS77" s="85"/>
      <c r="BT77" s="208"/>
      <c r="BU77" s="208"/>
      <c r="BV77" s="208"/>
      <c r="BW77" s="208"/>
      <c r="BX77" s="208"/>
      <c r="BY77" s="192"/>
      <c r="BZ77" s="192"/>
      <c r="CA77" s="85"/>
      <c r="CB77" s="85"/>
      <c r="CC77" s="85"/>
      <c r="CD77" s="85"/>
    </row>
    <row r="78" customFormat="false" ht="3" hidden="true" customHeight="true" outlineLevel="0" collapsed="false">
      <c r="B78" s="77"/>
      <c r="C78" s="190"/>
      <c r="D78" s="85"/>
      <c r="E78" s="191"/>
      <c r="F78" s="85"/>
      <c r="G78" s="200"/>
      <c r="H78" s="85"/>
      <c r="I78" s="191"/>
      <c r="J78" s="85"/>
      <c r="K78" s="85"/>
      <c r="L78" s="85"/>
      <c r="M78" s="85"/>
      <c r="N78" s="85"/>
      <c r="O78" s="206"/>
      <c r="P78" s="206"/>
      <c r="Q78" s="206"/>
      <c r="R78" s="206"/>
      <c r="S78" s="206"/>
      <c r="T78" s="192"/>
      <c r="U78" s="192"/>
      <c r="V78" s="85"/>
      <c r="W78" s="191"/>
      <c r="X78" s="85"/>
      <c r="Y78" s="195"/>
      <c r="AD78" s="190"/>
      <c r="AE78" s="85"/>
      <c r="AF78" s="191"/>
      <c r="AG78" s="85"/>
      <c r="AH78" s="200"/>
      <c r="AI78" s="85"/>
      <c r="AJ78" s="191"/>
      <c r="AK78" s="85"/>
      <c r="AL78" s="85"/>
      <c r="AM78" s="85"/>
      <c r="AN78" s="85"/>
      <c r="AO78" s="85"/>
      <c r="AP78" s="206"/>
      <c r="AQ78" s="206"/>
      <c r="AR78" s="206"/>
      <c r="AS78" s="206"/>
      <c r="AT78" s="206"/>
      <c r="AU78" s="192"/>
      <c r="AV78" s="192"/>
      <c r="AW78" s="85"/>
      <c r="AX78" s="191"/>
      <c r="AY78" s="85"/>
      <c r="AZ78" s="195"/>
      <c r="BE78" s="196"/>
      <c r="BF78" s="85"/>
      <c r="BG78" s="85"/>
      <c r="BH78" s="85"/>
      <c r="BI78" s="85"/>
      <c r="BJ78" s="85"/>
      <c r="BK78" s="85"/>
      <c r="BL78" s="204"/>
      <c r="BM78" s="85"/>
      <c r="BN78" s="85"/>
      <c r="BO78" s="85"/>
      <c r="BP78" s="85"/>
      <c r="BQ78" s="85"/>
      <c r="BR78" s="85"/>
      <c r="BS78" s="85"/>
      <c r="BT78" s="208"/>
      <c r="BU78" s="208"/>
      <c r="BV78" s="208"/>
      <c r="BW78" s="208"/>
      <c r="BX78" s="208"/>
      <c r="BY78" s="192"/>
      <c r="BZ78" s="192"/>
      <c r="CA78" s="85"/>
      <c r="CB78" s="85"/>
      <c r="CC78" s="85"/>
      <c r="CD78" s="85"/>
    </row>
    <row r="79" customFormat="false" ht="3" hidden="true" customHeight="true" outlineLevel="0" collapsed="false">
      <c r="B79" s="77"/>
      <c r="C79" s="190"/>
      <c r="D79" s="85"/>
      <c r="E79" s="191"/>
      <c r="F79" s="85"/>
      <c r="G79" s="200"/>
      <c r="H79" s="85"/>
      <c r="I79" s="191"/>
      <c r="J79" s="85"/>
      <c r="K79" s="85"/>
      <c r="L79" s="85"/>
      <c r="M79" s="85"/>
      <c r="N79" s="192"/>
      <c r="O79" s="206"/>
      <c r="P79" s="206"/>
      <c r="Q79" s="206"/>
      <c r="R79" s="206"/>
      <c r="S79" s="206"/>
      <c r="T79" s="192"/>
      <c r="U79" s="192"/>
      <c r="V79" s="85"/>
      <c r="W79" s="191"/>
      <c r="X79" s="85"/>
      <c r="Y79" s="195"/>
      <c r="AD79" s="190"/>
      <c r="AE79" s="85"/>
      <c r="AF79" s="191"/>
      <c r="AG79" s="85"/>
      <c r="AH79" s="200"/>
      <c r="AI79" s="85"/>
      <c r="AJ79" s="191"/>
      <c r="AK79" s="85"/>
      <c r="AL79" s="85"/>
      <c r="AM79" s="85"/>
      <c r="AN79" s="85"/>
      <c r="AO79" s="192"/>
      <c r="AP79" s="206"/>
      <c r="AQ79" s="206"/>
      <c r="AR79" s="206"/>
      <c r="AS79" s="206"/>
      <c r="AT79" s="206"/>
      <c r="AU79" s="192"/>
      <c r="AV79" s="192"/>
      <c r="AW79" s="85"/>
      <c r="AX79" s="191"/>
      <c r="AY79" s="85"/>
      <c r="AZ79" s="195"/>
      <c r="BE79" s="196"/>
      <c r="BF79" s="85"/>
      <c r="BG79" s="85"/>
      <c r="BH79" s="85"/>
      <c r="BI79" s="85"/>
      <c r="BJ79" s="85"/>
      <c r="BK79" s="85"/>
      <c r="BL79" s="204"/>
      <c r="BM79" s="85"/>
      <c r="BN79" s="85"/>
      <c r="BO79" s="85"/>
      <c r="BP79" s="85"/>
      <c r="BQ79" s="85"/>
      <c r="BR79" s="85"/>
      <c r="BS79" s="192"/>
      <c r="BT79" s="208"/>
      <c r="BU79" s="208"/>
      <c r="BV79" s="208"/>
      <c r="BW79" s="208"/>
      <c r="BX79" s="208"/>
      <c r="BY79" s="192"/>
      <c r="BZ79" s="192"/>
      <c r="CA79" s="85"/>
      <c r="CB79" s="85"/>
      <c r="CC79" s="85"/>
      <c r="CD79" s="85"/>
    </row>
    <row r="80" customFormat="false" ht="3" hidden="true" customHeight="true" outlineLevel="0" collapsed="false">
      <c r="C80" s="190"/>
      <c r="D80" s="85"/>
      <c r="E80" s="191"/>
      <c r="F80" s="85"/>
      <c r="G80" s="200"/>
      <c r="H80" s="85"/>
      <c r="I80" s="1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198"/>
      <c r="AD80" s="190"/>
      <c r="AE80" s="85"/>
      <c r="AF80" s="191"/>
      <c r="AG80" s="85"/>
      <c r="AH80" s="200"/>
      <c r="AI80" s="85"/>
      <c r="AJ80" s="191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198"/>
      <c r="BE80" s="196"/>
      <c r="BF80" s="85"/>
      <c r="BG80" s="85"/>
      <c r="BH80" s="85"/>
      <c r="BI80" s="85"/>
      <c r="BJ80" s="85"/>
      <c r="BK80" s="85"/>
      <c r="BL80" s="204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</row>
    <row r="81" customFormat="false" ht="9" hidden="true" customHeight="true" outlineLevel="0" collapsed="false">
      <c r="C81" s="172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198"/>
      <c r="AD81" s="172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198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</row>
    <row r="82" customFormat="false" ht="3" hidden="true" customHeight="true" outlineLevel="0" collapsed="false">
      <c r="B82" s="77"/>
      <c r="C82" s="190" t="s">
        <v>55</v>
      </c>
      <c r="D82" s="85"/>
      <c r="E82" s="191" t="s">
        <v>47</v>
      </c>
      <c r="F82" s="85"/>
      <c r="G82" s="200" t="n">
        <f aca="false">G66</f>
        <v>1897.33</v>
      </c>
      <c r="H82" s="85"/>
      <c r="I82" s="191" t="s">
        <v>49</v>
      </c>
      <c r="J82" s="85"/>
      <c r="K82" s="85"/>
      <c r="L82" s="85"/>
      <c r="M82" s="85"/>
      <c r="N82" s="192"/>
      <c r="O82" s="206" t="n">
        <f aca="false">POWER(O66,U66)</f>
        <v>1</v>
      </c>
      <c r="P82" s="206"/>
      <c r="Q82" s="206"/>
      <c r="R82" s="206"/>
      <c r="S82" s="206"/>
      <c r="T82" s="206"/>
      <c r="U82" s="206"/>
      <c r="V82" s="85"/>
      <c r="W82" s="191" t="s">
        <v>49</v>
      </c>
      <c r="X82" s="194"/>
      <c r="Y82" s="207" t="n">
        <f aca="false">Y66</f>
        <v>0</v>
      </c>
      <c r="AD82" s="190" t="s">
        <v>55</v>
      </c>
      <c r="AE82" s="85"/>
      <c r="AF82" s="191" t="s">
        <v>47</v>
      </c>
      <c r="AG82" s="85"/>
      <c r="AH82" s="200" t="n">
        <f aca="false">AH66</f>
        <v>1857.33</v>
      </c>
      <c r="AI82" s="85"/>
      <c r="AJ82" s="191" t="s">
        <v>49</v>
      </c>
      <c r="AK82" s="85"/>
      <c r="AL82" s="85"/>
      <c r="AM82" s="85"/>
      <c r="AN82" s="85"/>
      <c r="AO82" s="192"/>
      <c r="AP82" s="206" t="n">
        <f aca="false">POWER(AP66,AV66)</f>
        <v>1</v>
      </c>
      <c r="AQ82" s="206"/>
      <c r="AR82" s="206"/>
      <c r="AS82" s="206"/>
      <c r="AT82" s="206"/>
      <c r="AU82" s="206"/>
      <c r="AV82" s="206"/>
      <c r="AW82" s="85"/>
      <c r="AX82" s="191" t="s">
        <v>49</v>
      </c>
      <c r="AY82" s="194"/>
      <c r="AZ82" s="207" t="n">
        <f aca="false">AZ66</f>
        <v>0</v>
      </c>
      <c r="BE82" s="196"/>
      <c r="BF82" s="85"/>
      <c r="BG82" s="85"/>
      <c r="BH82" s="85"/>
      <c r="BI82" s="85"/>
      <c r="BJ82" s="85"/>
      <c r="BK82" s="85"/>
      <c r="BL82" s="204"/>
      <c r="BM82" s="85"/>
      <c r="BN82" s="85"/>
      <c r="BO82" s="85"/>
      <c r="BP82" s="85"/>
      <c r="BQ82" s="85"/>
      <c r="BR82" s="85"/>
      <c r="BS82" s="192"/>
      <c r="BT82" s="208"/>
      <c r="BU82" s="208"/>
      <c r="BV82" s="208"/>
      <c r="BW82" s="208"/>
      <c r="BX82" s="208"/>
      <c r="BY82" s="208"/>
      <c r="BZ82" s="208"/>
      <c r="CA82" s="85"/>
      <c r="CB82" s="85"/>
      <c r="CC82" s="194"/>
      <c r="CD82" s="96"/>
    </row>
    <row r="83" customFormat="false" ht="3" hidden="true" customHeight="true" outlineLevel="0" collapsed="false">
      <c r="B83" s="77"/>
      <c r="C83" s="190"/>
      <c r="D83" s="85"/>
      <c r="E83" s="191"/>
      <c r="F83" s="85"/>
      <c r="G83" s="200"/>
      <c r="H83" s="85"/>
      <c r="I83" s="191"/>
      <c r="J83" s="85"/>
      <c r="K83" s="85"/>
      <c r="L83" s="85"/>
      <c r="M83" s="85"/>
      <c r="N83" s="192"/>
      <c r="O83" s="206"/>
      <c r="P83" s="206"/>
      <c r="Q83" s="206"/>
      <c r="R83" s="206"/>
      <c r="S83" s="206"/>
      <c r="T83" s="206"/>
      <c r="U83" s="206"/>
      <c r="V83" s="85"/>
      <c r="W83" s="191"/>
      <c r="X83" s="194"/>
      <c r="Y83" s="207"/>
      <c r="AD83" s="190"/>
      <c r="AE83" s="85"/>
      <c r="AF83" s="191"/>
      <c r="AG83" s="85"/>
      <c r="AH83" s="200"/>
      <c r="AI83" s="85"/>
      <c r="AJ83" s="191"/>
      <c r="AK83" s="85"/>
      <c r="AL83" s="85"/>
      <c r="AM83" s="85"/>
      <c r="AN83" s="85"/>
      <c r="AO83" s="192"/>
      <c r="AP83" s="206"/>
      <c r="AQ83" s="206"/>
      <c r="AR83" s="206"/>
      <c r="AS83" s="206"/>
      <c r="AT83" s="206"/>
      <c r="AU83" s="206"/>
      <c r="AV83" s="206"/>
      <c r="AW83" s="85"/>
      <c r="AX83" s="191"/>
      <c r="AY83" s="194"/>
      <c r="AZ83" s="207"/>
      <c r="BE83" s="196"/>
      <c r="BF83" s="85"/>
      <c r="BG83" s="85"/>
      <c r="BH83" s="85"/>
      <c r="BI83" s="85"/>
      <c r="BJ83" s="85"/>
      <c r="BK83" s="85"/>
      <c r="BL83" s="204"/>
      <c r="BM83" s="85"/>
      <c r="BN83" s="85"/>
      <c r="BO83" s="85"/>
      <c r="BP83" s="85"/>
      <c r="BQ83" s="85"/>
      <c r="BR83" s="85"/>
      <c r="BS83" s="192"/>
      <c r="BT83" s="208"/>
      <c r="BU83" s="208"/>
      <c r="BV83" s="208"/>
      <c r="BW83" s="208"/>
      <c r="BX83" s="208"/>
      <c r="BY83" s="208"/>
      <c r="BZ83" s="208"/>
      <c r="CA83" s="85"/>
      <c r="CB83" s="85"/>
      <c r="CC83" s="194"/>
      <c r="CD83" s="96"/>
    </row>
    <row r="84" customFormat="false" ht="3" hidden="true" customHeight="true" outlineLevel="0" collapsed="false">
      <c r="B84" s="77"/>
      <c r="C84" s="190"/>
      <c r="D84" s="85"/>
      <c r="E84" s="191"/>
      <c r="F84" s="85"/>
      <c r="G84" s="200"/>
      <c r="H84" s="85"/>
      <c r="I84" s="191"/>
      <c r="J84" s="85"/>
      <c r="K84" s="85"/>
      <c r="L84" s="85"/>
      <c r="M84" s="85"/>
      <c r="N84" s="192"/>
      <c r="O84" s="206"/>
      <c r="P84" s="206"/>
      <c r="Q84" s="206"/>
      <c r="R84" s="206"/>
      <c r="S84" s="206"/>
      <c r="T84" s="206"/>
      <c r="U84" s="206"/>
      <c r="V84" s="85"/>
      <c r="W84" s="191"/>
      <c r="X84" s="194"/>
      <c r="Y84" s="207"/>
      <c r="AD84" s="190"/>
      <c r="AE84" s="85"/>
      <c r="AF84" s="191"/>
      <c r="AG84" s="85"/>
      <c r="AH84" s="200"/>
      <c r="AI84" s="85"/>
      <c r="AJ84" s="191"/>
      <c r="AK84" s="85"/>
      <c r="AL84" s="85"/>
      <c r="AM84" s="85"/>
      <c r="AN84" s="85"/>
      <c r="AO84" s="192"/>
      <c r="AP84" s="206"/>
      <c r="AQ84" s="206"/>
      <c r="AR84" s="206"/>
      <c r="AS84" s="206"/>
      <c r="AT84" s="206"/>
      <c r="AU84" s="206"/>
      <c r="AV84" s="206"/>
      <c r="AW84" s="85"/>
      <c r="AX84" s="191"/>
      <c r="AY84" s="194"/>
      <c r="AZ84" s="207"/>
      <c r="BE84" s="196"/>
      <c r="BF84" s="85"/>
      <c r="BG84" s="85"/>
      <c r="BH84" s="85"/>
      <c r="BI84" s="85"/>
      <c r="BJ84" s="85"/>
      <c r="BK84" s="85"/>
      <c r="BL84" s="204"/>
      <c r="BM84" s="85"/>
      <c r="BN84" s="85"/>
      <c r="BO84" s="85"/>
      <c r="BP84" s="85"/>
      <c r="BQ84" s="85"/>
      <c r="BR84" s="85"/>
      <c r="BS84" s="192"/>
      <c r="BT84" s="208"/>
      <c r="BU84" s="208"/>
      <c r="BV84" s="208"/>
      <c r="BW84" s="208"/>
      <c r="BX84" s="208"/>
      <c r="BY84" s="208"/>
      <c r="BZ84" s="208"/>
      <c r="CA84" s="85"/>
      <c r="CB84" s="85"/>
      <c r="CC84" s="194"/>
      <c r="CD84" s="96"/>
    </row>
    <row r="85" customFormat="false" ht="3" hidden="true" customHeight="true" outlineLevel="0" collapsed="false">
      <c r="B85" s="77"/>
      <c r="C85" s="190"/>
      <c r="D85" s="85"/>
      <c r="E85" s="191"/>
      <c r="F85" s="85"/>
      <c r="G85" s="200"/>
      <c r="H85" s="85"/>
      <c r="I85" s="191"/>
      <c r="J85" s="85"/>
      <c r="K85" s="85"/>
      <c r="L85" s="85"/>
      <c r="M85" s="85"/>
      <c r="N85" s="85"/>
      <c r="O85" s="206"/>
      <c r="P85" s="206"/>
      <c r="Q85" s="206"/>
      <c r="R85" s="206"/>
      <c r="S85" s="206"/>
      <c r="T85" s="206"/>
      <c r="U85" s="206"/>
      <c r="V85" s="85"/>
      <c r="W85" s="191"/>
      <c r="X85" s="85"/>
      <c r="Y85" s="207"/>
      <c r="AD85" s="190"/>
      <c r="AE85" s="85"/>
      <c r="AF85" s="191"/>
      <c r="AG85" s="85"/>
      <c r="AH85" s="200"/>
      <c r="AI85" s="85"/>
      <c r="AJ85" s="191"/>
      <c r="AK85" s="85"/>
      <c r="AL85" s="85"/>
      <c r="AM85" s="85"/>
      <c r="AN85" s="85"/>
      <c r="AO85" s="85"/>
      <c r="AP85" s="206"/>
      <c r="AQ85" s="206"/>
      <c r="AR85" s="206"/>
      <c r="AS85" s="206"/>
      <c r="AT85" s="206"/>
      <c r="AU85" s="206"/>
      <c r="AV85" s="206"/>
      <c r="AW85" s="85"/>
      <c r="AX85" s="191"/>
      <c r="AY85" s="85"/>
      <c r="AZ85" s="207"/>
      <c r="BE85" s="196"/>
      <c r="BF85" s="85"/>
      <c r="BG85" s="85"/>
      <c r="BH85" s="85"/>
      <c r="BI85" s="85"/>
      <c r="BJ85" s="85"/>
      <c r="BK85" s="85"/>
      <c r="BL85" s="204"/>
      <c r="BM85" s="85"/>
      <c r="BN85" s="85"/>
      <c r="BO85" s="85"/>
      <c r="BP85" s="85"/>
      <c r="BQ85" s="85"/>
      <c r="BR85" s="85"/>
      <c r="BS85" s="85"/>
      <c r="BT85" s="208"/>
      <c r="BU85" s="208"/>
      <c r="BV85" s="208"/>
      <c r="BW85" s="208"/>
      <c r="BX85" s="208"/>
      <c r="BY85" s="208"/>
      <c r="BZ85" s="208"/>
      <c r="CA85" s="85"/>
      <c r="CB85" s="85"/>
      <c r="CC85" s="85"/>
      <c r="CD85" s="96"/>
    </row>
    <row r="86" customFormat="false" ht="3" hidden="true" customHeight="true" outlineLevel="0" collapsed="false">
      <c r="B86" s="77"/>
      <c r="C86" s="190"/>
      <c r="D86" s="85"/>
      <c r="E86" s="191"/>
      <c r="F86" s="85"/>
      <c r="G86" s="200"/>
      <c r="H86" s="85"/>
      <c r="I86" s="191"/>
      <c r="J86" s="85"/>
      <c r="K86" s="85"/>
      <c r="L86" s="85"/>
      <c r="M86" s="85"/>
      <c r="N86" s="85"/>
      <c r="O86" s="206"/>
      <c r="P86" s="206"/>
      <c r="Q86" s="206"/>
      <c r="R86" s="206"/>
      <c r="S86" s="206"/>
      <c r="T86" s="206"/>
      <c r="U86" s="206"/>
      <c r="V86" s="85"/>
      <c r="W86" s="191"/>
      <c r="X86" s="85"/>
      <c r="Y86" s="207"/>
      <c r="AD86" s="190"/>
      <c r="AE86" s="85"/>
      <c r="AF86" s="191"/>
      <c r="AG86" s="85"/>
      <c r="AH86" s="200"/>
      <c r="AI86" s="85"/>
      <c r="AJ86" s="191"/>
      <c r="AK86" s="85"/>
      <c r="AL86" s="85"/>
      <c r="AM86" s="85"/>
      <c r="AN86" s="85"/>
      <c r="AO86" s="85"/>
      <c r="AP86" s="206"/>
      <c r="AQ86" s="206"/>
      <c r="AR86" s="206"/>
      <c r="AS86" s="206"/>
      <c r="AT86" s="206"/>
      <c r="AU86" s="206"/>
      <c r="AV86" s="206"/>
      <c r="AW86" s="85"/>
      <c r="AX86" s="191"/>
      <c r="AY86" s="85"/>
      <c r="AZ86" s="207"/>
      <c r="BE86" s="196"/>
      <c r="BF86" s="85"/>
      <c r="BG86" s="85"/>
      <c r="BH86" s="85"/>
      <c r="BI86" s="85"/>
      <c r="BJ86" s="85"/>
      <c r="BK86" s="85"/>
      <c r="BL86" s="204"/>
      <c r="BM86" s="85"/>
      <c r="BN86" s="85"/>
      <c r="BO86" s="85"/>
      <c r="BP86" s="85"/>
      <c r="BQ86" s="85"/>
      <c r="BR86" s="85"/>
      <c r="BS86" s="85"/>
      <c r="BT86" s="208"/>
      <c r="BU86" s="208"/>
      <c r="BV86" s="208"/>
      <c r="BW86" s="208"/>
      <c r="BX86" s="208"/>
      <c r="BY86" s="208"/>
      <c r="BZ86" s="208"/>
      <c r="CA86" s="85"/>
      <c r="CB86" s="85"/>
      <c r="CC86" s="85"/>
      <c r="CD86" s="96"/>
    </row>
    <row r="87" customFormat="false" ht="3" hidden="true" customHeight="true" outlineLevel="0" collapsed="false">
      <c r="B87" s="77"/>
      <c r="C87" s="190"/>
      <c r="D87" s="85"/>
      <c r="E87" s="191"/>
      <c r="F87" s="85"/>
      <c r="G87" s="200"/>
      <c r="H87" s="85"/>
      <c r="I87" s="191"/>
      <c r="J87" s="85"/>
      <c r="K87" s="85"/>
      <c r="L87" s="85"/>
      <c r="M87" s="85"/>
      <c r="N87" s="192"/>
      <c r="O87" s="206"/>
      <c r="P87" s="206"/>
      <c r="Q87" s="206"/>
      <c r="R87" s="206"/>
      <c r="S87" s="206"/>
      <c r="T87" s="206"/>
      <c r="U87" s="206"/>
      <c r="V87" s="85"/>
      <c r="W87" s="191"/>
      <c r="X87" s="85"/>
      <c r="Y87" s="207"/>
      <c r="AD87" s="190"/>
      <c r="AE87" s="85"/>
      <c r="AF87" s="191"/>
      <c r="AG87" s="85"/>
      <c r="AH87" s="200"/>
      <c r="AI87" s="85"/>
      <c r="AJ87" s="191"/>
      <c r="AK87" s="85"/>
      <c r="AL87" s="85"/>
      <c r="AM87" s="85"/>
      <c r="AN87" s="85"/>
      <c r="AO87" s="192"/>
      <c r="AP87" s="206"/>
      <c r="AQ87" s="206"/>
      <c r="AR87" s="206"/>
      <c r="AS87" s="206"/>
      <c r="AT87" s="206"/>
      <c r="AU87" s="206"/>
      <c r="AV87" s="206"/>
      <c r="AW87" s="85"/>
      <c r="AX87" s="191"/>
      <c r="AY87" s="85"/>
      <c r="AZ87" s="207"/>
      <c r="BE87" s="196"/>
      <c r="BF87" s="85"/>
      <c r="BG87" s="85"/>
      <c r="BH87" s="85"/>
      <c r="BI87" s="85"/>
      <c r="BJ87" s="85"/>
      <c r="BK87" s="85"/>
      <c r="BL87" s="204"/>
      <c r="BM87" s="85"/>
      <c r="BN87" s="85"/>
      <c r="BO87" s="85"/>
      <c r="BP87" s="85"/>
      <c r="BQ87" s="85"/>
      <c r="BR87" s="85"/>
      <c r="BS87" s="192"/>
      <c r="BT87" s="208"/>
      <c r="BU87" s="208"/>
      <c r="BV87" s="208"/>
      <c r="BW87" s="208"/>
      <c r="BX87" s="208"/>
      <c r="BY87" s="208"/>
      <c r="BZ87" s="208"/>
      <c r="CA87" s="85"/>
      <c r="CB87" s="85"/>
      <c r="CC87" s="85"/>
      <c r="CD87" s="96"/>
    </row>
    <row r="88" customFormat="false" ht="3" hidden="true" customHeight="true" outlineLevel="0" collapsed="false">
      <c r="B88" s="77"/>
      <c r="C88" s="190"/>
      <c r="D88" s="192"/>
      <c r="E88" s="191"/>
      <c r="F88" s="85"/>
      <c r="G88" s="200"/>
      <c r="H88" s="85"/>
      <c r="I88" s="1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198"/>
      <c r="Z88" s="209"/>
      <c r="AD88" s="190"/>
      <c r="AE88" s="192"/>
      <c r="AF88" s="191"/>
      <c r="AG88" s="85"/>
      <c r="AH88" s="200"/>
      <c r="AI88" s="85"/>
      <c r="AJ88" s="191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198"/>
      <c r="BE88" s="196"/>
      <c r="BF88" s="192"/>
      <c r="BG88" s="85"/>
      <c r="BH88" s="85"/>
      <c r="BI88" s="85"/>
      <c r="BJ88" s="85"/>
      <c r="BK88" s="85"/>
      <c r="BL88" s="204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</row>
    <row r="89" customFormat="false" ht="3" hidden="true" customHeight="true" outlineLevel="0" collapsed="false">
      <c r="B89" s="77"/>
      <c r="C89" s="190"/>
      <c r="D89" s="192"/>
      <c r="E89" s="191"/>
      <c r="F89" s="85"/>
      <c r="G89" s="200"/>
      <c r="H89" s="85"/>
      <c r="I89" s="1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198"/>
      <c r="Z89" s="210"/>
      <c r="AD89" s="190"/>
      <c r="AE89" s="192"/>
      <c r="AF89" s="191"/>
      <c r="AG89" s="85"/>
      <c r="AH89" s="200"/>
      <c r="AI89" s="85"/>
      <c r="AJ89" s="191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198"/>
      <c r="BE89" s="196"/>
      <c r="BF89" s="192"/>
      <c r="BG89" s="85"/>
      <c r="BH89" s="85"/>
      <c r="BI89" s="85"/>
      <c r="BJ89" s="85"/>
      <c r="BK89" s="85"/>
      <c r="BL89" s="204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</row>
    <row r="90" customFormat="false" ht="3" hidden="true" customHeight="true" outlineLevel="0" collapsed="false">
      <c r="B90" s="77"/>
      <c r="C90" s="190"/>
      <c r="D90" s="85"/>
      <c r="E90" s="191"/>
      <c r="F90" s="85"/>
      <c r="G90" s="200"/>
      <c r="H90" s="85"/>
      <c r="I90" s="191"/>
      <c r="J90" s="85"/>
      <c r="K90" s="85"/>
      <c r="L90" s="85"/>
      <c r="M90" s="85"/>
      <c r="N90" s="192"/>
      <c r="O90" s="206" t="n">
        <f aca="false">O82</f>
        <v>1</v>
      </c>
      <c r="P90" s="206"/>
      <c r="Q90" s="206"/>
      <c r="R90" s="206"/>
      <c r="S90" s="206"/>
      <c r="T90" s="206"/>
      <c r="U90" s="206"/>
      <c r="V90" s="85"/>
      <c r="W90" s="191" t="s">
        <v>54</v>
      </c>
      <c r="X90" s="194"/>
      <c r="Y90" s="195" t="n">
        <v>1</v>
      </c>
      <c r="AD90" s="190"/>
      <c r="AE90" s="85"/>
      <c r="AF90" s="191"/>
      <c r="AG90" s="85"/>
      <c r="AH90" s="200"/>
      <c r="AI90" s="85"/>
      <c r="AJ90" s="191"/>
      <c r="AK90" s="85"/>
      <c r="AL90" s="85"/>
      <c r="AM90" s="85"/>
      <c r="AN90" s="85"/>
      <c r="AO90" s="192"/>
      <c r="AP90" s="206" t="n">
        <f aca="false">AP82</f>
        <v>1</v>
      </c>
      <c r="AQ90" s="206"/>
      <c r="AR90" s="206"/>
      <c r="AS90" s="206"/>
      <c r="AT90" s="206"/>
      <c r="AU90" s="206"/>
      <c r="AV90" s="206"/>
      <c r="AW90" s="85"/>
      <c r="AX90" s="191" t="s">
        <v>54</v>
      </c>
      <c r="AY90" s="194"/>
      <c r="AZ90" s="195" t="n">
        <v>1</v>
      </c>
      <c r="BE90" s="196"/>
      <c r="BF90" s="85"/>
      <c r="BG90" s="85"/>
      <c r="BH90" s="85"/>
      <c r="BI90" s="85"/>
      <c r="BJ90" s="85"/>
      <c r="BK90" s="85"/>
      <c r="BL90" s="204"/>
      <c r="BM90" s="85"/>
      <c r="BN90" s="85"/>
      <c r="BO90" s="85"/>
      <c r="BP90" s="85"/>
      <c r="BQ90" s="85"/>
      <c r="BR90" s="85"/>
      <c r="BS90" s="192"/>
      <c r="BT90" s="208"/>
      <c r="BU90" s="208"/>
      <c r="BV90" s="208"/>
      <c r="BW90" s="208"/>
      <c r="BX90" s="208"/>
      <c r="BY90" s="208"/>
      <c r="BZ90" s="208"/>
      <c r="CA90" s="85"/>
      <c r="CB90" s="85"/>
      <c r="CC90" s="194"/>
      <c r="CD90" s="85"/>
    </row>
    <row r="91" customFormat="false" ht="3" hidden="true" customHeight="true" outlineLevel="0" collapsed="false">
      <c r="B91" s="77"/>
      <c r="C91" s="190"/>
      <c r="D91" s="85"/>
      <c r="E91" s="191"/>
      <c r="F91" s="85"/>
      <c r="G91" s="200"/>
      <c r="H91" s="85"/>
      <c r="I91" s="191"/>
      <c r="J91" s="85"/>
      <c r="K91" s="85"/>
      <c r="L91" s="85"/>
      <c r="M91" s="85"/>
      <c r="N91" s="192"/>
      <c r="O91" s="206"/>
      <c r="P91" s="206"/>
      <c r="Q91" s="206"/>
      <c r="R91" s="206"/>
      <c r="S91" s="206"/>
      <c r="T91" s="206"/>
      <c r="U91" s="206"/>
      <c r="V91" s="85"/>
      <c r="W91" s="191"/>
      <c r="X91" s="194"/>
      <c r="Y91" s="195"/>
      <c r="AD91" s="190"/>
      <c r="AE91" s="85"/>
      <c r="AF91" s="191"/>
      <c r="AG91" s="85"/>
      <c r="AH91" s="200"/>
      <c r="AI91" s="85"/>
      <c r="AJ91" s="191"/>
      <c r="AK91" s="85"/>
      <c r="AL91" s="85"/>
      <c r="AM91" s="85"/>
      <c r="AN91" s="85"/>
      <c r="AO91" s="192"/>
      <c r="AP91" s="206"/>
      <c r="AQ91" s="206"/>
      <c r="AR91" s="206"/>
      <c r="AS91" s="206"/>
      <c r="AT91" s="206"/>
      <c r="AU91" s="206"/>
      <c r="AV91" s="206"/>
      <c r="AW91" s="85"/>
      <c r="AX91" s="191"/>
      <c r="AY91" s="194"/>
      <c r="AZ91" s="195"/>
      <c r="BE91" s="196"/>
      <c r="BF91" s="85"/>
      <c r="BG91" s="85"/>
      <c r="BH91" s="85"/>
      <c r="BI91" s="85"/>
      <c r="BJ91" s="85"/>
      <c r="BK91" s="85"/>
      <c r="BL91" s="204"/>
      <c r="BM91" s="85"/>
      <c r="BN91" s="85"/>
      <c r="BO91" s="85"/>
      <c r="BP91" s="85"/>
      <c r="BQ91" s="85"/>
      <c r="BR91" s="85"/>
      <c r="BS91" s="192"/>
      <c r="BT91" s="208"/>
      <c r="BU91" s="208"/>
      <c r="BV91" s="208"/>
      <c r="BW91" s="208"/>
      <c r="BX91" s="208"/>
      <c r="BY91" s="208"/>
      <c r="BZ91" s="208"/>
      <c r="CA91" s="85"/>
      <c r="CB91" s="85"/>
      <c r="CC91" s="194"/>
      <c r="CD91" s="85"/>
    </row>
    <row r="92" customFormat="false" ht="3" hidden="true" customHeight="true" outlineLevel="0" collapsed="false">
      <c r="B92" s="77"/>
      <c r="C92" s="190"/>
      <c r="D92" s="85"/>
      <c r="E92" s="191"/>
      <c r="F92" s="85"/>
      <c r="G92" s="200"/>
      <c r="H92" s="85"/>
      <c r="I92" s="191"/>
      <c r="J92" s="85"/>
      <c r="K92" s="85"/>
      <c r="L92" s="85"/>
      <c r="M92" s="85"/>
      <c r="N92" s="192"/>
      <c r="O92" s="206"/>
      <c r="P92" s="206"/>
      <c r="Q92" s="206"/>
      <c r="R92" s="206"/>
      <c r="S92" s="206"/>
      <c r="T92" s="206"/>
      <c r="U92" s="206"/>
      <c r="V92" s="85"/>
      <c r="W92" s="191"/>
      <c r="X92" s="194"/>
      <c r="Y92" s="195"/>
      <c r="AD92" s="190"/>
      <c r="AE92" s="85"/>
      <c r="AF92" s="191"/>
      <c r="AG92" s="85"/>
      <c r="AH92" s="200"/>
      <c r="AI92" s="85"/>
      <c r="AJ92" s="191"/>
      <c r="AK92" s="85"/>
      <c r="AL92" s="85"/>
      <c r="AM92" s="85"/>
      <c r="AN92" s="85"/>
      <c r="AO92" s="192"/>
      <c r="AP92" s="206"/>
      <c r="AQ92" s="206"/>
      <c r="AR92" s="206"/>
      <c r="AS92" s="206"/>
      <c r="AT92" s="206"/>
      <c r="AU92" s="206"/>
      <c r="AV92" s="206"/>
      <c r="AW92" s="85"/>
      <c r="AX92" s="191"/>
      <c r="AY92" s="194"/>
      <c r="AZ92" s="195"/>
      <c r="BE92" s="196"/>
      <c r="BF92" s="85"/>
      <c r="BG92" s="85"/>
      <c r="BH92" s="85"/>
      <c r="BI92" s="85"/>
      <c r="BJ92" s="85"/>
      <c r="BK92" s="85"/>
      <c r="BL92" s="204"/>
      <c r="BM92" s="85"/>
      <c r="BN92" s="85"/>
      <c r="BO92" s="85"/>
      <c r="BP92" s="85"/>
      <c r="BQ92" s="85"/>
      <c r="BR92" s="85"/>
      <c r="BS92" s="192"/>
      <c r="BT92" s="208"/>
      <c r="BU92" s="208"/>
      <c r="BV92" s="208"/>
      <c r="BW92" s="208"/>
      <c r="BX92" s="208"/>
      <c r="BY92" s="208"/>
      <c r="BZ92" s="208"/>
      <c r="CA92" s="85"/>
      <c r="CB92" s="85"/>
      <c r="CC92" s="194"/>
      <c r="CD92" s="85"/>
    </row>
    <row r="93" customFormat="false" ht="3" hidden="true" customHeight="true" outlineLevel="0" collapsed="false">
      <c r="B93" s="77"/>
      <c r="C93" s="190"/>
      <c r="D93" s="85"/>
      <c r="E93" s="191"/>
      <c r="F93" s="85"/>
      <c r="G93" s="200"/>
      <c r="H93" s="85"/>
      <c r="I93" s="191"/>
      <c r="J93" s="85"/>
      <c r="K93" s="85"/>
      <c r="L93" s="85"/>
      <c r="M93" s="85"/>
      <c r="N93" s="85"/>
      <c r="O93" s="206"/>
      <c r="P93" s="206"/>
      <c r="Q93" s="206"/>
      <c r="R93" s="206"/>
      <c r="S93" s="206"/>
      <c r="T93" s="206"/>
      <c r="U93" s="206"/>
      <c r="V93" s="85"/>
      <c r="W93" s="191"/>
      <c r="X93" s="85"/>
      <c r="Y93" s="195"/>
      <c r="AD93" s="190"/>
      <c r="AE93" s="85"/>
      <c r="AF93" s="191"/>
      <c r="AG93" s="85"/>
      <c r="AH93" s="200"/>
      <c r="AI93" s="85"/>
      <c r="AJ93" s="191"/>
      <c r="AK93" s="85"/>
      <c r="AL93" s="85"/>
      <c r="AM93" s="85"/>
      <c r="AN93" s="85"/>
      <c r="AO93" s="85"/>
      <c r="AP93" s="206"/>
      <c r="AQ93" s="206"/>
      <c r="AR93" s="206"/>
      <c r="AS93" s="206"/>
      <c r="AT93" s="206"/>
      <c r="AU93" s="206"/>
      <c r="AV93" s="206"/>
      <c r="AW93" s="85"/>
      <c r="AX93" s="191"/>
      <c r="AY93" s="85"/>
      <c r="AZ93" s="195"/>
      <c r="BE93" s="196"/>
      <c r="BF93" s="85"/>
      <c r="BG93" s="85"/>
      <c r="BH93" s="85"/>
      <c r="BI93" s="85"/>
      <c r="BJ93" s="85"/>
      <c r="BK93" s="85"/>
      <c r="BL93" s="204"/>
      <c r="BM93" s="85"/>
      <c r="BN93" s="85"/>
      <c r="BO93" s="85"/>
      <c r="BP93" s="85"/>
      <c r="BQ93" s="85"/>
      <c r="BR93" s="85"/>
      <c r="BS93" s="85"/>
      <c r="BT93" s="208"/>
      <c r="BU93" s="208"/>
      <c r="BV93" s="208"/>
      <c r="BW93" s="208"/>
      <c r="BX93" s="208"/>
      <c r="BY93" s="208"/>
      <c r="BZ93" s="208"/>
      <c r="CA93" s="85"/>
      <c r="CB93" s="85"/>
      <c r="CC93" s="85"/>
      <c r="CD93" s="85"/>
    </row>
    <row r="94" customFormat="false" ht="3" hidden="true" customHeight="true" outlineLevel="0" collapsed="false">
      <c r="B94" s="77"/>
      <c r="C94" s="190"/>
      <c r="D94" s="85"/>
      <c r="E94" s="191"/>
      <c r="F94" s="85"/>
      <c r="G94" s="200"/>
      <c r="H94" s="85"/>
      <c r="I94" s="191"/>
      <c r="J94" s="85"/>
      <c r="K94" s="85"/>
      <c r="L94" s="85"/>
      <c r="M94" s="85"/>
      <c r="N94" s="85"/>
      <c r="O94" s="206"/>
      <c r="P94" s="206"/>
      <c r="Q94" s="206"/>
      <c r="R94" s="206"/>
      <c r="S94" s="206"/>
      <c r="T94" s="206"/>
      <c r="U94" s="206"/>
      <c r="V94" s="85"/>
      <c r="W94" s="191"/>
      <c r="X94" s="85"/>
      <c r="Y94" s="195"/>
      <c r="AD94" s="190"/>
      <c r="AE94" s="85"/>
      <c r="AF94" s="191"/>
      <c r="AG94" s="85"/>
      <c r="AH94" s="200"/>
      <c r="AI94" s="85"/>
      <c r="AJ94" s="191"/>
      <c r="AK94" s="85"/>
      <c r="AL94" s="85"/>
      <c r="AM94" s="85"/>
      <c r="AN94" s="85"/>
      <c r="AO94" s="85"/>
      <c r="AP94" s="206"/>
      <c r="AQ94" s="206"/>
      <c r="AR94" s="206"/>
      <c r="AS94" s="206"/>
      <c r="AT94" s="206"/>
      <c r="AU94" s="206"/>
      <c r="AV94" s="206"/>
      <c r="AW94" s="85"/>
      <c r="AX94" s="191"/>
      <c r="AY94" s="85"/>
      <c r="AZ94" s="195"/>
      <c r="BE94" s="196"/>
      <c r="BF94" s="85"/>
      <c r="BG94" s="85"/>
      <c r="BH94" s="85"/>
      <c r="BI94" s="85"/>
      <c r="BJ94" s="85"/>
      <c r="BK94" s="85"/>
      <c r="BL94" s="204"/>
      <c r="BM94" s="85"/>
      <c r="BN94" s="85"/>
      <c r="BO94" s="85"/>
      <c r="BP94" s="85"/>
      <c r="BQ94" s="85"/>
      <c r="BR94" s="85"/>
      <c r="BS94" s="85"/>
      <c r="BT94" s="208"/>
      <c r="BU94" s="208"/>
      <c r="BV94" s="208"/>
      <c r="BW94" s="208"/>
      <c r="BX94" s="208"/>
      <c r="BY94" s="208"/>
      <c r="BZ94" s="208"/>
      <c r="CA94" s="85"/>
      <c r="CB94" s="85"/>
      <c r="CC94" s="85"/>
      <c r="CD94" s="85"/>
    </row>
    <row r="95" customFormat="false" ht="3" hidden="true" customHeight="true" outlineLevel="0" collapsed="false">
      <c r="B95" s="77"/>
      <c r="C95" s="190"/>
      <c r="D95" s="85"/>
      <c r="E95" s="191"/>
      <c r="F95" s="85"/>
      <c r="G95" s="200"/>
      <c r="H95" s="85"/>
      <c r="I95" s="191"/>
      <c r="J95" s="85"/>
      <c r="K95" s="85"/>
      <c r="L95" s="85"/>
      <c r="M95" s="85"/>
      <c r="N95" s="192"/>
      <c r="O95" s="206"/>
      <c r="P95" s="206"/>
      <c r="Q95" s="206"/>
      <c r="R95" s="206"/>
      <c r="S95" s="206"/>
      <c r="T95" s="206"/>
      <c r="U95" s="206"/>
      <c r="V95" s="85"/>
      <c r="W95" s="191"/>
      <c r="X95" s="85"/>
      <c r="Y95" s="195"/>
      <c r="AD95" s="190"/>
      <c r="AE95" s="85"/>
      <c r="AF95" s="191"/>
      <c r="AG95" s="85"/>
      <c r="AH95" s="200"/>
      <c r="AI95" s="85"/>
      <c r="AJ95" s="191"/>
      <c r="AK95" s="85"/>
      <c r="AL95" s="85"/>
      <c r="AM95" s="85"/>
      <c r="AN95" s="85"/>
      <c r="AO95" s="192"/>
      <c r="AP95" s="206"/>
      <c r="AQ95" s="206"/>
      <c r="AR95" s="206"/>
      <c r="AS95" s="206"/>
      <c r="AT95" s="206"/>
      <c r="AU95" s="206"/>
      <c r="AV95" s="206"/>
      <c r="AW95" s="85"/>
      <c r="AX95" s="191"/>
      <c r="AY95" s="85"/>
      <c r="AZ95" s="195"/>
      <c r="BE95" s="196"/>
      <c r="BF95" s="85"/>
      <c r="BG95" s="85"/>
      <c r="BH95" s="85"/>
      <c r="BI95" s="85"/>
      <c r="BJ95" s="85"/>
      <c r="BK95" s="85"/>
      <c r="BL95" s="204"/>
      <c r="BM95" s="85"/>
      <c r="BN95" s="85"/>
      <c r="BO95" s="85"/>
      <c r="BP95" s="85"/>
      <c r="BQ95" s="85"/>
      <c r="BR95" s="85"/>
      <c r="BS95" s="192"/>
      <c r="BT95" s="208"/>
      <c r="BU95" s="208"/>
      <c r="BV95" s="208"/>
      <c r="BW95" s="208"/>
      <c r="BX95" s="208"/>
      <c r="BY95" s="208"/>
      <c r="BZ95" s="208"/>
      <c r="CA95" s="85"/>
      <c r="CB95" s="85"/>
      <c r="CC95" s="85"/>
      <c r="CD95" s="85"/>
    </row>
    <row r="96" customFormat="false" ht="3" hidden="true" customHeight="true" outlineLevel="0" collapsed="false">
      <c r="C96" s="190"/>
      <c r="D96" s="85"/>
      <c r="E96" s="191"/>
      <c r="F96" s="85"/>
      <c r="G96" s="200"/>
      <c r="H96" s="85"/>
      <c r="I96" s="1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198"/>
      <c r="AD96" s="190"/>
      <c r="AE96" s="85"/>
      <c r="AF96" s="191"/>
      <c r="AG96" s="85"/>
      <c r="AH96" s="200"/>
      <c r="AI96" s="85"/>
      <c r="AJ96" s="191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198"/>
      <c r="BE96" s="196"/>
      <c r="BF96" s="85"/>
      <c r="BG96" s="85"/>
      <c r="BH96" s="85"/>
      <c r="BI96" s="85"/>
      <c r="BJ96" s="85"/>
      <c r="BK96" s="85"/>
      <c r="BL96" s="204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</row>
    <row r="97" customFormat="false" ht="9" hidden="true" customHeight="true" outlineLevel="0" collapsed="false">
      <c r="C97" s="172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198"/>
      <c r="AD97" s="172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198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</row>
    <row r="98" customFormat="false" ht="3" hidden="true" customHeight="true" outlineLevel="0" collapsed="false">
      <c r="B98" s="77"/>
      <c r="C98" s="190" t="s">
        <v>55</v>
      </c>
      <c r="D98" s="85"/>
      <c r="E98" s="191" t="s">
        <v>47</v>
      </c>
      <c r="F98" s="85"/>
      <c r="G98" s="200" t="n">
        <f aca="false">G82</f>
        <v>1897.33</v>
      </c>
      <c r="H98" s="85"/>
      <c r="I98" s="191" t="s">
        <v>49</v>
      </c>
      <c r="J98" s="85"/>
      <c r="K98" s="85"/>
      <c r="L98" s="85"/>
      <c r="M98" s="85"/>
      <c r="N98" s="192"/>
      <c r="O98" s="206" t="n">
        <f aca="false">O82*Y82</f>
        <v>0</v>
      </c>
      <c r="P98" s="206"/>
      <c r="Q98" s="206"/>
      <c r="R98" s="206"/>
      <c r="S98" s="206"/>
      <c r="T98" s="206"/>
      <c r="U98" s="206"/>
      <c r="V98" s="85"/>
      <c r="W98" s="85"/>
      <c r="X98" s="85"/>
      <c r="Y98" s="198"/>
      <c r="AD98" s="190" t="s">
        <v>55</v>
      </c>
      <c r="AE98" s="85"/>
      <c r="AF98" s="191" t="s">
        <v>47</v>
      </c>
      <c r="AG98" s="85"/>
      <c r="AH98" s="200" t="n">
        <f aca="false">AH82</f>
        <v>1857.33</v>
      </c>
      <c r="AI98" s="85"/>
      <c r="AJ98" s="191" t="s">
        <v>49</v>
      </c>
      <c r="AK98" s="85"/>
      <c r="AL98" s="85"/>
      <c r="AM98" s="85"/>
      <c r="AN98" s="85"/>
      <c r="AO98" s="192"/>
      <c r="AP98" s="206" t="n">
        <f aca="false">AP82*AZ82</f>
        <v>0</v>
      </c>
      <c r="AQ98" s="206"/>
      <c r="AR98" s="206"/>
      <c r="AS98" s="206"/>
      <c r="AT98" s="206"/>
      <c r="AU98" s="206"/>
      <c r="AV98" s="206"/>
      <c r="AW98" s="85"/>
      <c r="AX98" s="85"/>
      <c r="AY98" s="85"/>
      <c r="AZ98" s="198"/>
      <c r="BE98" s="196"/>
      <c r="BF98" s="85"/>
      <c r="BG98" s="85"/>
      <c r="BH98" s="85"/>
      <c r="BI98" s="85"/>
      <c r="BJ98" s="85"/>
      <c r="BK98" s="85"/>
      <c r="BL98" s="204"/>
      <c r="BM98" s="85"/>
      <c r="BN98" s="85"/>
      <c r="BO98" s="85"/>
      <c r="BP98" s="85"/>
      <c r="BQ98" s="85"/>
      <c r="BR98" s="85"/>
      <c r="BS98" s="192"/>
      <c r="BT98" s="208"/>
      <c r="BU98" s="211"/>
      <c r="BV98" s="211"/>
      <c r="BW98" s="211"/>
      <c r="BX98" s="211"/>
      <c r="BY98" s="211"/>
      <c r="BZ98" s="211"/>
      <c r="CA98" s="85"/>
      <c r="CB98" s="85"/>
      <c r="CC98" s="85"/>
      <c r="CD98" s="85"/>
    </row>
    <row r="99" customFormat="false" ht="3" hidden="true" customHeight="true" outlineLevel="0" collapsed="false">
      <c r="B99" s="77"/>
      <c r="C99" s="190"/>
      <c r="D99" s="85"/>
      <c r="E99" s="191"/>
      <c r="F99" s="85"/>
      <c r="G99" s="200"/>
      <c r="H99" s="85"/>
      <c r="I99" s="191"/>
      <c r="J99" s="85"/>
      <c r="K99" s="85"/>
      <c r="L99" s="85"/>
      <c r="M99" s="85"/>
      <c r="N99" s="192"/>
      <c r="O99" s="206"/>
      <c r="P99" s="206"/>
      <c r="Q99" s="206"/>
      <c r="R99" s="206"/>
      <c r="S99" s="206"/>
      <c r="T99" s="206"/>
      <c r="U99" s="206"/>
      <c r="V99" s="106"/>
      <c r="W99" s="106"/>
      <c r="X99" s="106"/>
      <c r="Y99" s="212"/>
      <c r="Z99" s="213"/>
      <c r="AA99" s="213"/>
      <c r="AD99" s="190"/>
      <c r="AE99" s="85"/>
      <c r="AF99" s="191"/>
      <c r="AG99" s="85"/>
      <c r="AH99" s="200"/>
      <c r="AI99" s="85"/>
      <c r="AJ99" s="191"/>
      <c r="AK99" s="85"/>
      <c r="AL99" s="85"/>
      <c r="AM99" s="85"/>
      <c r="AN99" s="85"/>
      <c r="AO99" s="192"/>
      <c r="AP99" s="206"/>
      <c r="AQ99" s="206"/>
      <c r="AR99" s="206"/>
      <c r="AS99" s="206"/>
      <c r="AT99" s="206"/>
      <c r="AU99" s="206"/>
      <c r="AV99" s="206"/>
      <c r="AW99" s="106"/>
      <c r="AX99" s="106"/>
      <c r="AY99" s="106"/>
      <c r="AZ99" s="212"/>
      <c r="BE99" s="196"/>
      <c r="BF99" s="85"/>
      <c r="BG99" s="85"/>
      <c r="BH99" s="85"/>
      <c r="BI99" s="85"/>
      <c r="BJ99" s="85"/>
      <c r="BK99" s="85"/>
      <c r="BL99" s="204"/>
      <c r="BM99" s="85"/>
      <c r="BN99" s="85"/>
      <c r="BO99" s="85"/>
      <c r="BP99" s="85"/>
      <c r="BQ99" s="85"/>
      <c r="BR99" s="85"/>
      <c r="BS99" s="192"/>
      <c r="BT99" s="211"/>
      <c r="BU99" s="211"/>
      <c r="BV99" s="211"/>
      <c r="BW99" s="211"/>
      <c r="BX99" s="211"/>
      <c r="BY99" s="211"/>
      <c r="BZ99" s="211"/>
      <c r="CA99" s="106"/>
      <c r="CB99" s="106"/>
      <c r="CC99" s="106"/>
      <c r="CD99" s="106"/>
    </row>
    <row r="100" customFormat="false" ht="3" hidden="true" customHeight="true" outlineLevel="0" collapsed="false">
      <c r="B100" s="77"/>
      <c r="C100" s="190"/>
      <c r="D100" s="85"/>
      <c r="E100" s="191"/>
      <c r="F100" s="85"/>
      <c r="G100" s="200"/>
      <c r="H100" s="85"/>
      <c r="I100" s="191"/>
      <c r="J100" s="85"/>
      <c r="K100" s="85"/>
      <c r="L100" s="85"/>
      <c r="M100" s="85"/>
      <c r="N100" s="192"/>
      <c r="O100" s="206"/>
      <c r="P100" s="206"/>
      <c r="Q100" s="206"/>
      <c r="R100" s="206"/>
      <c r="S100" s="206"/>
      <c r="T100" s="206"/>
      <c r="U100" s="206"/>
      <c r="V100" s="106"/>
      <c r="W100" s="106"/>
      <c r="X100" s="106"/>
      <c r="Y100" s="212"/>
      <c r="Z100" s="213"/>
      <c r="AA100" s="213"/>
      <c r="AD100" s="190"/>
      <c r="AE100" s="85"/>
      <c r="AF100" s="191"/>
      <c r="AG100" s="85"/>
      <c r="AH100" s="200"/>
      <c r="AI100" s="85"/>
      <c r="AJ100" s="191"/>
      <c r="AK100" s="85"/>
      <c r="AL100" s="85"/>
      <c r="AM100" s="85"/>
      <c r="AN100" s="85"/>
      <c r="AO100" s="192"/>
      <c r="AP100" s="206"/>
      <c r="AQ100" s="206"/>
      <c r="AR100" s="206"/>
      <c r="AS100" s="206"/>
      <c r="AT100" s="206"/>
      <c r="AU100" s="206"/>
      <c r="AV100" s="206"/>
      <c r="AW100" s="106"/>
      <c r="AX100" s="106"/>
      <c r="AY100" s="106"/>
      <c r="AZ100" s="212"/>
      <c r="BE100" s="196"/>
      <c r="BF100" s="85"/>
      <c r="BG100" s="85"/>
      <c r="BH100" s="85"/>
      <c r="BI100" s="85"/>
      <c r="BJ100" s="85"/>
      <c r="BK100" s="85"/>
      <c r="BL100" s="204"/>
      <c r="BM100" s="85"/>
      <c r="BN100" s="85"/>
      <c r="BO100" s="85"/>
      <c r="BP100" s="85"/>
      <c r="BQ100" s="85"/>
      <c r="BR100" s="85"/>
      <c r="BS100" s="192"/>
      <c r="BT100" s="211"/>
      <c r="BU100" s="211"/>
      <c r="BV100" s="211"/>
      <c r="BW100" s="211"/>
      <c r="BX100" s="211"/>
      <c r="BY100" s="211"/>
      <c r="BZ100" s="211"/>
      <c r="CA100" s="106"/>
      <c r="CB100" s="106"/>
      <c r="CC100" s="106"/>
      <c r="CD100" s="106"/>
    </row>
    <row r="101" customFormat="false" ht="3" hidden="true" customHeight="true" outlineLevel="0" collapsed="false">
      <c r="B101" s="77"/>
      <c r="C101" s="190"/>
      <c r="D101" s="85"/>
      <c r="E101" s="191"/>
      <c r="F101" s="85"/>
      <c r="G101" s="200"/>
      <c r="H101" s="85"/>
      <c r="I101" s="191"/>
      <c r="J101" s="85"/>
      <c r="K101" s="85"/>
      <c r="L101" s="85"/>
      <c r="M101" s="85"/>
      <c r="N101" s="85"/>
      <c r="O101" s="206"/>
      <c r="P101" s="206"/>
      <c r="Q101" s="206"/>
      <c r="R101" s="206"/>
      <c r="S101" s="206"/>
      <c r="T101" s="206"/>
      <c r="U101" s="206"/>
      <c r="V101" s="106"/>
      <c r="W101" s="106"/>
      <c r="X101" s="106"/>
      <c r="Y101" s="212"/>
      <c r="Z101" s="213"/>
      <c r="AA101" s="213"/>
      <c r="AD101" s="190"/>
      <c r="AE101" s="85"/>
      <c r="AF101" s="191"/>
      <c r="AG101" s="85"/>
      <c r="AH101" s="200"/>
      <c r="AI101" s="85"/>
      <c r="AJ101" s="191"/>
      <c r="AK101" s="85"/>
      <c r="AL101" s="85"/>
      <c r="AM101" s="85"/>
      <c r="AN101" s="85"/>
      <c r="AO101" s="85"/>
      <c r="AP101" s="206"/>
      <c r="AQ101" s="206"/>
      <c r="AR101" s="206"/>
      <c r="AS101" s="206"/>
      <c r="AT101" s="206"/>
      <c r="AU101" s="206"/>
      <c r="AV101" s="206"/>
      <c r="AW101" s="106"/>
      <c r="AX101" s="106"/>
      <c r="AY101" s="106"/>
      <c r="AZ101" s="212"/>
      <c r="BE101" s="196"/>
      <c r="BF101" s="85"/>
      <c r="BG101" s="85"/>
      <c r="BH101" s="85"/>
      <c r="BI101" s="85"/>
      <c r="BJ101" s="85"/>
      <c r="BK101" s="85"/>
      <c r="BL101" s="204"/>
      <c r="BM101" s="85"/>
      <c r="BN101" s="85"/>
      <c r="BO101" s="85"/>
      <c r="BP101" s="85"/>
      <c r="BQ101" s="85"/>
      <c r="BR101" s="85"/>
      <c r="BS101" s="85"/>
      <c r="BT101" s="211"/>
      <c r="BU101" s="211"/>
      <c r="BV101" s="211"/>
      <c r="BW101" s="211"/>
      <c r="BX101" s="211"/>
      <c r="BY101" s="211"/>
      <c r="BZ101" s="211"/>
      <c r="CA101" s="106"/>
      <c r="CB101" s="106"/>
      <c r="CC101" s="106"/>
      <c r="CD101" s="106"/>
    </row>
    <row r="102" customFormat="false" ht="3" hidden="true" customHeight="true" outlineLevel="0" collapsed="false">
      <c r="B102" s="77"/>
      <c r="C102" s="190"/>
      <c r="D102" s="85"/>
      <c r="E102" s="191"/>
      <c r="F102" s="85"/>
      <c r="G102" s="200"/>
      <c r="H102" s="85"/>
      <c r="I102" s="191"/>
      <c r="J102" s="85"/>
      <c r="K102" s="85"/>
      <c r="L102" s="85"/>
      <c r="M102" s="85"/>
      <c r="N102" s="85"/>
      <c r="O102" s="206"/>
      <c r="P102" s="206"/>
      <c r="Q102" s="206"/>
      <c r="R102" s="206"/>
      <c r="S102" s="206"/>
      <c r="T102" s="206"/>
      <c r="U102" s="206"/>
      <c r="V102" s="106"/>
      <c r="W102" s="106"/>
      <c r="X102" s="106"/>
      <c r="Y102" s="212"/>
      <c r="Z102" s="213"/>
      <c r="AA102" s="213"/>
      <c r="AD102" s="190"/>
      <c r="AE102" s="85"/>
      <c r="AF102" s="191"/>
      <c r="AG102" s="85"/>
      <c r="AH102" s="200"/>
      <c r="AI102" s="85"/>
      <c r="AJ102" s="191"/>
      <c r="AK102" s="85"/>
      <c r="AL102" s="85"/>
      <c r="AM102" s="85"/>
      <c r="AN102" s="85"/>
      <c r="AO102" s="85"/>
      <c r="AP102" s="206"/>
      <c r="AQ102" s="206"/>
      <c r="AR102" s="206"/>
      <c r="AS102" s="206"/>
      <c r="AT102" s="206"/>
      <c r="AU102" s="206"/>
      <c r="AV102" s="206"/>
      <c r="AW102" s="106"/>
      <c r="AX102" s="106"/>
      <c r="AY102" s="106"/>
      <c r="AZ102" s="212"/>
      <c r="BE102" s="196"/>
      <c r="BF102" s="85"/>
      <c r="BG102" s="85"/>
      <c r="BH102" s="85"/>
      <c r="BI102" s="85"/>
      <c r="BJ102" s="85"/>
      <c r="BK102" s="85"/>
      <c r="BL102" s="204"/>
      <c r="BM102" s="85"/>
      <c r="BN102" s="85"/>
      <c r="BO102" s="85"/>
      <c r="BP102" s="85"/>
      <c r="BQ102" s="85"/>
      <c r="BR102" s="85"/>
      <c r="BS102" s="85"/>
      <c r="BT102" s="211"/>
      <c r="BU102" s="211"/>
      <c r="BV102" s="211"/>
      <c r="BW102" s="211"/>
      <c r="BX102" s="211"/>
      <c r="BY102" s="211"/>
      <c r="BZ102" s="211"/>
      <c r="CA102" s="106"/>
      <c r="CB102" s="106"/>
      <c r="CC102" s="106"/>
      <c r="CD102" s="106"/>
    </row>
    <row r="103" customFormat="false" ht="3" hidden="true" customHeight="true" outlineLevel="0" collapsed="false">
      <c r="B103" s="77"/>
      <c r="C103" s="190"/>
      <c r="D103" s="85"/>
      <c r="E103" s="191"/>
      <c r="F103" s="85"/>
      <c r="G103" s="200"/>
      <c r="H103" s="85"/>
      <c r="I103" s="191"/>
      <c r="J103" s="85"/>
      <c r="K103" s="85"/>
      <c r="L103" s="85"/>
      <c r="M103" s="85"/>
      <c r="N103" s="192"/>
      <c r="O103" s="206"/>
      <c r="P103" s="206"/>
      <c r="Q103" s="206"/>
      <c r="R103" s="206"/>
      <c r="S103" s="206"/>
      <c r="T103" s="206"/>
      <c r="U103" s="206"/>
      <c r="V103" s="106"/>
      <c r="W103" s="106"/>
      <c r="X103" s="106"/>
      <c r="Y103" s="212"/>
      <c r="Z103" s="213"/>
      <c r="AA103" s="213"/>
      <c r="AD103" s="190"/>
      <c r="AE103" s="85"/>
      <c r="AF103" s="191"/>
      <c r="AG103" s="85"/>
      <c r="AH103" s="200"/>
      <c r="AI103" s="85"/>
      <c r="AJ103" s="191"/>
      <c r="AK103" s="85"/>
      <c r="AL103" s="85"/>
      <c r="AM103" s="85"/>
      <c r="AN103" s="85"/>
      <c r="AO103" s="192"/>
      <c r="AP103" s="206"/>
      <c r="AQ103" s="206"/>
      <c r="AR103" s="206"/>
      <c r="AS103" s="206"/>
      <c r="AT103" s="206"/>
      <c r="AU103" s="206"/>
      <c r="AV103" s="206"/>
      <c r="AW103" s="106"/>
      <c r="AX103" s="106"/>
      <c r="AY103" s="106"/>
      <c r="AZ103" s="212"/>
      <c r="BE103" s="196"/>
      <c r="BF103" s="85"/>
      <c r="BG103" s="85"/>
      <c r="BH103" s="85"/>
      <c r="BI103" s="85"/>
      <c r="BJ103" s="85"/>
      <c r="BK103" s="85"/>
      <c r="BL103" s="204"/>
      <c r="BM103" s="85"/>
      <c r="BN103" s="85"/>
      <c r="BO103" s="85"/>
      <c r="BP103" s="85"/>
      <c r="BQ103" s="85"/>
      <c r="BR103" s="85"/>
      <c r="BS103" s="192"/>
      <c r="BT103" s="211"/>
      <c r="BU103" s="211"/>
      <c r="BV103" s="211"/>
      <c r="BW103" s="211"/>
      <c r="BX103" s="211"/>
      <c r="BY103" s="211"/>
      <c r="BZ103" s="211"/>
      <c r="CA103" s="106"/>
      <c r="CB103" s="106"/>
      <c r="CC103" s="106"/>
      <c r="CD103" s="106"/>
    </row>
    <row r="104" customFormat="false" ht="3" hidden="true" customHeight="true" outlineLevel="0" collapsed="false">
      <c r="B104" s="77"/>
      <c r="C104" s="190"/>
      <c r="D104" s="192"/>
      <c r="E104" s="191"/>
      <c r="F104" s="85"/>
      <c r="G104" s="200"/>
      <c r="H104" s="85"/>
      <c r="I104" s="1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106"/>
      <c r="W104" s="106"/>
      <c r="X104" s="106"/>
      <c r="Y104" s="212"/>
      <c r="Z104" s="213"/>
      <c r="AA104" s="213"/>
      <c r="AD104" s="190"/>
      <c r="AE104" s="192"/>
      <c r="AF104" s="191"/>
      <c r="AG104" s="85"/>
      <c r="AH104" s="200"/>
      <c r="AI104" s="85"/>
      <c r="AJ104" s="191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106"/>
      <c r="AX104" s="106"/>
      <c r="AY104" s="106"/>
      <c r="AZ104" s="212"/>
      <c r="BE104" s="196"/>
      <c r="BF104" s="192"/>
      <c r="BG104" s="85"/>
      <c r="BH104" s="85"/>
      <c r="BI104" s="85"/>
      <c r="BJ104" s="85"/>
      <c r="BK104" s="85"/>
      <c r="BL104" s="204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106"/>
      <c r="CB104" s="106"/>
      <c r="CC104" s="106"/>
      <c r="CD104" s="106"/>
    </row>
    <row r="105" customFormat="false" ht="3" hidden="true" customHeight="true" outlineLevel="0" collapsed="false">
      <c r="B105" s="77"/>
      <c r="C105" s="190"/>
      <c r="D105" s="192"/>
      <c r="E105" s="191"/>
      <c r="F105" s="85"/>
      <c r="G105" s="200"/>
      <c r="H105" s="85"/>
      <c r="I105" s="1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106"/>
      <c r="W105" s="106"/>
      <c r="X105" s="106"/>
      <c r="Y105" s="212"/>
      <c r="Z105" s="213"/>
      <c r="AA105" s="213"/>
      <c r="AD105" s="190"/>
      <c r="AE105" s="192"/>
      <c r="AF105" s="191"/>
      <c r="AG105" s="85"/>
      <c r="AH105" s="200"/>
      <c r="AI105" s="85"/>
      <c r="AJ105" s="191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106"/>
      <c r="AX105" s="106"/>
      <c r="AY105" s="106"/>
      <c r="AZ105" s="212"/>
      <c r="BE105" s="196"/>
      <c r="BF105" s="192"/>
      <c r="BG105" s="85"/>
      <c r="BH105" s="85"/>
      <c r="BI105" s="85"/>
      <c r="BJ105" s="85"/>
      <c r="BK105" s="85"/>
      <c r="BL105" s="204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106"/>
      <c r="CB105" s="106"/>
      <c r="CC105" s="106"/>
      <c r="CD105" s="106"/>
    </row>
    <row r="106" customFormat="false" ht="3" hidden="true" customHeight="true" outlineLevel="0" collapsed="false">
      <c r="B106" s="77"/>
      <c r="C106" s="190"/>
      <c r="D106" s="85"/>
      <c r="E106" s="191"/>
      <c r="F106" s="85"/>
      <c r="G106" s="200"/>
      <c r="H106" s="85"/>
      <c r="I106" s="191"/>
      <c r="J106" s="85"/>
      <c r="K106" s="85"/>
      <c r="L106" s="85"/>
      <c r="M106" s="85"/>
      <c r="N106" s="192"/>
      <c r="O106" s="206" t="n">
        <f aca="false">O90-Y90</f>
        <v>0</v>
      </c>
      <c r="P106" s="206"/>
      <c r="Q106" s="206"/>
      <c r="R106" s="206"/>
      <c r="S106" s="206"/>
      <c r="T106" s="206"/>
      <c r="U106" s="206"/>
      <c r="V106" s="106"/>
      <c r="W106" s="106"/>
      <c r="X106" s="106"/>
      <c r="Y106" s="212"/>
      <c r="Z106" s="213"/>
      <c r="AA106" s="213"/>
      <c r="AD106" s="190"/>
      <c r="AE106" s="85"/>
      <c r="AF106" s="191"/>
      <c r="AG106" s="85"/>
      <c r="AH106" s="200"/>
      <c r="AI106" s="85"/>
      <c r="AJ106" s="191"/>
      <c r="AK106" s="85"/>
      <c r="AL106" s="85"/>
      <c r="AM106" s="85"/>
      <c r="AN106" s="85"/>
      <c r="AO106" s="192"/>
      <c r="AP106" s="206" t="n">
        <f aca="false">AP90-AZ90</f>
        <v>0</v>
      </c>
      <c r="AQ106" s="206"/>
      <c r="AR106" s="206"/>
      <c r="AS106" s="206"/>
      <c r="AT106" s="206"/>
      <c r="AU106" s="206"/>
      <c r="AV106" s="206"/>
      <c r="AW106" s="106"/>
      <c r="AX106" s="106"/>
      <c r="AY106" s="106"/>
      <c r="AZ106" s="212"/>
      <c r="BE106" s="196"/>
      <c r="BF106" s="85"/>
      <c r="BG106" s="85"/>
      <c r="BH106" s="85"/>
      <c r="BI106" s="85"/>
      <c r="BJ106" s="85"/>
      <c r="BK106" s="85"/>
      <c r="BL106" s="204"/>
      <c r="BM106" s="85"/>
      <c r="BN106" s="85"/>
      <c r="BO106" s="85"/>
      <c r="BP106" s="85"/>
      <c r="BQ106" s="85"/>
      <c r="BR106" s="85"/>
      <c r="BS106" s="192"/>
      <c r="BT106" s="208"/>
      <c r="BU106" s="211"/>
      <c r="BV106" s="211"/>
      <c r="BW106" s="211"/>
      <c r="BX106" s="211"/>
      <c r="BY106" s="211"/>
      <c r="BZ106" s="211"/>
      <c r="CA106" s="106"/>
      <c r="CB106" s="106"/>
      <c r="CC106" s="106"/>
      <c r="CD106" s="106"/>
    </row>
    <row r="107" customFormat="false" ht="3" hidden="true" customHeight="true" outlineLevel="0" collapsed="false">
      <c r="B107" s="77"/>
      <c r="C107" s="190"/>
      <c r="D107" s="85"/>
      <c r="E107" s="191"/>
      <c r="F107" s="85"/>
      <c r="G107" s="200"/>
      <c r="H107" s="85"/>
      <c r="I107" s="191"/>
      <c r="J107" s="85"/>
      <c r="K107" s="85"/>
      <c r="L107" s="85"/>
      <c r="M107" s="85"/>
      <c r="N107" s="192"/>
      <c r="O107" s="206"/>
      <c r="P107" s="206"/>
      <c r="Q107" s="206"/>
      <c r="R107" s="206"/>
      <c r="S107" s="206"/>
      <c r="T107" s="206"/>
      <c r="U107" s="206"/>
      <c r="V107" s="106"/>
      <c r="W107" s="106"/>
      <c r="X107" s="106"/>
      <c r="Y107" s="212"/>
      <c r="Z107" s="213"/>
      <c r="AA107" s="213"/>
      <c r="AD107" s="190"/>
      <c r="AE107" s="85"/>
      <c r="AF107" s="191"/>
      <c r="AG107" s="85"/>
      <c r="AH107" s="200"/>
      <c r="AI107" s="85"/>
      <c r="AJ107" s="191"/>
      <c r="AK107" s="85"/>
      <c r="AL107" s="85"/>
      <c r="AM107" s="85"/>
      <c r="AN107" s="85"/>
      <c r="AO107" s="192"/>
      <c r="AP107" s="206"/>
      <c r="AQ107" s="206"/>
      <c r="AR107" s="206"/>
      <c r="AS107" s="206"/>
      <c r="AT107" s="206"/>
      <c r="AU107" s="206"/>
      <c r="AV107" s="206"/>
      <c r="AW107" s="106"/>
      <c r="AX107" s="106"/>
      <c r="AY107" s="106"/>
      <c r="AZ107" s="212"/>
      <c r="BE107" s="196"/>
      <c r="BF107" s="85"/>
      <c r="BG107" s="85"/>
      <c r="BH107" s="85"/>
      <c r="BI107" s="85"/>
      <c r="BJ107" s="85"/>
      <c r="BK107" s="85"/>
      <c r="BL107" s="204"/>
      <c r="BM107" s="85"/>
      <c r="BN107" s="85"/>
      <c r="BO107" s="85"/>
      <c r="BP107" s="85"/>
      <c r="BQ107" s="85"/>
      <c r="BR107" s="85"/>
      <c r="BS107" s="192"/>
      <c r="BT107" s="211"/>
      <c r="BU107" s="211"/>
      <c r="BV107" s="211"/>
      <c r="BW107" s="211"/>
      <c r="BX107" s="211"/>
      <c r="BY107" s="211"/>
      <c r="BZ107" s="211"/>
      <c r="CA107" s="106"/>
      <c r="CB107" s="106"/>
      <c r="CC107" s="106"/>
      <c r="CD107" s="106"/>
    </row>
    <row r="108" customFormat="false" ht="3" hidden="true" customHeight="true" outlineLevel="0" collapsed="false">
      <c r="B108" s="77"/>
      <c r="C108" s="190"/>
      <c r="D108" s="85"/>
      <c r="E108" s="191"/>
      <c r="F108" s="85"/>
      <c r="G108" s="200"/>
      <c r="H108" s="85"/>
      <c r="I108" s="191"/>
      <c r="J108" s="85"/>
      <c r="K108" s="85"/>
      <c r="L108" s="85"/>
      <c r="M108" s="85"/>
      <c r="N108" s="192"/>
      <c r="O108" s="206"/>
      <c r="P108" s="206"/>
      <c r="Q108" s="206"/>
      <c r="R108" s="206"/>
      <c r="S108" s="206"/>
      <c r="T108" s="206"/>
      <c r="U108" s="206"/>
      <c r="V108" s="106"/>
      <c r="W108" s="106"/>
      <c r="X108" s="106"/>
      <c r="Y108" s="212"/>
      <c r="Z108" s="213"/>
      <c r="AA108" s="213"/>
      <c r="AD108" s="190"/>
      <c r="AE108" s="85"/>
      <c r="AF108" s="191"/>
      <c r="AG108" s="85"/>
      <c r="AH108" s="200"/>
      <c r="AI108" s="85"/>
      <c r="AJ108" s="191"/>
      <c r="AK108" s="85"/>
      <c r="AL108" s="85"/>
      <c r="AM108" s="85"/>
      <c r="AN108" s="85"/>
      <c r="AO108" s="192"/>
      <c r="AP108" s="206"/>
      <c r="AQ108" s="206"/>
      <c r="AR108" s="206"/>
      <c r="AS108" s="206"/>
      <c r="AT108" s="206"/>
      <c r="AU108" s="206"/>
      <c r="AV108" s="206"/>
      <c r="AW108" s="106"/>
      <c r="AX108" s="106"/>
      <c r="AY108" s="106"/>
      <c r="AZ108" s="212"/>
      <c r="BE108" s="196"/>
      <c r="BF108" s="85"/>
      <c r="BG108" s="85"/>
      <c r="BH108" s="85"/>
      <c r="BI108" s="85"/>
      <c r="BJ108" s="85"/>
      <c r="BK108" s="85"/>
      <c r="BL108" s="204"/>
      <c r="BM108" s="85"/>
      <c r="BN108" s="85"/>
      <c r="BO108" s="85"/>
      <c r="BP108" s="85"/>
      <c r="BQ108" s="85"/>
      <c r="BR108" s="85"/>
      <c r="BS108" s="192"/>
      <c r="BT108" s="211"/>
      <c r="BU108" s="211"/>
      <c r="BV108" s="211"/>
      <c r="BW108" s="211"/>
      <c r="BX108" s="211"/>
      <c r="BY108" s="211"/>
      <c r="BZ108" s="211"/>
      <c r="CA108" s="106"/>
      <c r="CB108" s="106"/>
      <c r="CC108" s="106"/>
      <c r="CD108" s="106"/>
    </row>
    <row r="109" customFormat="false" ht="3" hidden="true" customHeight="true" outlineLevel="0" collapsed="false">
      <c r="B109" s="77"/>
      <c r="C109" s="190"/>
      <c r="D109" s="85"/>
      <c r="E109" s="191"/>
      <c r="F109" s="85"/>
      <c r="G109" s="200"/>
      <c r="H109" s="85"/>
      <c r="I109" s="191"/>
      <c r="J109" s="85"/>
      <c r="K109" s="85"/>
      <c r="L109" s="85"/>
      <c r="M109" s="85"/>
      <c r="N109" s="85"/>
      <c r="O109" s="206"/>
      <c r="P109" s="206"/>
      <c r="Q109" s="206"/>
      <c r="R109" s="206"/>
      <c r="S109" s="206"/>
      <c r="T109" s="206"/>
      <c r="U109" s="206"/>
      <c r="V109" s="106"/>
      <c r="W109" s="106"/>
      <c r="X109" s="106"/>
      <c r="Y109" s="212"/>
      <c r="Z109" s="213"/>
      <c r="AA109" s="213"/>
      <c r="AD109" s="190"/>
      <c r="AE109" s="85"/>
      <c r="AF109" s="191"/>
      <c r="AG109" s="85"/>
      <c r="AH109" s="200"/>
      <c r="AI109" s="85"/>
      <c r="AJ109" s="191"/>
      <c r="AK109" s="85"/>
      <c r="AL109" s="85"/>
      <c r="AM109" s="85"/>
      <c r="AN109" s="85"/>
      <c r="AO109" s="85"/>
      <c r="AP109" s="206"/>
      <c r="AQ109" s="206"/>
      <c r="AR109" s="206"/>
      <c r="AS109" s="206"/>
      <c r="AT109" s="206"/>
      <c r="AU109" s="206"/>
      <c r="AV109" s="206"/>
      <c r="AW109" s="106"/>
      <c r="AX109" s="106"/>
      <c r="AY109" s="106"/>
      <c r="AZ109" s="212"/>
      <c r="BE109" s="196"/>
      <c r="BF109" s="85"/>
      <c r="BG109" s="85"/>
      <c r="BH109" s="85"/>
      <c r="BI109" s="85"/>
      <c r="BJ109" s="85"/>
      <c r="BK109" s="85"/>
      <c r="BL109" s="204"/>
      <c r="BM109" s="85"/>
      <c r="BN109" s="85"/>
      <c r="BO109" s="85"/>
      <c r="BP109" s="85"/>
      <c r="BQ109" s="85"/>
      <c r="BR109" s="85"/>
      <c r="BS109" s="85"/>
      <c r="BT109" s="211"/>
      <c r="BU109" s="211"/>
      <c r="BV109" s="211"/>
      <c r="BW109" s="211"/>
      <c r="BX109" s="211"/>
      <c r="BY109" s="211"/>
      <c r="BZ109" s="211"/>
      <c r="CA109" s="106"/>
      <c r="CB109" s="106"/>
      <c r="CC109" s="106"/>
      <c r="CD109" s="106"/>
    </row>
    <row r="110" customFormat="false" ht="3" hidden="true" customHeight="true" outlineLevel="0" collapsed="false">
      <c r="B110" s="77"/>
      <c r="C110" s="190"/>
      <c r="D110" s="85"/>
      <c r="E110" s="191"/>
      <c r="F110" s="85"/>
      <c r="G110" s="200"/>
      <c r="H110" s="85"/>
      <c r="I110" s="191"/>
      <c r="J110" s="85"/>
      <c r="K110" s="85"/>
      <c r="L110" s="85"/>
      <c r="M110" s="85"/>
      <c r="N110" s="85"/>
      <c r="O110" s="206"/>
      <c r="P110" s="206"/>
      <c r="Q110" s="206"/>
      <c r="R110" s="206"/>
      <c r="S110" s="206"/>
      <c r="T110" s="206"/>
      <c r="U110" s="206"/>
      <c r="V110" s="106"/>
      <c r="W110" s="106"/>
      <c r="X110" s="106"/>
      <c r="Y110" s="212"/>
      <c r="Z110" s="213"/>
      <c r="AA110" s="213"/>
      <c r="AD110" s="190"/>
      <c r="AE110" s="85"/>
      <c r="AF110" s="191"/>
      <c r="AG110" s="85"/>
      <c r="AH110" s="200"/>
      <c r="AI110" s="85"/>
      <c r="AJ110" s="191"/>
      <c r="AK110" s="85"/>
      <c r="AL110" s="85"/>
      <c r="AM110" s="85"/>
      <c r="AN110" s="85"/>
      <c r="AO110" s="85"/>
      <c r="AP110" s="206"/>
      <c r="AQ110" s="206"/>
      <c r="AR110" s="206"/>
      <c r="AS110" s="206"/>
      <c r="AT110" s="206"/>
      <c r="AU110" s="206"/>
      <c r="AV110" s="206"/>
      <c r="AW110" s="106"/>
      <c r="AX110" s="106"/>
      <c r="AY110" s="106"/>
      <c r="AZ110" s="212"/>
      <c r="BE110" s="196"/>
      <c r="BF110" s="85"/>
      <c r="BG110" s="85"/>
      <c r="BH110" s="85"/>
      <c r="BI110" s="85"/>
      <c r="BJ110" s="85"/>
      <c r="BK110" s="85"/>
      <c r="BL110" s="204"/>
      <c r="BM110" s="85"/>
      <c r="BN110" s="85"/>
      <c r="BO110" s="85"/>
      <c r="BP110" s="85"/>
      <c r="BQ110" s="85"/>
      <c r="BR110" s="85"/>
      <c r="BS110" s="85"/>
      <c r="BT110" s="211"/>
      <c r="BU110" s="211"/>
      <c r="BV110" s="211"/>
      <c r="BW110" s="211"/>
      <c r="BX110" s="211"/>
      <c r="BY110" s="211"/>
      <c r="BZ110" s="211"/>
      <c r="CA110" s="106"/>
      <c r="CB110" s="106"/>
      <c r="CC110" s="106"/>
      <c r="CD110" s="106"/>
    </row>
    <row r="111" customFormat="false" ht="3" hidden="true" customHeight="true" outlineLevel="0" collapsed="false">
      <c r="B111" s="77"/>
      <c r="C111" s="190"/>
      <c r="D111" s="85"/>
      <c r="E111" s="191"/>
      <c r="F111" s="85"/>
      <c r="G111" s="200"/>
      <c r="H111" s="85"/>
      <c r="I111" s="191"/>
      <c r="J111" s="85"/>
      <c r="K111" s="85"/>
      <c r="L111" s="85"/>
      <c r="M111" s="85"/>
      <c r="N111" s="192"/>
      <c r="O111" s="206"/>
      <c r="P111" s="206"/>
      <c r="Q111" s="206"/>
      <c r="R111" s="206"/>
      <c r="S111" s="206"/>
      <c r="T111" s="206"/>
      <c r="U111" s="206"/>
      <c r="V111" s="85"/>
      <c r="W111" s="85"/>
      <c r="X111" s="85"/>
      <c r="Y111" s="198"/>
      <c r="AD111" s="190"/>
      <c r="AE111" s="85"/>
      <c r="AF111" s="191"/>
      <c r="AG111" s="85"/>
      <c r="AH111" s="200"/>
      <c r="AI111" s="85"/>
      <c r="AJ111" s="191"/>
      <c r="AK111" s="85"/>
      <c r="AL111" s="85"/>
      <c r="AM111" s="85"/>
      <c r="AN111" s="85"/>
      <c r="AO111" s="192"/>
      <c r="AP111" s="206"/>
      <c r="AQ111" s="206"/>
      <c r="AR111" s="206"/>
      <c r="AS111" s="206"/>
      <c r="AT111" s="206"/>
      <c r="AU111" s="206"/>
      <c r="AV111" s="206"/>
      <c r="AW111" s="85"/>
      <c r="AX111" s="85"/>
      <c r="AY111" s="85"/>
      <c r="AZ111" s="198"/>
      <c r="BE111" s="196"/>
      <c r="BF111" s="85"/>
      <c r="BG111" s="85"/>
      <c r="BH111" s="85"/>
      <c r="BI111" s="85"/>
      <c r="BJ111" s="85"/>
      <c r="BK111" s="85"/>
      <c r="BL111" s="204"/>
      <c r="BM111" s="85"/>
      <c r="BN111" s="85"/>
      <c r="BO111" s="85"/>
      <c r="BP111" s="85"/>
      <c r="BQ111" s="85"/>
      <c r="BR111" s="85"/>
      <c r="BS111" s="192"/>
      <c r="BT111" s="211"/>
      <c r="BU111" s="211"/>
      <c r="BV111" s="211"/>
      <c r="BW111" s="211"/>
      <c r="BX111" s="211"/>
      <c r="BY111" s="211"/>
      <c r="BZ111" s="211"/>
      <c r="CA111" s="85"/>
      <c r="CB111" s="85"/>
      <c r="CC111" s="85"/>
      <c r="CD111" s="85"/>
    </row>
    <row r="112" customFormat="false" ht="3" hidden="true" customHeight="true" outlineLevel="0" collapsed="false">
      <c r="C112" s="190"/>
      <c r="D112" s="85"/>
      <c r="E112" s="191"/>
      <c r="F112" s="85"/>
      <c r="G112" s="200"/>
      <c r="H112" s="85"/>
      <c r="I112" s="1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198"/>
      <c r="AD112" s="190"/>
      <c r="AE112" s="85"/>
      <c r="AF112" s="191"/>
      <c r="AG112" s="85"/>
      <c r="AH112" s="200"/>
      <c r="AI112" s="85"/>
      <c r="AJ112" s="191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198"/>
      <c r="BE112" s="196"/>
      <c r="BF112" s="85"/>
      <c r="BG112" s="85"/>
      <c r="BH112" s="85"/>
      <c r="BI112" s="85"/>
      <c r="BJ112" s="85"/>
      <c r="BK112" s="85"/>
      <c r="BL112" s="204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</row>
    <row r="113" customFormat="false" ht="9" hidden="true" customHeight="true" outlineLevel="0" collapsed="false">
      <c r="C113" s="172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198"/>
      <c r="AD113" s="172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198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</row>
    <row r="114" customFormat="false" ht="3" hidden="true" customHeight="true" outlineLevel="0" collapsed="false">
      <c r="B114" s="77"/>
      <c r="C114" s="190" t="s">
        <v>55</v>
      </c>
      <c r="E114" s="214" t="s">
        <v>47</v>
      </c>
      <c r="G114" s="200" t="n">
        <f aca="false">G98</f>
        <v>1897.33</v>
      </c>
      <c r="I114" s="214" t="s">
        <v>49</v>
      </c>
      <c r="K114" s="206" t="e">
        <f aca="false">O98/O106</f>
        <v>#DIV/0!</v>
      </c>
      <c r="L114" s="206"/>
      <c r="M114" s="206"/>
      <c r="N114" s="206"/>
      <c r="O114" s="206"/>
      <c r="P114" s="206"/>
      <c r="Q114" s="206"/>
      <c r="R114" s="206"/>
      <c r="S114" s="206"/>
      <c r="T114" s="215"/>
      <c r="U114" s="215"/>
      <c r="Y114" s="171"/>
      <c r="AD114" s="190" t="s">
        <v>55</v>
      </c>
      <c r="AF114" s="214" t="s">
        <v>47</v>
      </c>
      <c r="AH114" s="200" t="n">
        <f aca="false">AH98</f>
        <v>1857.33</v>
      </c>
      <c r="AJ114" s="214" t="s">
        <v>49</v>
      </c>
      <c r="AL114" s="206" t="e">
        <f aca="false">AP98/AP106</f>
        <v>#DIV/0!</v>
      </c>
      <c r="AM114" s="206"/>
      <c r="AN114" s="206"/>
      <c r="AO114" s="206"/>
      <c r="AP114" s="206"/>
      <c r="AQ114" s="206"/>
      <c r="AR114" s="206"/>
      <c r="AS114" s="206"/>
      <c r="AT114" s="206"/>
      <c r="AU114" s="215"/>
      <c r="AV114" s="215"/>
      <c r="AZ114" s="171"/>
      <c r="BE114" s="196"/>
      <c r="BL114" s="204"/>
      <c r="BP114" s="208"/>
      <c r="BQ114" s="208"/>
      <c r="BR114" s="208"/>
      <c r="BS114" s="208"/>
      <c r="BT114" s="208"/>
      <c r="BU114" s="208"/>
      <c r="BV114" s="208"/>
      <c r="BW114" s="208"/>
      <c r="BX114" s="208"/>
      <c r="BY114" s="215"/>
      <c r="BZ114" s="215"/>
    </row>
    <row r="115" customFormat="false" ht="3" hidden="true" customHeight="true" outlineLevel="0" collapsed="false">
      <c r="B115" s="77"/>
      <c r="C115" s="190"/>
      <c r="E115" s="214"/>
      <c r="G115" s="200"/>
      <c r="I115" s="214"/>
      <c r="K115" s="206"/>
      <c r="L115" s="206"/>
      <c r="M115" s="206"/>
      <c r="N115" s="206"/>
      <c r="O115" s="206"/>
      <c r="P115" s="206"/>
      <c r="Q115" s="206"/>
      <c r="R115" s="206"/>
      <c r="S115" s="206"/>
      <c r="T115" s="215"/>
      <c r="U115" s="215"/>
      <c r="Y115" s="171"/>
      <c r="AD115" s="190"/>
      <c r="AF115" s="214"/>
      <c r="AH115" s="200"/>
      <c r="AJ115" s="214"/>
      <c r="AL115" s="206"/>
      <c r="AM115" s="206"/>
      <c r="AN115" s="206"/>
      <c r="AO115" s="206"/>
      <c r="AP115" s="206"/>
      <c r="AQ115" s="206"/>
      <c r="AR115" s="206"/>
      <c r="AS115" s="206"/>
      <c r="AT115" s="206"/>
      <c r="AU115" s="215"/>
      <c r="AV115" s="215"/>
      <c r="AZ115" s="171"/>
      <c r="BE115" s="196"/>
      <c r="BL115" s="204"/>
      <c r="BP115" s="208"/>
      <c r="BQ115" s="208"/>
      <c r="BR115" s="208"/>
      <c r="BS115" s="208"/>
      <c r="BT115" s="208"/>
      <c r="BU115" s="208"/>
      <c r="BV115" s="208"/>
      <c r="BW115" s="208"/>
      <c r="BX115" s="208"/>
      <c r="BY115" s="215"/>
      <c r="BZ115" s="215"/>
    </row>
    <row r="116" customFormat="false" ht="3" hidden="true" customHeight="true" outlineLevel="0" collapsed="false">
      <c r="B116" s="77"/>
      <c r="C116" s="190"/>
      <c r="E116" s="214"/>
      <c r="G116" s="200"/>
      <c r="I116" s="214"/>
      <c r="K116" s="206"/>
      <c r="L116" s="206"/>
      <c r="M116" s="206"/>
      <c r="N116" s="206"/>
      <c r="O116" s="206"/>
      <c r="P116" s="206"/>
      <c r="Q116" s="206"/>
      <c r="R116" s="206"/>
      <c r="S116" s="206"/>
      <c r="T116" s="215"/>
      <c r="U116" s="215"/>
      <c r="Y116" s="171"/>
      <c r="AD116" s="190"/>
      <c r="AF116" s="214"/>
      <c r="AH116" s="200"/>
      <c r="AJ116" s="214"/>
      <c r="AL116" s="206"/>
      <c r="AM116" s="206"/>
      <c r="AN116" s="206"/>
      <c r="AO116" s="206"/>
      <c r="AP116" s="206"/>
      <c r="AQ116" s="206"/>
      <c r="AR116" s="206"/>
      <c r="AS116" s="206"/>
      <c r="AT116" s="206"/>
      <c r="AU116" s="215"/>
      <c r="AV116" s="215"/>
      <c r="AZ116" s="171"/>
      <c r="BE116" s="196"/>
      <c r="BL116" s="204"/>
      <c r="BP116" s="208"/>
      <c r="BQ116" s="208"/>
      <c r="BR116" s="208"/>
      <c r="BS116" s="208"/>
      <c r="BT116" s="208"/>
      <c r="BU116" s="208"/>
      <c r="BV116" s="208"/>
      <c r="BW116" s="208"/>
      <c r="BX116" s="208"/>
      <c r="BY116" s="215"/>
      <c r="BZ116" s="215"/>
    </row>
    <row r="117" customFormat="false" ht="3" hidden="true" customHeight="true" outlineLevel="0" collapsed="false">
      <c r="B117" s="77"/>
      <c r="C117" s="190"/>
      <c r="E117" s="214"/>
      <c r="G117" s="200"/>
      <c r="I117" s="214"/>
      <c r="K117" s="206"/>
      <c r="L117" s="206"/>
      <c r="M117" s="206"/>
      <c r="N117" s="206"/>
      <c r="O117" s="206"/>
      <c r="P117" s="206"/>
      <c r="Q117" s="206"/>
      <c r="R117" s="206"/>
      <c r="S117" s="206"/>
      <c r="T117" s="215"/>
      <c r="U117" s="215"/>
      <c r="Y117" s="171"/>
      <c r="AD117" s="190"/>
      <c r="AF117" s="214"/>
      <c r="AH117" s="200"/>
      <c r="AJ117" s="214"/>
      <c r="AL117" s="206"/>
      <c r="AM117" s="206"/>
      <c r="AN117" s="206"/>
      <c r="AO117" s="206"/>
      <c r="AP117" s="206"/>
      <c r="AQ117" s="206"/>
      <c r="AR117" s="206"/>
      <c r="AS117" s="206"/>
      <c r="AT117" s="206"/>
      <c r="AU117" s="215"/>
      <c r="AV117" s="215"/>
      <c r="AZ117" s="171"/>
      <c r="BE117" s="196"/>
      <c r="BL117" s="204"/>
      <c r="BP117" s="208"/>
      <c r="BQ117" s="208"/>
      <c r="BR117" s="208"/>
      <c r="BS117" s="208"/>
      <c r="BT117" s="208"/>
      <c r="BU117" s="208"/>
      <c r="BV117" s="208"/>
      <c r="BW117" s="208"/>
      <c r="BX117" s="208"/>
      <c r="BY117" s="215"/>
      <c r="BZ117" s="215"/>
    </row>
    <row r="118" customFormat="false" ht="3" hidden="true" customHeight="true" outlineLevel="0" collapsed="false">
      <c r="B118" s="77"/>
      <c r="C118" s="190"/>
      <c r="E118" s="214"/>
      <c r="G118" s="200"/>
      <c r="I118" s="214"/>
      <c r="K118" s="206"/>
      <c r="L118" s="206"/>
      <c r="M118" s="206"/>
      <c r="N118" s="206"/>
      <c r="O118" s="206"/>
      <c r="P118" s="206"/>
      <c r="Q118" s="206"/>
      <c r="R118" s="206"/>
      <c r="S118" s="206"/>
      <c r="T118" s="215"/>
      <c r="U118" s="215"/>
      <c r="Y118" s="171"/>
      <c r="AD118" s="190"/>
      <c r="AF118" s="214"/>
      <c r="AH118" s="200"/>
      <c r="AJ118" s="214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15"/>
      <c r="AV118" s="215"/>
      <c r="AZ118" s="171"/>
      <c r="BE118" s="196"/>
      <c r="BL118" s="204"/>
      <c r="BP118" s="208"/>
      <c r="BQ118" s="208"/>
      <c r="BR118" s="208"/>
      <c r="BS118" s="208"/>
      <c r="BT118" s="208"/>
      <c r="BU118" s="208"/>
      <c r="BV118" s="208"/>
      <c r="BW118" s="208"/>
      <c r="BX118" s="208"/>
      <c r="BY118" s="215"/>
      <c r="BZ118" s="215"/>
    </row>
    <row r="119" customFormat="false" ht="3" hidden="true" customHeight="true" outlineLevel="0" collapsed="false">
      <c r="B119" s="77"/>
      <c r="C119" s="190"/>
      <c r="E119" s="214"/>
      <c r="G119" s="200"/>
      <c r="I119" s="214"/>
      <c r="K119" s="206"/>
      <c r="L119" s="206"/>
      <c r="M119" s="206"/>
      <c r="N119" s="206"/>
      <c r="O119" s="206"/>
      <c r="P119" s="206"/>
      <c r="Q119" s="206"/>
      <c r="R119" s="206"/>
      <c r="S119" s="206"/>
      <c r="T119" s="215"/>
      <c r="U119" s="215"/>
      <c r="Y119" s="171"/>
      <c r="AD119" s="190"/>
      <c r="AF119" s="214"/>
      <c r="AH119" s="200"/>
      <c r="AJ119" s="214"/>
      <c r="AL119" s="206"/>
      <c r="AM119" s="206"/>
      <c r="AN119" s="206"/>
      <c r="AO119" s="206"/>
      <c r="AP119" s="206"/>
      <c r="AQ119" s="206"/>
      <c r="AR119" s="206"/>
      <c r="AS119" s="206"/>
      <c r="AT119" s="206"/>
      <c r="AU119" s="215"/>
      <c r="AV119" s="215"/>
      <c r="AZ119" s="171"/>
      <c r="BE119" s="196"/>
      <c r="BL119" s="204"/>
      <c r="BP119" s="208"/>
      <c r="BQ119" s="208"/>
      <c r="BR119" s="208"/>
      <c r="BS119" s="208"/>
      <c r="BT119" s="208"/>
      <c r="BU119" s="208"/>
      <c r="BV119" s="208"/>
      <c r="BW119" s="208"/>
      <c r="BX119" s="208"/>
      <c r="BY119" s="215"/>
      <c r="BZ119" s="215"/>
    </row>
    <row r="120" customFormat="false" ht="3" hidden="true" customHeight="true" outlineLevel="0" collapsed="false">
      <c r="B120" s="77"/>
      <c r="C120" s="190"/>
      <c r="D120" s="77"/>
      <c r="E120" s="214"/>
      <c r="G120" s="200"/>
      <c r="I120" s="214"/>
      <c r="K120" s="206"/>
      <c r="L120" s="206"/>
      <c r="M120" s="206"/>
      <c r="N120" s="206"/>
      <c r="O120" s="206"/>
      <c r="P120" s="206"/>
      <c r="Q120" s="206"/>
      <c r="R120" s="206"/>
      <c r="S120" s="206"/>
      <c r="Y120" s="171"/>
      <c r="AD120" s="190"/>
      <c r="AE120" s="77"/>
      <c r="AF120" s="214"/>
      <c r="AH120" s="200"/>
      <c r="AJ120" s="214"/>
      <c r="AL120" s="206"/>
      <c r="AM120" s="206"/>
      <c r="AN120" s="206"/>
      <c r="AO120" s="206"/>
      <c r="AP120" s="206"/>
      <c r="AQ120" s="206"/>
      <c r="AR120" s="206"/>
      <c r="AS120" s="206"/>
      <c r="AT120" s="206"/>
      <c r="AZ120" s="171"/>
      <c r="BE120" s="196"/>
      <c r="BF120" s="77"/>
      <c r="BL120" s="204"/>
      <c r="BP120" s="208"/>
      <c r="BQ120" s="208"/>
      <c r="BR120" s="208"/>
      <c r="BS120" s="208"/>
      <c r="BT120" s="208"/>
      <c r="BU120" s="208"/>
      <c r="BV120" s="208"/>
      <c r="BW120" s="208"/>
      <c r="BX120" s="208"/>
    </row>
    <row r="121" customFormat="false" ht="9" hidden="true" customHeight="true" outlineLevel="0" collapsed="false">
      <c r="C121" s="170"/>
      <c r="Y121" s="171"/>
      <c r="AD121" s="170"/>
      <c r="AZ121" s="171"/>
    </row>
    <row r="122" customFormat="false" ht="3" hidden="false" customHeight="true" outlineLevel="0" collapsed="false">
      <c r="B122" s="77"/>
      <c r="C122" s="216" t="s">
        <v>46</v>
      </c>
      <c r="E122" s="217" t="s">
        <v>47</v>
      </c>
      <c r="G122" s="218" t="e">
        <f aca="false">(G114*K114)</f>
        <v>#DIV/0!</v>
      </c>
      <c r="I122" s="7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5"/>
      <c r="U122" s="215"/>
      <c r="Y122" s="171"/>
      <c r="AD122" s="216" t="s">
        <v>46</v>
      </c>
      <c r="AF122" s="217" t="s">
        <v>47</v>
      </c>
      <c r="AH122" s="218" t="e">
        <f aca="false">(AH114*AL114)</f>
        <v>#DIV/0!</v>
      </c>
      <c r="AJ122" s="77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5"/>
      <c r="AV122" s="215"/>
      <c r="AZ122" s="171"/>
      <c r="BE122" s="196"/>
      <c r="BG122" s="85"/>
      <c r="BL122" s="204"/>
      <c r="BN122" s="77"/>
      <c r="BP122" s="219"/>
      <c r="BQ122" s="219"/>
      <c r="BR122" s="219"/>
      <c r="BS122" s="219"/>
      <c r="BT122" s="219"/>
      <c r="BU122" s="219"/>
      <c r="BV122" s="219"/>
      <c r="BW122" s="219"/>
      <c r="BX122" s="219"/>
      <c r="BY122" s="215"/>
      <c r="BZ122" s="215"/>
    </row>
    <row r="123" customFormat="false" ht="3" hidden="false" customHeight="true" outlineLevel="0" collapsed="false">
      <c r="B123" s="77"/>
      <c r="C123" s="216"/>
      <c r="E123" s="217"/>
      <c r="G123" s="218"/>
      <c r="I123" s="7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5"/>
      <c r="U123" s="215"/>
      <c r="Y123" s="171"/>
      <c r="AD123" s="216"/>
      <c r="AF123" s="217"/>
      <c r="AH123" s="218"/>
      <c r="AJ123" s="77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5"/>
      <c r="AV123" s="215"/>
      <c r="AZ123" s="171"/>
      <c r="BE123" s="196"/>
      <c r="BG123" s="85"/>
      <c r="BL123" s="204"/>
      <c r="BN123" s="77"/>
      <c r="BP123" s="219"/>
      <c r="BQ123" s="219"/>
      <c r="BR123" s="219"/>
      <c r="BS123" s="219"/>
      <c r="BT123" s="219"/>
      <c r="BU123" s="219"/>
      <c r="BV123" s="219"/>
      <c r="BW123" s="219"/>
      <c r="BX123" s="219"/>
      <c r="BY123" s="215"/>
      <c r="BZ123" s="215"/>
    </row>
    <row r="124" customFormat="false" ht="3" hidden="false" customHeight="true" outlineLevel="0" collapsed="false">
      <c r="B124" s="77"/>
      <c r="C124" s="216"/>
      <c r="E124" s="217"/>
      <c r="G124" s="218"/>
      <c r="I124" s="7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5"/>
      <c r="U124" s="215"/>
      <c r="Y124" s="171"/>
      <c r="AD124" s="216"/>
      <c r="AF124" s="217"/>
      <c r="AH124" s="218"/>
      <c r="AJ124" s="77"/>
      <c r="AL124" s="219"/>
      <c r="AM124" s="219"/>
      <c r="AN124" s="219"/>
      <c r="AO124" s="219"/>
      <c r="AP124" s="219"/>
      <c r="AQ124" s="219"/>
      <c r="AR124" s="219"/>
      <c r="AS124" s="219"/>
      <c r="AT124" s="219"/>
      <c r="AU124" s="215"/>
      <c r="AV124" s="215"/>
      <c r="AZ124" s="171"/>
      <c r="BE124" s="196"/>
      <c r="BG124" s="85"/>
      <c r="BL124" s="204"/>
      <c r="BN124" s="77"/>
      <c r="BP124" s="219"/>
      <c r="BQ124" s="219"/>
      <c r="BR124" s="219"/>
      <c r="BS124" s="219"/>
      <c r="BT124" s="219"/>
      <c r="BU124" s="219"/>
      <c r="BV124" s="219"/>
      <c r="BW124" s="219"/>
      <c r="BX124" s="219"/>
      <c r="BY124" s="215"/>
      <c r="BZ124" s="215"/>
    </row>
    <row r="125" customFormat="false" ht="3" hidden="false" customHeight="true" outlineLevel="0" collapsed="false">
      <c r="B125" s="77"/>
      <c r="C125" s="216"/>
      <c r="E125" s="217"/>
      <c r="G125" s="218"/>
      <c r="I125" s="7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5"/>
      <c r="U125" s="215"/>
      <c r="Y125" s="171"/>
      <c r="AD125" s="216"/>
      <c r="AF125" s="217"/>
      <c r="AH125" s="218"/>
      <c r="AJ125" s="77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5"/>
      <c r="AV125" s="215"/>
      <c r="AZ125" s="171"/>
      <c r="BE125" s="196"/>
      <c r="BG125" s="85"/>
      <c r="BL125" s="204"/>
      <c r="BN125" s="77"/>
      <c r="BP125" s="219"/>
      <c r="BQ125" s="219"/>
      <c r="BR125" s="219"/>
      <c r="BS125" s="219"/>
      <c r="BT125" s="219"/>
      <c r="BU125" s="219"/>
      <c r="BV125" s="219"/>
      <c r="BW125" s="219"/>
      <c r="BX125" s="219"/>
      <c r="BY125" s="215"/>
      <c r="BZ125" s="215"/>
    </row>
    <row r="126" customFormat="false" ht="3" hidden="false" customHeight="true" outlineLevel="0" collapsed="false">
      <c r="B126" s="77"/>
      <c r="C126" s="216"/>
      <c r="E126" s="217"/>
      <c r="G126" s="218"/>
      <c r="I126" s="7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5"/>
      <c r="U126" s="215"/>
      <c r="Y126" s="171"/>
      <c r="AD126" s="216"/>
      <c r="AF126" s="217"/>
      <c r="AH126" s="218"/>
      <c r="AJ126" s="77"/>
      <c r="AL126" s="219"/>
      <c r="AM126" s="219"/>
      <c r="AN126" s="219"/>
      <c r="AO126" s="219"/>
      <c r="AP126" s="219"/>
      <c r="AQ126" s="219"/>
      <c r="AR126" s="219"/>
      <c r="AS126" s="219"/>
      <c r="AT126" s="219"/>
      <c r="AU126" s="215"/>
      <c r="AV126" s="215"/>
      <c r="AZ126" s="171"/>
      <c r="BE126" s="196"/>
      <c r="BG126" s="85"/>
      <c r="BL126" s="204"/>
      <c r="BN126" s="77"/>
      <c r="BP126" s="219"/>
      <c r="BQ126" s="219"/>
      <c r="BR126" s="219"/>
      <c r="BS126" s="219"/>
      <c r="BT126" s="219"/>
      <c r="BU126" s="219"/>
      <c r="BV126" s="219"/>
      <c r="BW126" s="219"/>
      <c r="BX126" s="219"/>
      <c r="BY126" s="215"/>
      <c r="BZ126" s="215"/>
    </row>
    <row r="127" customFormat="false" ht="2.25" hidden="false" customHeight="true" outlineLevel="0" collapsed="false">
      <c r="B127" s="77"/>
      <c r="C127" s="216"/>
      <c r="E127" s="217"/>
      <c r="G127" s="218"/>
      <c r="I127" s="7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5"/>
      <c r="U127" s="215"/>
      <c r="Y127" s="171"/>
      <c r="AD127" s="216"/>
      <c r="AF127" s="217"/>
      <c r="AH127" s="218"/>
      <c r="AJ127" s="77"/>
      <c r="AL127" s="219"/>
      <c r="AM127" s="219"/>
      <c r="AN127" s="219"/>
      <c r="AO127" s="219"/>
      <c r="AP127" s="219"/>
      <c r="AQ127" s="219"/>
      <c r="AR127" s="219"/>
      <c r="AS127" s="219"/>
      <c r="AT127" s="219"/>
      <c r="AU127" s="215"/>
      <c r="AV127" s="215"/>
      <c r="AZ127" s="171"/>
      <c r="BE127" s="196"/>
      <c r="BG127" s="85"/>
      <c r="BL127" s="204"/>
      <c r="BN127" s="77"/>
      <c r="BP127" s="219"/>
      <c r="BQ127" s="219"/>
      <c r="BR127" s="219"/>
      <c r="BS127" s="219"/>
      <c r="BT127" s="219"/>
      <c r="BU127" s="219"/>
      <c r="BV127" s="219"/>
      <c r="BW127" s="219"/>
      <c r="BX127" s="219"/>
      <c r="BY127" s="215"/>
      <c r="BZ127" s="215"/>
    </row>
    <row r="128" customFormat="false" ht="3" hidden="true" customHeight="true" outlineLevel="0" collapsed="false">
      <c r="B128" s="77"/>
      <c r="C128" s="216"/>
      <c r="E128" s="217"/>
      <c r="G128" s="218"/>
      <c r="I128" s="7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5"/>
      <c r="U128" s="215"/>
      <c r="Y128" s="171"/>
      <c r="AD128" s="216"/>
      <c r="AF128" s="217"/>
      <c r="AH128" s="218"/>
      <c r="AJ128" s="77"/>
      <c r="AL128" s="219"/>
      <c r="AM128" s="219"/>
      <c r="AN128" s="219"/>
      <c r="AO128" s="219"/>
      <c r="AP128" s="219"/>
      <c r="AQ128" s="219"/>
      <c r="AR128" s="219"/>
      <c r="AS128" s="219"/>
      <c r="AT128" s="219"/>
      <c r="AU128" s="215"/>
      <c r="AV128" s="215"/>
      <c r="AZ128" s="171"/>
      <c r="BE128" s="196"/>
      <c r="BG128" s="85"/>
      <c r="BL128" s="204"/>
      <c r="BN128" s="77"/>
      <c r="BP128" s="219"/>
      <c r="BQ128" s="219"/>
      <c r="BR128" s="219"/>
      <c r="BS128" s="219"/>
      <c r="BT128" s="219"/>
      <c r="BU128" s="219"/>
      <c r="BV128" s="219"/>
      <c r="BW128" s="219"/>
      <c r="BX128" s="219"/>
      <c r="BY128" s="215"/>
      <c r="BZ128" s="215"/>
    </row>
    <row r="129" customFormat="false" ht="3" hidden="false" customHeight="true" outlineLevel="0" collapsed="false">
      <c r="B129" s="77"/>
      <c r="C129" s="216"/>
      <c r="D129" s="220"/>
      <c r="E129" s="217"/>
      <c r="F129" s="209"/>
      <c r="G129" s="218"/>
      <c r="H129" s="209"/>
      <c r="I129" s="220"/>
      <c r="J129" s="209"/>
      <c r="K129" s="221"/>
      <c r="L129" s="221"/>
      <c r="M129" s="221"/>
      <c r="N129" s="221"/>
      <c r="O129" s="221"/>
      <c r="P129" s="221"/>
      <c r="Q129" s="221"/>
      <c r="R129" s="221"/>
      <c r="S129" s="221"/>
      <c r="T129" s="209"/>
      <c r="U129" s="209"/>
      <c r="V129" s="209"/>
      <c r="W129" s="209"/>
      <c r="X129" s="209"/>
      <c r="Y129" s="222"/>
      <c r="AD129" s="216"/>
      <c r="AE129" s="220"/>
      <c r="AF129" s="217"/>
      <c r="AG129" s="209"/>
      <c r="AH129" s="218"/>
      <c r="AI129" s="209"/>
      <c r="AJ129" s="220"/>
      <c r="AK129" s="209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09"/>
      <c r="AV129" s="209"/>
      <c r="AW129" s="209"/>
      <c r="AX129" s="209"/>
      <c r="AY129" s="209"/>
      <c r="AZ129" s="222"/>
      <c r="BE129" s="196"/>
      <c r="BF129" s="77"/>
      <c r="BG129" s="85"/>
      <c r="BL129" s="204"/>
      <c r="BN129" s="77"/>
      <c r="BP129" s="219"/>
      <c r="BQ129" s="219"/>
      <c r="BR129" s="219"/>
      <c r="BS129" s="219"/>
      <c r="BT129" s="219"/>
      <c r="BU129" s="219"/>
      <c r="BV129" s="219"/>
      <c r="BW129" s="219"/>
      <c r="BX129" s="219"/>
    </row>
    <row r="130" customFormat="false" ht="15" hidden="false" customHeight="true" outlineLevel="0" collapsed="false">
      <c r="B130" s="77"/>
      <c r="C130" s="223"/>
      <c r="D130" s="77"/>
      <c r="E130" s="85"/>
      <c r="G130" s="224"/>
      <c r="I130" s="77"/>
      <c r="K130" s="219"/>
      <c r="L130" s="219"/>
      <c r="M130" s="219"/>
      <c r="N130" s="219"/>
      <c r="O130" s="219"/>
      <c r="P130" s="219"/>
      <c r="Q130" s="219"/>
      <c r="R130" s="219"/>
      <c r="S130" s="219"/>
      <c r="AD130" s="223"/>
      <c r="AE130" s="77"/>
      <c r="AF130" s="85"/>
      <c r="AH130" s="224"/>
      <c r="AJ130" s="77"/>
      <c r="AL130" s="219"/>
      <c r="AM130" s="219"/>
      <c r="AN130" s="219"/>
      <c r="AO130" s="219"/>
      <c r="AP130" s="219"/>
      <c r="AQ130" s="219"/>
      <c r="AR130" s="219"/>
      <c r="AS130" s="219"/>
      <c r="AT130" s="219"/>
      <c r="BE130" s="223"/>
      <c r="BF130" s="77"/>
      <c r="BG130" s="85"/>
      <c r="BL130" s="224"/>
      <c r="BN130" s="77"/>
      <c r="BP130" s="219"/>
      <c r="BQ130" s="219"/>
      <c r="BR130" s="219"/>
      <c r="BS130" s="219"/>
      <c r="BT130" s="219"/>
      <c r="BU130" s="219"/>
      <c r="BV130" s="219"/>
      <c r="BW130" s="219"/>
      <c r="BX130" s="219"/>
    </row>
    <row r="131" customFormat="false" ht="12.75" hidden="false" customHeight="true" outlineLevel="0" collapsed="false">
      <c r="C131" s="225" t="s">
        <v>56</v>
      </c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6"/>
      <c r="AA131" s="226"/>
      <c r="AB131" s="226"/>
      <c r="AC131" s="226"/>
      <c r="AD131" s="227" t="s">
        <v>57</v>
      </c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6"/>
      <c r="BB131" s="226"/>
      <c r="BC131" s="226"/>
      <c r="BD131" s="226"/>
      <c r="BE131" s="227" t="s">
        <v>58</v>
      </c>
      <c r="BF131" s="227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227"/>
      <c r="BR131" s="227"/>
      <c r="BS131" s="227"/>
      <c r="BT131" s="227"/>
      <c r="BU131" s="227"/>
      <c r="BV131" s="227"/>
      <c r="BW131" s="227"/>
      <c r="BX131" s="227"/>
      <c r="BY131" s="227"/>
      <c r="BZ131" s="227"/>
      <c r="CA131" s="227"/>
      <c r="CB131" s="227"/>
      <c r="CC131" s="227"/>
      <c r="CI131" s="46"/>
    </row>
    <row r="132" customFormat="false" ht="12.75" hidden="false" customHeight="true" outlineLevel="0" collapsed="false">
      <c r="C132" s="228" t="s">
        <v>59</v>
      </c>
      <c r="D132" s="229" t="s">
        <v>60</v>
      </c>
      <c r="E132" s="229"/>
      <c r="F132" s="229"/>
      <c r="G132" s="229"/>
      <c r="H132" s="229"/>
      <c r="I132" s="229"/>
      <c r="J132" s="229"/>
      <c r="K132" s="229"/>
      <c r="L132" s="229"/>
      <c r="M132" s="229"/>
      <c r="N132" s="230" t="s">
        <v>61</v>
      </c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26"/>
      <c r="AA132" s="226"/>
      <c r="AB132" s="226"/>
      <c r="AC132" s="226"/>
      <c r="AD132" s="228" t="s">
        <v>59</v>
      </c>
      <c r="AE132" s="229" t="s">
        <v>60</v>
      </c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30" t="s">
        <v>62</v>
      </c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26"/>
      <c r="BB132" s="226"/>
      <c r="BC132" s="226"/>
      <c r="BD132" s="226"/>
      <c r="BE132" s="228" t="s">
        <v>59</v>
      </c>
      <c r="BF132" s="229" t="s">
        <v>60</v>
      </c>
      <c r="BG132" s="229"/>
      <c r="BH132" s="229"/>
      <c r="BI132" s="229"/>
      <c r="BJ132" s="229"/>
      <c r="BK132" s="229"/>
      <c r="BL132" s="229"/>
      <c r="BM132" s="229"/>
      <c r="BN132" s="229"/>
      <c r="BO132" s="229"/>
      <c r="BP132" s="231" t="s">
        <v>63</v>
      </c>
      <c r="BQ132" s="231"/>
      <c r="BR132" s="231"/>
      <c r="BS132" s="231"/>
      <c r="BT132" s="231"/>
      <c r="BU132" s="231"/>
      <c r="BV132" s="231"/>
      <c r="BW132" s="231"/>
      <c r="BX132" s="231"/>
      <c r="BY132" s="231"/>
      <c r="BZ132" s="231"/>
      <c r="CA132" s="231"/>
      <c r="CB132" s="231"/>
      <c r="CC132" s="231"/>
      <c r="CI132" s="46"/>
    </row>
    <row r="133" customFormat="false" ht="12.75" hidden="false" customHeight="true" outlineLevel="0" collapsed="false">
      <c r="C133" s="232" t="n">
        <v>1</v>
      </c>
      <c r="D133" s="233" t="n">
        <f aca="false">IF(C133&lt;=$I$16, $D$6, "")</f>
        <v>0</v>
      </c>
      <c r="E133" s="233"/>
      <c r="F133" s="233"/>
      <c r="G133" s="233"/>
      <c r="H133" s="233"/>
      <c r="I133" s="233"/>
      <c r="J133" s="233"/>
      <c r="K133" s="233"/>
      <c r="L133" s="233"/>
      <c r="M133" s="233"/>
      <c r="N133" s="234" t="n">
        <f aca="false">IF(C133&lt;=$I$16, $I$17, "")</f>
        <v>0</v>
      </c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26"/>
      <c r="AA133" s="226"/>
      <c r="AB133" s="226"/>
      <c r="AC133" s="226"/>
      <c r="AD133" s="232" t="n">
        <v>1</v>
      </c>
      <c r="AE133" s="233" t="n">
        <f aca="false">D133</f>
        <v>0</v>
      </c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4" t="e">
        <f aca="false">AH122</f>
        <v>#DIV/0!</v>
      </c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  <c r="AZ133" s="234"/>
      <c r="BA133" s="226"/>
      <c r="BB133" s="226"/>
      <c r="BC133" s="226"/>
      <c r="BD133" s="226"/>
      <c r="BE133" s="232" t="n">
        <v>1</v>
      </c>
      <c r="BF133" s="233" t="n">
        <f aca="false">AE133</f>
        <v>0</v>
      </c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4" t="n">
        <f aca="false">N133</f>
        <v>0</v>
      </c>
      <c r="BQ133" s="234"/>
      <c r="BR133" s="234"/>
      <c r="BS133" s="234"/>
      <c r="BT133" s="234"/>
      <c r="BU133" s="234"/>
      <c r="BV133" s="234"/>
      <c r="BW133" s="234"/>
      <c r="BX133" s="234"/>
      <c r="BY133" s="234"/>
      <c r="BZ133" s="234"/>
      <c r="CA133" s="234"/>
      <c r="CB133" s="234"/>
      <c r="CC133" s="234"/>
      <c r="CI133" s="46"/>
    </row>
    <row r="134" customFormat="false" ht="12.75" hidden="false" customHeight="true" outlineLevel="0" collapsed="false">
      <c r="C134" s="235" t="n">
        <v>2</v>
      </c>
      <c r="D134" s="236" t="n">
        <f aca="false">IF(C134&lt;=$I$16, EDATE($D$6, C134-1), "")</f>
        <v>31</v>
      </c>
      <c r="E134" s="236"/>
      <c r="F134" s="236"/>
      <c r="G134" s="236"/>
      <c r="H134" s="236"/>
      <c r="I134" s="236"/>
      <c r="J134" s="236"/>
      <c r="K134" s="236"/>
      <c r="L134" s="236"/>
      <c r="M134" s="236"/>
      <c r="N134" s="237" t="n">
        <f aca="false">IF(C134&lt;=$I$16, $I$17, "")</f>
        <v>0</v>
      </c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26"/>
      <c r="AA134" s="226"/>
      <c r="AB134" s="226"/>
      <c r="AC134" s="226"/>
      <c r="AD134" s="235" t="n">
        <v>2</v>
      </c>
      <c r="AE134" s="236" t="n">
        <f aca="false">D134</f>
        <v>31</v>
      </c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7" t="e">
        <f aca="false">AO133</f>
        <v>#DIV/0!</v>
      </c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26"/>
      <c r="BB134" s="226"/>
      <c r="BC134" s="226"/>
      <c r="BD134" s="226"/>
      <c r="BE134" s="235" t="n">
        <v>2</v>
      </c>
      <c r="BF134" s="236" t="n">
        <f aca="false">AE134</f>
        <v>31</v>
      </c>
      <c r="BG134" s="236"/>
      <c r="BH134" s="236"/>
      <c r="BI134" s="236"/>
      <c r="BJ134" s="236"/>
      <c r="BK134" s="236"/>
      <c r="BL134" s="236"/>
      <c r="BM134" s="236"/>
      <c r="BN134" s="236"/>
      <c r="BO134" s="236"/>
      <c r="BP134" s="237" t="n">
        <f aca="false">BP133</f>
        <v>0</v>
      </c>
      <c r="BQ134" s="237"/>
      <c r="BR134" s="237"/>
      <c r="BS134" s="237"/>
      <c r="BT134" s="237"/>
      <c r="BU134" s="237"/>
      <c r="BV134" s="237"/>
      <c r="BW134" s="237"/>
      <c r="BX134" s="237"/>
      <c r="BY134" s="237"/>
      <c r="BZ134" s="237"/>
      <c r="CA134" s="237"/>
      <c r="CB134" s="237"/>
      <c r="CC134" s="237"/>
      <c r="CI134" s="46"/>
    </row>
    <row r="135" customFormat="false" ht="12.75" hidden="false" customHeight="true" outlineLevel="0" collapsed="false">
      <c r="C135" s="235" t="n">
        <v>3</v>
      </c>
      <c r="D135" s="236" t="n">
        <f aca="false">IF(C135&lt;=$I$16, EDATE($D$6, C135-1), "")</f>
        <v>60</v>
      </c>
      <c r="E135" s="236"/>
      <c r="F135" s="236"/>
      <c r="G135" s="236"/>
      <c r="H135" s="236"/>
      <c r="I135" s="236"/>
      <c r="J135" s="236"/>
      <c r="K135" s="236"/>
      <c r="L135" s="236"/>
      <c r="M135" s="236"/>
      <c r="N135" s="237" t="n">
        <f aca="false">IF(C135&lt;=$I$16, $I$17, "")</f>
        <v>0</v>
      </c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26"/>
      <c r="AA135" s="226"/>
      <c r="AB135" s="226"/>
      <c r="AC135" s="226"/>
      <c r="AD135" s="235" t="n">
        <v>3</v>
      </c>
      <c r="AE135" s="236" t="n">
        <f aca="false">D135</f>
        <v>60</v>
      </c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7" t="e">
        <f aca="false">AO134</f>
        <v>#DIV/0!</v>
      </c>
      <c r="AP135" s="237"/>
      <c r="AQ135" s="237"/>
      <c r="AR135" s="237"/>
      <c r="AS135" s="237"/>
      <c r="AT135" s="237"/>
      <c r="AU135" s="237"/>
      <c r="AV135" s="237"/>
      <c r="AW135" s="237"/>
      <c r="AX135" s="237"/>
      <c r="AY135" s="237"/>
      <c r="AZ135" s="237"/>
      <c r="BA135" s="226"/>
      <c r="BB135" s="226"/>
      <c r="BC135" s="226"/>
      <c r="BD135" s="226"/>
      <c r="BE135" s="235" t="n">
        <v>3</v>
      </c>
      <c r="BF135" s="236" t="n">
        <f aca="false">AE135</f>
        <v>60</v>
      </c>
      <c r="BG135" s="236"/>
      <c r="BH135" s="236"/>
      <c r="BI135" s="236"/>
      <c r="BJ135" s="236"/>
      <c r="BK135" s="236"/>
      <c r="BL135" s="236"/>
      <c r="BM135" s="236"/>
      <c r="BN135" s="236"/>
      <c r="BO135" s="236"/>
      <c r="BP135" s="237"/>
      <c r="BQ135" s="237"/>
      <c r="BR135" s="237"/>
      <c r="BS135" s="237"/>
      <c r="BT135" s="237"/>
      <c r="BU135" s="237"/>
      <c r="BV135" s="237"/>
      <c r="BW135" s="237"/>
      <c r="BX135" s="237"/>
      <c r="BY135" s="237"/>
      <c r="BZ135" s="237"/>
      <c r="CA135" s="237"/>
      <c r="CB135" s="237"/>
      <c r="CC135" s="237"/>
      <c r="CI135" s="46"/>
    </row>
    <row r="136" customFormat="false" ht="12.75" hidden="false" customHeight="true" outlineLevel="0" collapsed="false">
      <c r="C136" s="235" t="n">
        <v>4</v>
      </c>
      <c r="D136" s="236" t="n">
        <f aca="false">IF(C136&lt;=$I$16, EDATE($D$6, C136-1), "")</f>
        <v>90</v>
      </c>
      <c r="E136" s="236"/>
      <c r="F136" s="236"/>
      <c r="G136" s="236"/>
      <c r="H136" s="236"/>
      <c r="I136" s="236"/>
      <c r="J136" s="236"/>
      <c r="K136" s="236"/>
      <c r="L136" s="236"/>
      <c r="M136" s="236"/>
      <c r="N136" s="237" t="n">
        <f aca="false">IF(C136&lt;=$I$16, $I$17, "")</f>
        <v>0</v>
      </c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26"/>
      <c r="AA136" s="226"/>
      <c r="AB136" s="226"/>
      <c r="AC136" s="226"/>
      <c r="AD136" s="235" t="n">
        <v>4</v>
      </c>
      <c r="AE136" s="236" t="n">
        <f aca="false">D136</f>
        <v>90</v>
      </c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7" t="e">
        <f aca="false">AO135</f>
        <v>#DIV/0!</v>
      </c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26"/>
      <c r="BB136" s="226"/>
      <c r="BC136" s="226"/>
      <c r="BD136" s="226"/>
      <c r="BE136" s="235" t="n">
        <v>4</v>
      </c>
      <c r="BF136" s="236" t="n">
        <f aca="false">AE136</f>
        <v>90</v>
      </c>
      <c r="BG136" s="236"/>
      <c r="BH136" s="236"/>
      <c r="BI136" s="236"/>
      <c r="BJ136" s="236"/>
      <c r="BK136" s="236"/>
      <c r="BL136" s="236"/>
      <c r="BM136" s="236"/>
      <c r="BN136" s="236"/>
      <c r="BO136" s="236"/>
      <c r="BP136" s="237"/>
      <c r="BQ136" s="237"/>
      <c r="BR136" s="237"/>
      <c r="BS136" s="237"/>
      <c r="BT136" s="237"/>
      <c r="BU136" s="237"/>
      <c r="BV136" s="237"/>
      <c r="BW136" s="237"/>
      <c r="BX136" s="237"/>
      <c r="BY136" s="237"/>
      <c r="BZ136" s="237"/>
      <c r="CA136" s="237"/>
      <c r="CB136" s="237"/>
      <c r="CC136" s="237"/>
      <c r="CI136" s="46"/>
    </row>
    <row r="137" customFormat="false" ht="12.75" hidden="false" customHeight="true" outlineLevel="0" collapsed="false">
      <c r="C137" s="235" t="n">
        <v>5</v>
      </c>
      <c r="D137" s="236" t="n">
        <f aca="false">IF(C137&lt;=$I$16, EDATE($D$6, C137-1), "")</f>
        <v>121</v>
      </c>
      <c r="E137" s="236"/>
      <c r="F137" s="236"/>
      <c r="G137" s="236"/>
      <c r="H137" s="236"/>
      <c r="I137" s="236"/>
      <c r="J137" s="236"/>
      <c r="K137" s="236"/>
      <c r="L137" s="236"/>
      <c r="M137" s="236"/>
      <c r="N137" s="237" t="n">
        <f aca="false">IF(C137&lt;=$I$16, $I$17, "")</f>
        <v>0</v>
      </c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26"/>
      <c r="AA137" s="226"/>
      <c r="AB137" s="226"/>
      <c r="AC137" s="226"/>
      <c r="AD137" s="235" t="n">
        <v>5</v>
      </c>
      <c r="AE137" s="236" t="n">
        <f aca="false">D137</f>
        <v>121</v>
      </c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7" t="e">
        <f aca="false">AO136</f>
        <v>#DIV/0!</v>
      </c>
      <c r="AP137" s="237"/>
      <c r="AQ137" s="237"/>
      <c r="AR137" s="237"/>
      <c r="AS137" s="237"/>
      <c r="AT137" s="237"/>
      <c r="AU137" s="237"/>
      <c r="AV137" s="237"/>
      <c r="AW137" s="237"/>
      <c r="AX137" s="237"/>
      <c r="AY137" s="237"/>
      <c r="AZ137" s="237"/>
      <c r="BA137" s="226"/>
      <c r="BB137" s="226"/>
      <c r="BC137" s="226"/>
      <c r="BD137" s="226"/>
      <c r="BE137" s="235" t="n">
        <v>5</v>
      </c>
      <c r="BF137" s="236" t="n">
        <f aca="false">AE137</f>
        <v>121</v>
      </c>
      <c r="BG137" s="236"/>
      <c r="BH137" s="236"/>
      <c r="BI137" s="236"/>
      <c r="BJ137" s="236"/>
      <c r="BK137" s="236"/>
      <c r="BL137" s="236"/>
      <c r="BM137" s="236"/>
      <c r="BN137" s="236"/>
      <c r="BO137" s="236"/>
      <c r="BP137" s="238"/>
      <c r="BQ137" s="238"/>
      <c r="BR137" s="238"/>
      <c r="BS137" s="238"/>
      <c r="BT137" s="238"/>
      <c r="BU137" s="238"/>
      <c r="BV137" s="238"/>
      <c r="BW137" s="238"/>
      <c r="BX137" s="238"/>
      <c r="BY137" s="238"/>
      <c r="BZ137" s="238"/>
      <c r="CA137" s="238"/>
      <c r="CB137" s="238"/>
      <c r="CC137" s="238"/>
      <c r="CI137" s="46"/>
    </row>
    <row r="138" customFormat="false" ht="12.75" hidden="false" customHeight="true" outlineLevel="0" collapsed="false">
      <c r="C138" s="235" t="n">
        <v>6</v>
      </c>
      <c r="D138" s="236" t="n">
        <f aca="false">IF(C138&lt;=$I$16, EDATE($D$6, C138-1), "")</f>
        <v>151</v>
      </c>
      <c r="E138" s="236"/>
      <c r="F138" s="236"/>
      <c r="G138" s="236"/>
      <c r="H138" s="236"/>
      <c r="I138" s="236"/>
      <c r="J138" s="236"/>
      <c r="K138" s="236"/>
      <c r="L138" s="236"/>
      <c r="M138" s="236"/>
      <c r="N138" s="237" t="n">
        <f aca="false">IF(C138&lt;=$I$16, $I$17, "")</f>
        <v>0</v>
      </c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26"/>
      <c r="AA138" s="226"/>
      <c r="AB138" s="226"/>
      <c r="AC138" s="226"/>
      <c r="AD138" s="235" t="n">
        <v>6</v>
      </c>
      <c r="AE138" s="236" t="n">
        <f aca="false">D138</f>
        <v>151</v>
      </c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7" t="e">
        <f aca="false">AO137</f>
        <v>#DIV/0!</v>
      </c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26"/>
      <c r="BB138" s="226"/>
      <c r="BC138" s="226"/>
      <c r="BD138" s="226"/>
      <c r="BE138" s="235" t="n">
        <v>6</v>
      </c>
      <c r="BF138" s="236" t="n">
        <f aca="false">AE138</f>
        <v>151</v>
      </c>
      <c r="BG138" s="236"/>
      <c r="BH138" s="236"/>
      <c r="BI138" s="236"/>
      <c r="BJ138" s="236"/>
      <c r="BK138" s="236"/>
      <c r="BL138" s="236"/>
      <c r="BM138" s="236"/>
      <c r="BN138" s="236"/>
      <c r="BO138" s="236"/>
      <c r="BP138" s="238"/>
      <c r="BQ138" s="238"/>
      <c r="BR138" s="238"/>
      <c r="BS138" s="238"/>
      <c r="BT138" s="238"/>
      <c r="BU138" s="238"/>
      <c r="BV138" s="238"/>
      <c r="BW138" s="238"/>
      <c r="BX138" s="238"/>
      <c r="BY138" s="238"/>
      <c r="BZ138" s="238"/>
      <c r="CA138" s="238"/>
      <c r="CB138" s="238"/>
      <c r="CC138" s="238"/>
      <c r="CI138" s="46"/>
    </row>
    <row r="139" customFormat="false" ht="12.75" hidden="false" customHeight="true" outlineLevel="0" collapsed="false">
      <c r="C139" s="235" t="n">
        <v>7</v>
      </c>
      <c r="D139" s="236" t="n">
        <f aca="false">IF(C139&lt;=$I$16, EDATE($D$6, C139-1), "")</f>
        <v>182</v>
      </c>
      <c r="E139" s="236"/>
      <c r="F139" s="236"/>
      <c r="G139" s="236"/>
      <c r="H139" s="236"/>
      <c r="I139" s="236"/>
      <c r="J139" s="236"/>
      <c r="K139" s="236"/>
      <c r="L139" s="236"/>
      <c r="M139" s="236"/>
      <c r="N139" s="237" t="n">
        <f aca="false">IF(C139&lt;=$I$16, $I$17, "")</f>
        <v>0</v>
      </c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26"/>
      <c r="AA139" s="226"/>
      <c r="AB139" s="226"/>
      <c r="AC139" s="226"/>
      <c r="AD139" s="235" t="n">
        <v>7</v>
      </c>
      <c r="AE139" s="236" t="n">
        <f aca="false">D139</f>
        <v>182</v>
      </c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7" t="e">
        <f aca="false">AO138</f>
        <v>#DIV/0!</v>
      </c>
      <c r="AP139" s="237"/>
      <c r="AQ139" s="237"/>
      <c r="AR139" s="237"/>
      <c r="AS139" s="237"/>
      <c r="AT139" s="237"/>
      <c r="AU139" s="237"/>
      <c r="AV139" s="237"/>
      <c r="AW139" s="237"/>
      <c r="AX139" s="237"/>
      <c r="AY139" s="237"/>
      <c r="AZ139" s="237"/>
      <c r="BA139" s="226"/>
      <c r="BB139" s="226"/>
      <c r="BC139" s="226"/>
      <c r="BD139" s="226"/>
      <c r="BE139" s="235" t="n">
        <v>7</v>
      </c>
      <c r="BF139" s="236" t="n">
        <f aca="false">AE139</f>
        <v>182</v>
      </c>
      <c r="BG139" s="236"/>
      <c r="BH139" s="236"/>
      <c r="BI139" s="236"/>
      <c r="BJ139" s="236"/>
      <c r="BK139" s="236"/>
      <c r="BL139" s="236"/>
      <c r="BM139" s="236"/>
      <c r="BN139" s="236"/>
      <c r="BO139" s="236"/>
      <c r="BP139" s="238"/>
      <c r="BQ139" s="238"/>
      <c r="BR139" s="238"/>
      <c r="BS139" s="238"/>
      <c r="BT139" s="238"/>
      <c r="BU139" s="238"/>
      <c r="BV139" s="238"/>
      <c r="BW139" s="238"/>
      <c r="BX139" s="238"/>
      <c r="BY139" s="238"/>
      <c r="BZ139" s="238"/>
      <c r="CA139" s="238"/>
      <c r="CB139" s="238"/>
      <c r="CC139" s="238"/>
      <c r="CI139" s="46"/>
    </row>
    <row r="140" customFormat="false" ht="12.75" hidden="false" customHeight="true" outlineLevel="0" collapsed="false">
      <c r="C140" s="235" t="n">
        <v>8</v>
      </c>
      <c r="D140" s="236" t="n">
        <f aca="false">IF(C140&lt;=$I$16, EDATE($D$6, C140-1), "")</f>
        <v>212</v>
      </c>
      <c r="E140" s="236"/>
      <c r="F140" s="236"/>
      <c r="G140" s="236"/>
      <c r="H140" s="236"/>
      <c r="I140" s="236"/>
      <c r="J140" s="236"/>
      <c r="K140" s="236"/>
      <c r="L140" s="236"/>
      <c r="M140" s="236"/>
      <c r="N140" s="237" t="n">
        <f aca="false">IF(C140&lt;=$I$16, $I$17, "")</f>
        <v>0</v>
      </c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26"/>
      <c r="AA140" s="226"/>
      <c r="AB140" s="226"/>
      <c r="AC140" s="226"/>
      <c r="AD140" s="235" t="n">
        <v>8</v>
      </c>
      <c r="AE140" s="236" t="n">
        <f aca="false">D140</f>
        <v>212</v>
      </c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7" t="e">
        <f aca="false">AO139</f>
        <v>#DIV/0!</v>
      </c>
      <c r="AP140" s="237"/>
      <c r="AQ140" s="237"/>
      <c r="AR140" s="237"/>
      <c r="AS140" s="237"/>
      <c r="AT140" s="237"/>
      <c r="AU140" s="237"/>
      <c r="AV140" s="237"/>
      <c r="AW140" s="237"/>
      <c r="AX140" s="237"/>
      <c r="AY140" s="237"/>
      <c r="AZ140" s="237"/>
      <c r="BA140" s="226"/>
      <c r="BB140" s="226"/>
      <c r="BC140" s="226"/>
      <c r="BD140" s="226"/>
      <c r="BE140" s="235" t="n">
        <v>8</v>
      </c>
      <c r="BF140" s="236" t="n">
        <f aca="false">AE140</f>
        <v>212</v>
      </c>
      <c r="BG140" s="236"/>
      <c r="BH140" s="236"/>
      <c r="BI140" s="236"/>
      <c r="BJ140" s="236"/>
      <c r="BK140" s="236"/>
      <c r="BL140" s="236"/>
      <c r="BM140" s="236"/>
      <c r="BN140" s="236"/>
      <c r="BO140" s="236"/>
      <c r="BP140" s="238"/>
      <c r="BQ140" s="238"/>
      <c r="BR140" s="238"/>
      <c r="BS140" s="238"/>
      <c r="BT140" s="238"/>
      <c r="BU140" s="238"/>
      <c r="BV140" s="238"/>
      <c r="BW140" s="238"/>
      <c r="BX140" s="238"/>
      <c r="BY140" s="238"/>
      <c r="BZ140" s="238"/>
      <c r="CA140" s="238"/>
      <c r="CB140" s="238"/>
      <c r="CC140" s="238"/>
      <c r="CI140" s="46"/>
    </row>
    <row r="141" customFormat="false" ht="12.75" hidden="false" customHeight="true" outlineLevel="0" collapsed="false">
      <c r="C141" s="235" t="n">
        <v>9</v>
      </c>
      <c r="D141" s="236" t="n">
        <f aca="false">IF(C141&lt;=$I$16, EDATE($D$6, C141-1), "")</f>
        <v>243</v>
      </c>
      <c r="E141" s="236"/>
      <c r="F141" s="236"/>
      <c r="G141" s="236"/>
      <c r="H141" s="236"/>
      <c r="I141" s="236"/>
      <c r="J141" s="236"/>
      <c r="K141" s="236"/>
      <c r="L141" s="236"/>
      <c r="M141" s="236"/>
      <c r="N141" s="237" t="n">
        <f aca="false">IF(C141&lt;=$I$16, $I$17, "")</f>
        <v>0</v>
      </c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26"/>
      <c r="AA141" s="226"/>
      <c r="AB141" s="226"/>
      <c r="AC141" s="226"/>
      <c r="AD141" s="235" t="n">
        <v>9</v>
      </c>
      <c r="AE141" s="236" t="n">
        <f aca="false">D141</f>
        <v>243</v>
      </c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7" t="e">
        <f aca="false">AO140</f>
        <v>#DIV/0!</v>
      </c>
      <c r="AP141" s="237"/>
      <c r="AQ141" s="237"/>
      <c r="AR141" s="237"/>
      <c r="AS141" s="237"/>
      <c r="AT141" s="237"/>
      <c r="AU141" s="237"/>
      <c r="AV141" s="237"/>
      <c r="AW141" s="237"/>
      <c r="AX141" s="237"/>
      <c r="AY141" s="237"/>
      <c r="AZ141" s="237"/>
      <c r="BA141" s="226"/>
      <c r="BB141" s="226"/>
      <c r="BC141" s="226"/>
      <c r="BD141" s="226"/>
      <c r="BE141" s="235" t="n">
        <v>9</v>
      </c>
      <c r="BF141" s="236" t="n">
        <f aca="false">AE141</f>
        <v>243</v>
      </c>
      <c r="BG141" s="236"/>
      <c r="BH141" s="236"/>
      <c r="BI141" s="236"/>
      <c r="BJ141" s="236"/>
      <c r="BK141" s="236"/>
      <c r="BL141" s="236"/>
      <c r="BM141" s="236"/>
      <c r="BN141" s="236"/>
      <c r="BO141" s="236"/>
      <c r="BP141" s="238"/>
      <c r="BQ141" s="238"/>
      <c r="BR141" s="238"/>
      <c r="BS141" s="238"/>
      <c r="BT141" s="238"/>
      <c r="BU141" s="238"/>
      <c r="BV141" s="238"/>
      <c r="BW141" s="238"/>
      <c r="BX141" s="238"/>
      <c r="BY141" s="238"/>
      <c r="BZ141" s="238"/>
      <c r="CA141" s="238"/>
      <c r="CB141" s="238"/>
      <c r="CC141" s="238"/>
      <c r="CI141" s="46"/>
    </row>
    <row r="142" customFormat="false" ht="12.75" hidden="false" customHeight="true" outlineLevel="0" collapsed="false">
      <c r="C142" s="235" t="n">
        <v>10</v>
      </c>
      <c r="D142" s="236" t="n">
        <f aca="false">IF(C142&lt;=$I$16, EDATE($D$6, C142-1), "")</f>
        <v>274</v>
      </c>
      <c r="E142" s="236"/>
      <c r="F142" s="236"/>
      <c r="G142" s="236"/>
      <c r="H142" s="236"/>
      <c r="I142" s="236"/>
      <c r="J142" s="236"/>
      <c r="K142" s="236"/>
      <c r="L142" s="236"/>
      <c r="M142" s="236"/>
      <c r="N142" s="237" t="n">
        <f aca="false">IF(C142&lt;=$I$16, $I$17, "")</f>
        <v>0</v>
      </c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26"/>
      <c r="AA142" s="226"/>
      <c r="AB142" s="226"/>
      <c r="AC142" s="226"/>
      <c r="AD142" s="235" t="n">
        <v>10</v>
      </c>
      <c r="AE142" s="236" t="n">
        <f aca="false">D142</f>
        <v>274</v>
      </c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7" t="e">
        <f aca="false">AO141</f>
        <v>#DIV/0!</v>
      </c>
      <c r="AP142" s="237"/>
      <c r="AQ142" s="237"/>
      <c r="AR142" s="237"/>
      <c r="AS142" s="237"/>
      <c r="AT142" s="237"/>
      <c r="AU142" s="237"/>
      <c r="AV142" s="237"/>
      <c r="AW142" s="237"/>
      <c r="AX142" s="237"/>
      <c r="AY142" s="237"/>
      <c r="AZ142" s="237"/>
      <c r="BA142" s="226"/>
      <c r="BB142" s="226"/>
      <c r="BC142" s="226"/>
      <c r="BD142" s="226"/>
      <c r="BE142" s="235" t="n">
        <v>10</v>
      </c>
      <c r="BF142" s="236" t="n">
        <f aca="false">AE142</f>
        <v>274</v>
      </c>
      <c r="BG142" s="236"/>
      <c r="BH142" s="236"/>
      <c r="BI142" s="236"/>
      <c r="BJ142" s="236"/>
      <c r="BK142" s="236"/>
      <c r="BL142" s="236"/>
      <c r="BM142" s="236"/>
      <c r="BN142" s="236"/>
      <c r="BO142" s="236"/>
      <c r="BP142" s="238"/>
      <c r="BQ142" s="238"/>
      <c r="BR142" s="238"/>
      <c r="BS142" s="238"/>
      <c r="BT142" s="238"/>
      <c r="BU142" s="238"/>
      <c r="BV142" s="238"/>
      <c r="BW142" s="238"/>
      <c r="BX142" s="238"/>
      <c r="BY142" s="238"/>
      <c r="BZ142" s="238"/>
      <c r="CA142" s="238"/>
      <c r="CB142" s="238"/>
      <c r="CC142" s="238"/>
      <c r="CI142" s="46"/>
    </row>
    <row r="143" customFormat="false" ht="12.75" hidden="false" customHeight="true" outlineLevel="0" collapsed="false">
      <c r="C143" s="235" t="n">
        <v>11</v>
      </c>
      <c r="D143" s="236" t="n">
        <f aca="false">IF(C143&lt;=$I$16, EDATE($D$6, C143-1), "")</f>
        <v>304</v>
      </c>
      <c r="E143" s="236"/>
      <c r="F143" s="236"/>
      <c r="G143" s="236"/>
      <c r="H143" s="236"/>
      <c r="I143" s="236"/>
      <c r="J143" s="236"/>
      <c r="K143" s="236"/>
      <c r="L143" s="236"/>
      <c r="M143" s="236"/>
      <c r="N143" s="237" t="n">
        <f aca="false">IF(C143&lt;=$I$16, $I$17, "")</f>
        <v>0</v>
      </c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26"/>
      <c r="AA143" s="226"/>
      <c r="AB143" s="226"/>
      <c r="AC143" s="226"/>
      <c r="AD143" s="235" t="n">
        <v>11</v>
      </c>
      <c r="AE143" s="236" t="n">
        <f aca="false">D143</f>
        <v>304</v>
      </c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7" t="e">
        <f aca="false">AO142</f>
        <v>#DIV/0!</v>
      </c>
      <c r="AP143" s="237"/>
      <c r="AQ143" s="237"/>
      <c r="AR143" s="237"/>
      <c r="AS143" s="237"/>
      <c r="AT143" s="237"/>
      <c r="AU143" s="237"/>
      <c r="AV143" s="237"/>
      <c r="AW143" s="237"/>
      <c r="AX143" s="237"/>
      <c r="AY143" s="237"/>
      <c r="AZ143" s="237"/>
      <c r="BA143" s="226"/>
      <c r="BB143" s="226"/>
      <c r="BC143" s="226"/>
      <c r="BD143" s="226"/>
      <c r="BE143" s="235" t="n">
        <v>11</v>
      </c>
      <c r="BF143" s="236" t="n">
        <f aca="false">AE143</f>
        <v>304</v>
      </c>
      <c r="BG143" s="236"/>
      <c r="BH143" s="236"/>
      <c r="BI143" s="236"/>
      <c r="BJ143" s="236"/>
      <c r="BK143" s="236"/>
      <c r="BL143" s="236"/>
      <c r="BM143" s="236"/>
      <c r="BN143" s="236"/>
      <c r="BO143" s="236"/>
      <c r="BP143" s="238"/>
      <c r="BQ143" s="238"/>
      <c r="BR143" s="238"/>
      <c r="BS143" s="238"/>
      <c r="BT143" s="238"/>
      <c r="BU143" s="238"/>
      <c r="BV143" s="238"/>
      <c r="BW143" s="238"/>
      <c r="BX143" s="238"/>
      <c r="BY143" s="238"/>
      <c r="BZ143" s="238"/>
      <c r="CA143" s="238"/>
      <c r="CB143" s="238"/>
      <c r="CC143" s="238"/>
      <c r="CI143" s="46"/>
    </row>
    <row r="144" customFormat="false" ht="12.75" hidden="false" customHeight="true" outlineLevel="0" collapsed="false">
      <c r="C144" s="235" t="n">
        <v>12</v>
      </c>
      <c r="D144" s="236" t="n">
        <f aca="false">IF(C144&lt;=$I$16, EDATE($D$6, C144-1), "")</f>
        <v>335</v>
      </c>
      <c r="E144" s="236"/>
      <c r="F144" s="236"/>
      <c r="G144" s="236"/>
      <c r="H144" s="236"/>
      <c r="I144" s="236"/>
      <c r="J144" s="236"/>
      <c r="K144" s="236"/>
      <c r="L144" s="236"/>
      <c r="M144" s="236"/>
      <c r="N144" s="237" t="n">
        <f aca="false">IF(C144&lt;=$I$16, $I$17, "")</f>
        <v>0</v>
      </c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26"/>
      <c r="AA144" s="226"/>
      <c r="AB144" s="226"/>
      <c r="AC144" s="226"/>
      <c r="AD144" s="235" t="n">
        <v>12</v>
      </c>
      <c r="AE144" s="236" t="n">
        <f aca="false">D144</f>
        <v>335</v>
      </c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7" t="e">
        <f aca="false">AO143</f>
        <v>#DIV/0!</v>
      </c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26"/>
      <c r="BB144" s="226"/>
      <c r="BC144" s="226"/>
      <c r="BD144" s="226"/>
      <c r="BE144" s="235" t="n">
        <v>12</v>
      </c>
      <c r="BF144" s="236" t="n">
        <f aca="false">AE144</f>
        <v>335</v>
      </c>
      <c r="BG144" s="236"/>
      <c r="BH144" s="236"/>
      <c r="BI144" s="236"/>
      <c r="BJ144" s="236"/>
      <c r="BK144" s="236"/>
      <c r="BL144" s="236"/>
      <c r="BM144" s="236"/>
      <c r="BN144" s="236"/>
      <c r="BO144" s="236"/>
      <c r="BP144" s="238"/>
      <c r="BQ144" s="238"/>
      <c r="BR144" s="238"/>
      <c r="BS144" s="238"/>
      <c r="BT144" s="238"/>
      <c r="BU144" s="238"/>
      <c r="BV144" s="238"/>
      <c r="BW144" s="238"/>
      <c r="BX144" s="238"/>
      <c r="BY144" s="238"/>
      <c r="BZ144" s="238"/>
      <c r="CA144" s="238"/>
      <c r="CB144" s="238"/>
      <c r="CC144" s="238"/>
      <c r="CI144" s="46"/>
    </row>
    <row r="145" customFormat="false" ht="12.75" hidden="false" customHeight="true" outlineLevel="0" collapsed="false">
      <c r="C145" s="235" t="n">
        <v>13</v>
      </c>
      <c r="D145" s="236" t="n">
        <f aca="false">IF(C145&lt;=$I$16, EDATE($D$6, C145-1), "")</f>
        <v>365</v>
      </c>
      <c r="E145" s="236"/>
      <c r="F145" s="236"/>
      <c r="G145" s="236"/>
      <c r="H145" s="236"/>
      <c r="I145" s="236"/>
      <c r="J145" s="236"/>
      <c r="K145" s="236"/>
      <c r="L145" s="236"/>
      <c r="M145" s="236"/>
      <c r="N145" s="237" t="n">
        <f aca="false">IF(C145&lt;=$I$16, $I$17, "")</f>
        <v>0</v>
      </c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26"/>
      <c r="AA145" s="226"/>
      <c r="AB145" s="226"/>
      <c r="AC145" s="226"/>
      <c r="AD145" s="235" t="n">
        <v>13</v>
      </c>
      <c r="AE145" s="236" t="n">
        <f aca="false">D145</f>
        <v>365</v>
      </c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7" t="e">
        <f aca="false">AO144</f>
        <v>#DIV/0!</v>
      </c>
      <c r="AP145" s="237"/>
      <c r="AQ145" s="237"/>
      <c r="AR145" s="237"/>
      <c r="AS145" s="237"/>
      <c r="AT145" s="237"/>
      <c r="AU145" s="237"/>
      <c r="AV145" s="237"/>
      <c r="AW145" s="237"/>
      <c r="AX145" s="237"/>
      <c r="AY145" s="237"/>
      <c r="AZ145" s="237"/>
      <c r="BA145" s="226"/>
      <c r="BB145" s="226"/>
      <c r="BC145" s="226"/>
      <c r="BD145" s="226"/>
      <c r="BE145" s="235" t="n">
        <v>13</v>
      </c>
      <c r="BF145" s="236" t="n">
        <f aca="false">AE145</f>
        <v>365</v>
      </c>
      <c r="BG145" s="236"/>
      <c r="BH145" s="236"/>
      <c r="BI145" s="236"/>
      <c r="BJ145" s="236"/>
      <c r="BK145" s="236"/>
      <c r="BL145" s="236"/>
      <c r="BM145" s="236"/>
      <c r="BN145" s="236"/>
      <c r="BO145" s="236"/>
      <c r="BP145" s="238"/>
      <c r="BQ145" s="238"/>
      <c r="BR145" s="238"/>
      <c r="BS145" s="238"/>
      <c r="BT145" s="238"/>
      <c r="BU145" s="238"/>
      <c r="BV145" s="238"/>
      <c r="BW145" s="238"/>
      <c r="BX145" s="238"/>
      <c r="BY145" s="238"/>
      <c r="BZ145" s="238"/>
      <c r="CA145" s="238"/>
      <c r="CB145" s="238"/>
      <c r="CC145" s="238"/>
      <c r="CI145" s="46"/>
    </row>
    <row r="146" customFormat="false" ht="12.75" hidden="false" customHeight="true" outlineLevel="0" collapsed="false">
      <c r="C146" s="235" t="n">
        <v>14</v>
      </c>
      <c r="D146" s="236" t="n">
        <f aca="false">IF(C146&lt;=$I$16, EDATE($D$6, C146-1), "")</f>
        <v>396</v>
      </c>
      <c r="E146" s="236"/>
      <c r="F146" s="236"/>
      <c r="G146" s="236"/>
      <c r="H146" s="236"/>
      <c r="I146" s="236"/>
      <c r="J146" s="236"/>
      <c r="K146" s="236"/>
      <c r="L146" s="236"/>
      <c r="M146" s="236"/>
      <c r="N146" s="237" t="n">
        <f aca="false">IF(C146&lt;=$I$16, $I$17, "")</f>
        <v>0</v>
      </c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26"/>
      <c r="AA146" s="226"/>
      <c r="AB146" s="226"/>
      <c r="AC146" s="226"/>
      <c r="AD146" s="235" t="n">
        <v>14</v>
      </c>
      <c r="AE146" s="236" t="n">
        <f aca="false">D146</f>
        <v>396</v>
      </c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7" t="e">
        <f aca="false">AO145</f>
        <v>#DIV/0!</v>
      </c>
      <c r="AP146" s="237"/>
      <c r="AQ146" s="237"/>
      <c r="AR146" s="237"/>
      <c r="AS146" s="237"/>
      <c r="AT146" s="237"/>
      <c r="AU146" s="237"/>
      <c r="AV146" s="237"/>
      <c r="AW146" s="237"/>
      <c r="AX146" s="237"/>
      <c r="AY146" s="237"/>
      <c r="AZ146" s="237"/>
      <c r="BA146" s="226"/>
      <c r="BB146" s="226"/>
      <c r="BC146" s="226"/>
      <c r="BD146" s="226"/>
      <c r="BE146" s="235" t="n">
        <v>14</v>
      </c>
      <c r="BF146" s="236" t="n">
        <f aca="false">AE146</f>
        <v>396</v>
      </c>
      <c r="BG146" s="236"/>
      <c r="BH146" s="236"/>
      <c r="BI146" s="236"/>
      <c r="BJ146" s="236"/>
      <c r="BK146" s="236"/>
      <c r="BL146" s="236"/>
      <c r="BM146" s="236"/>
      <c r="BN146" s="236"/>
      <c r="BO146" s="236"/>
      <c r="BP146" s="238"/>
      <c r="BQ146" s="238"/>
      <c r="BR146" s="238"/>
      <c r="BS146" s="238"/>
      <c r="BT146" s="238"/>
      <c r="BU146" s="238"/>
      <c r="BV146" s="238"/>
      <c r="BW146" s="238"/>
      <c r="BX146" s="238"/>
      <c r="BY146" s="238"/>
      <c r="BZ146" s="238"/>
      <c r="CA146" s="238"/>
      <c r="CB146" s="238"/>
      <c r="CC146" s="238"/>
      <c r="CI146" s="46"/>
    </row>
    <row r="147" customFormat="false" ht="12.75" hidden="false" customHeight="true" outlineLevel="0" collapsed="false">
      <c r="C147" s="235" t="n">
        <v>15</v>
      </c>
      <c r="D147" s="236" t="n">
        <f aca="false">IF(C147&lt;=$I$16, EDATE($D$6, C147-1), "")</f>
        <v>425</v>
      </c>
      <c r="E147" s="236"/>
      <c r="F147" s="236"/>
      <c r="G147" s="236"/>
      <c r="H147" s="236"/>
      <c r="I147" s="236"/>
      <c r="J147" s="236"/>
      <c r="K147" s="236"/>
      <c r="L147" s="236"/>
      <c r="M147" s="236"/>
      <c r="N147" s="237" t="n">
        <f aca="false">IF(C147&lt;=$I$16, $I$17, "")</f>
        <v>0</v>
      </c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26"/>
      <c r="AA147" s="226"/>
      <c r="AB147" s="226"/>
      <c r="AC147" s="226"/>
      <c r="AD147" s="235" t="n">
        <v>15</v>
      </c>
      <c r="AE147" s="236" t="n">
        <f aca="false">D147</f>
        <v>425</v>
      </c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7" t="e">
        <f aca="false">AO146</f>
        <v>#DIV/0!</v>
      </c>
      <c r="AP147" s="237"/>
      <c r="AQ147" s="237"/>
      <c r="AR147" s="237"/>
      <c r="AS147" s="237"/>
      <c r="AT147" s="237"/>
      <c r="AU147" s="237"/>
      <c r="AV147" s="237"/>
      <c r="AW147" s="237"/>
      <c r="AX147" s="237"/>
      <c r="AY147" s="237"/>
      <c r="AZ147" s="237"/>
      <c r="BA147" s="226"/>
      <c r="BB147" s="226"/>
      <c r="BC147" s="226"/>
      <c r="BD147" s="226"/>
      <c r="BE147" s="235" t="n">
        <v>15</v>
      </c>
      <c r="BF147" s="236" t="n">
        <f aca="false">AE147</f>
        <v>425</v>
      </c>
      <c r="BG147" s="236"/>
      <c r="BH147" s="236"/>
      <c r="BI147" s="236"/>
      <c r="BJ147" s="236"/>
      <c r="BK147" s="236"/>
      <c r="BL147" s="236"/>
      <c r="BM147" s="236"/>
      <c r="BN147" s="236"/>
      <c r="BO147" s="236"/>
      <c r="BP147" s="238"/>
      <c r="BQ147" s="238"/>
      <c r="BR147" s="238"/>
      <c r="BS147" s="238"/>
      <c r="BT147" s="238"/>
      <c r="BU147" s="238"/>
      <c r="BV147" s="238"/>
      <c r="BW147" s="238"/>
      <c r="BX147" s="238"/>
      <c r="BY147" s="238"/>
      <c r="BZ147" s="238"/>
      <c r="CA147" s="238"/>
      <c r="CB147" s="238"/>
      <c r="CC147" s="238"/>
      <c r="CI147" s="46"/>
    </row>
    <row r="148" customFormat="false" ht="12.75" hidden="false" customHeight="true" outlineLevel="0" collapsed="false">
      <c r="C148" s="235" t="n">
        <v>16</v>
      </c>
      <c r="D148" s="236" t="n">
        <f aca="false">IF(C148&lt;=$I$16, EDATE($D$6, C148-1), "")</f>
        <v>455</v>
      </c>
      <c r="E148" s="236"/>
      <c r="F148" s="236"/>
      <c r="G148" s="236"/>
      <c r="H148" s="236"/>
      <c r="I148" s="236"/>
      <c r="J148" s="236"/>
      <c r="K148" s="236"/>
      <c r="L148" s="236"/>
      <c r="M148" s="236"/>
      <c r="N148" s="237" t="n">
        <f aca="false">IF(C148&lt;=$I$16, $I$17, "")</f>
        <v>0</v>
      </c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26"/>
      <c r="AA148" s="226"/>
      <c r="AB148" s="226"/>
      <c r="AC148" s="226"/>
      <c r="AD148" s="235" t="n">
        <v>16</v>
      </c>
      <c r="AE148" s="236" t="n">
        <f aca="false">D148</f>
        <v>455</v>
      </c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7" t="e">
        <f aca="false">AO147</f>
        <v>#DIV/0!</v>
      </c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26"/>
      <c r="BB148" s="226"/>
      <c r="BC148" s="226"/>
      <c r="BD148" s="226"/>
      <c r="BE148" s="235" t="n">
        <v>16</v>
      </c>
      <c r="BF148" s="236" t="n">
        <f aca="false">AE148</f>
        <v>455</v>
      </c>
      <c r="BG148" s="236"/>
      <c r="BH148" s="236"/>
      <c r="BI148" s="236"/>
      <c r="BJ148" s="236"/>
      <c r="BK148" s="236"/>
      <c r="BL148" s="236"/>
      <c r="BM148" s="236"/>
      <c r="BN148" s="236"/>
      <c r="BO148" s="236"/>
      <c r="BP148" s="238"/>
      <c r="BQ148" s="238"/>
      <c r="BR148" s="238"/>
      <c r="BS148" s="238"/>
      <c r="BT148" s="238"/>
      <c r="BU148" s="238"/>
      <c r="BV148" s="238"/>
      <c r="BW148" s="238"/>
      <c r="BX148" s="238"/>
      <c r="BY148" s="238"/>
      <c r="BZ148" s="238"/>
      <c r="CA148" s="238"/>
      <c r="CB148" s="238"/>
      <c r="CC148" s="238"/>
      <c r="CI148" s="46"/>
    </row>
    <row r="149" customFormat="false" ht="12.75" hidden="false" customHeight="true" outlineLevel="0" collapsed="false">
      <c r="C149" s="235" t="n">
        <v>17</v>
      </c>
      <c r="D149" s="236" t="n">
        <f aca="false">IF(C149&lt;=$I$16, EDATE($D$6, C149-1), "")</f>
        <v>486</v>
      </c>
      <c r="E149" s="236"/>
      <c r="F149" s="236"/>
      <c r="G149" s="236"/>
      <c r="H149" s="236"/>
      <c r="I149" s="236"/>
      <c r="J149" s="236"/>
      <c r="K149" s="236"/>
      <c r="L149" s="236"/>
      <c r="M149" s="236"/>
      <c r="N149" s="237" t="n">
        <f aca="false">IF(C149&lt;=$I$16, $I$17, "")</f>
        <v>0</v>
      </c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26"/>
      <c r="AA149" s="226"/>
      <c r="AB149" s="226"/>
      <c r="AC149" s="226"/>
      <c r="AD149" s="235" t="n">
        <v>17</v>
      </c>
      <c r="AE149" s="236" t="n">
        <f aca="false">D149</f>
        <v>486</v>
      </c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7" t="e">
        <f aca="false">AO148</f>
        <v>#DIV/0!</v>
      </c>
      <c r="AP149" s="237"/>
      <c r="AQ149" s="237"/>
      <c r="AR149" s="237"/>
      <c r="AS149" s="237"/>
      <c r="AT149" s="237"/>
      <c r="AU149" s="237"/>
      <c r="AV149" s="237"/>
      <c r="AW149" s="237"/>
      <c r="AX149" s="237"/>
      <c r="AY149" s="237"/>
      <c r="AZ149" s="237"/>
      <c r="BA149" s="226"/>
      <c r="BB149" s="226"/>
      <c r="BC149" s="226"/>
      <c r="BD149" s="226"/>
      <c r="BE149" s="235" t="n">
        <v>17</v>
      </c>
      <c r="BF149" s="236" t="n">
        <f aca="false">AE149</f>
        <v>486</v>
      </c>
      <c r="BG149" s="236"/>
      <c r="BH149" s="236"/>
      <c r="BI149" s="236"/>
      <c r="BJ149" s="236"/>
      <c r="BK149" s="236"/>
      <c r="BL149" s="236"/>
      <c r="BM149" s="236"/>
      <c r="BN149" s="236"/>
      <c r="BO149" s="236"/>
      <c r="BP149" s="238"/>
      <c r="BQ149" s="238"/>
      <c r="BR149" s="238"/>
      <c r="BS149" s="238"/>
      <c r="BT149" s="238"/>
      <c r="BU149" s="238"/>
      <c r="BV149" s="238"/>
      <c r="BW149" s="238"/>
      <c r="BX149" s="238"/>
      <c r="BY149" s="238"/>
      <c r="BZ149" s="238"/>
      <c r="CA149" s="238"/>
      <c r="CB149" s="238"/>
      <c r="CC149" s="238"/>
      <c r="CI149" s="46"/>
    </row>
    <row r="150" customFormat="false" ht="12.75" hidden="false" customHeight="true" outlineLevel="0" collapsed="false">
      <c r="C150" s="235" t="n">
        <v>18</v>
      </c>
      <c r="D150" s="236" t="n">
        <f aca="false">IF(C150&lt;=$I$16, EDATE($D$6, C150-1), "")</f>
        <v>516</v>
      </c>
      <c r="E150" s="236"/>
      <c r="F150" s="236"/>
      <c r="G150" s="236"/>
      <c r="H150" s="236"/>
      <c r="I150" s="236"/>
      <c r="J150" s="236"/>
      <c r="K150" s="236"/>
      <c r="L150" s="236"/>
      <c r="M150" s="236"/>
      <c r="N150" s="237" t="n">
        <f aca="false">IF(C150&lt;=$I$16, $I$17, "")</f>
        <v>0</v>
      </c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26"/>
      <c r="AA150" s="226"/>
      <c r="AB150" s="226"/>
      <c r="AC150" s="226"/>
      <c r="AD150" s="235" t="n">
        <v>18</v>
      </c>
      <c r="AE150" s="236" t="n">
        <f aca="false">D150</f>
        <v>516</v>
      </c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7" t="e">
        <f aca="false">AO149</f>
        <v>#DIV/0!</v>
      </c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26"/>
      <c r="BB150" s="226"/>
      <c r="BC150" s="226"/>
      <c r="BD150" s="226"/>
      <c r="BE150" s="235" t="n">
        <v>18</v>
      </c>
      <c r="BF150" s="236" t="n">
        <f aca="false">AE150</f>
        <v>516</v>
      </c>
      <c r="BG150" s="236"/>
      <c r="BH150" s="236"/>
      <c r="BI150" s="236"/>
      <c r="BJ150" s="236"/>
      <c r="BK150" s="236"/>
      <c r="BL150" s="236"/>
      <c r="BM150" s="236"/>
      <c r="BN150" s="236"/>
      <c r="BO150" s="236"/>
      <c r="BP150" s="238"/>
      <c r="BQ150" s="238"/>
      <c r="BR150" s="238"/>
      <c r="BS150" s="238"/>
      <c r="BT150" s="238"/>
      <c r="BU150" s="238"/>
      <c r="BV150" s="238"/>
      <c r="BW150" s="238"/>
      <c r="BX150" s="238"/>
      <c r="BY150" s="238"/>
      <c r="BZ150" s="238"/>
      <c r="CA150" s="238"/>
      <c r="CB150" s="238"/>
      <c r="CC150" s="238"/>
      <c r="CI150" s="46"/>
    </row>
    <row r="151" customFormat="false" ht="12.75" hidden="false" customHeight="true" outlineLevel="0" collapsed="false">
      <c r="C151" s="235" t="n">
        <v>19</v>
      </c>
      <c r="D151" s="236" t="n">
        <f aca="false">IF(C151&lt;=$I$16, EDATE($D$6, C151-1), "")</f>
        <v>547</v>
      </c>
      <c r="E151" s="236"/>
      <c r="F151" s="236"/>
      <c r="G151" s="236"/>
      <c r="H151" s="236"/>
      <c r="I151" s="236"/>
      <c r="J151" s="236"/>
      <c r="K151" s="236"/>
      <c r="L151" s="236"/>
      <c r="M151" s="236"/>
      <c r="N151" s="237" t="n">
        <f aca="false">IF(C151&lt;=$I$16, $I$17, "")</f>
        <v>0</v>
      </c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26"/>
      <c r="AA151" s="226"/>
      <c r="AB151" s="226"/>
      <c r="AC151" s="226"/>
      <c r="AD151" s="235" t="n">
        <v>19</v>
      </c>
      <c r="AE151" s="236" t="n">
        <f aca="false">D151</f>
        <v>547</v>
      </c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7" t="e">
        <f aca="false">AO150</f>
        <v>#DIV/0!</v>
      </c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26"/>
      <c r="BB151" s="226"/>
      <c r="BC151" s="226"/>
      <c r="BD151" s="226"/>
      <c r="BE151" s="235" t="n">
        <v>19</v>
      </c>
      <c r="BF151" s="236" t="n">
        <f aca="false">AE151</f>
        <v>547</v>
      </c>
      <c r="BG151" s="236"/>
      <c r="BH151" s="236"/>
      <c r="BI151" s="236"/>
      <c r="BJ151" s="236"/>
      <c r="BK151" s="236"/>
      <c r="BL151" s="236"/>
      <c r="BM151" s="236"/>
      <c r="BN151" s="236"/>
      <c r="BO151" s="236"/>
      <c r="BP151" s="238"/>
      <c r="BQ151" s="238"/>
      <c r="BR151" s="238"/>
      <c r="BS151" s="238"/>
      <c r="BT151" s="238"/>
      <c r="BU151" s="238"/>
      <c r="BV151" s="238"/>
      <c r="BW151" s="238"/>
      <c r="BX151" s="238"/>
      <c r="BY151" s="238"/>
      <c r="BZ151" s="238"/>
      <c r="CA151" s="238"/>
      <c r="CB151" s="238"/>
      <c r="CC151" s="238"/>
      <c r="CI151" s="46"/>
    </row>
    <row r="152" customFormat="false" ht="12.75" hidden="false" customHeight="true" outlineLevel="0" collapsed="false">
      <c r="C152" s="235" t="n">
        <v>20</v>
      </c>
      <c r="D152" s="236" t="n">
        <f aca="false">IF(C152&lt;=$I$16, EDATE($D$6, C152-1), "")</f>
        <v>577</v>
      </c>
      <c r="E152" s="236"/>
      <c r="F152" s="236"/>
      <c r="G152" s="236"/>
      <c r="H152" s="236"/>
      <c r="I152" s="236"/>
      <c r="J152" s="236"/>
      <c r="K152" s="236"/>
      <c r="L152" s="236"/>
      <c r="M152" s="236"/>
      <c r="N152" s="237" t="n">
        <f aca="false">IF(C152&lt;=$I$16, $I$17, "")</f>
        <v>0</v>
      </c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26"/>
      <c r="AA152" s="226"/>
      <c r="AB152" s="226"/>
      <c r="AC152" s="226"/>
      <c r="AD152" s="235" t="n">
        <v>20</v>
      </c>
      <c r="AE152" s="236" t="n">
        <f aca="false">D152</f>
        <v>577</v>
      </c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7" t="e">
        <f aca="false">AO151</f>
        <v>#DIV/0!</v>
      </c>
      <c r="AP152" s="237"/>
      <c r="AQ152" s="237"/>
      <c r="AR152" s="237"/>
      <c r="AS152" s="237"/>
      <c r="AT152" s="237"/>
      <c r="AU152" s="237"/>
      <c r="AV152" s="237"/>
      <c r="AW152" s="237"/>
      <c r="AX152" s="237"/>
      <c r="AY152" s="237"/>
      <c r="AZ152" s="237"/>
      <c r="BA152" s="226"/>
      <c r="BB152" s="226"/>
      <c r="BC152" s="226"/>
      <c r="BD152" s="226"/>
      <c r="BE152" s="235" t="n">
        <v>20</v>
      </c>
      <c r="BF152" s="236" t="n">
        <f aca="false">AE152</f>
        <v>577</v>
      </c>
      <c r="BG152" s="236"/>
      <c r="BH152" s="236"/>
      <c r="BI152" s="236"/>
      <c r="BJ152" s="236"/>
      <c r="BK152" s="236"/>
      <c r="BL152" s="236"/>
      <c r="BM152" s="236"/>
      <c r="BN152" s="236"/>
      <c r="BO152" s="236"/>
      <c r="BP152" s="238"/>
      <c r="BQ152" s="238"/>
      <c r="BR152" s="238"/>
      <c r="BS152" s="238"/>
      <c r="BT152" s="238"/>
      <c r="BU152" s="238"/>
      <c r="BV152" s="238"/>
      <c r="BW152" s="238"/>
      <c r="BX152" s="238"/>
      <c r="BY152" s="238"/>
      <c r="BZ152" s="238"/>
      <c r="CA152" s="238"/>
      <c r="CB152" s="238"/>
      <c r="CC152" s="238"/>
      <c r="CI152" s="46"/>
    </row>
    <row r="153" customFormat="false" ht="12.75" hidden="false" customHeight="true" outlineLevel="0" collapsed="false">
      <c r="C153" s="235" t="n">
        <v>21</v>
      </c>
      <c r="D153" s="236" t="n">
        <f aca="false">IF(C153&lt;=$I$16, EDATE($D$6, C153-1), "")</f>
        <v>608</v>
      </c>
      <c r="E153" s="236"/>
      <c r="F153" s="236"/>
      <c r="G153" s="236"/>
      <c r="H153" s="236"/>
      <c r="I153" s="236"/>
      <c r="J153" s="236"/>
      <c r="K153" s="236"/>
      <c r="L153" s="236"/>
      <c r="M153" s="236"/>
      <c r="N153" s="237" t="n">
        <f aca="false">IF(C153&lt;=$I$16, $I$17, "")</f>
        <v>0</v>
      </c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26"/>
      <c r="AA153" s="226"/>
      <c r="AB153" s="226"/>
      <c r="AC153" s="226"/>
      <c r="AD153" s="235" t="n">
        <v>21</v>
      </c>
      <c r="AE153" s="236" t="n">
        <f aca="false">D153</f>
        <v>608</v>
      </c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7" t="e">
        <f aca="false">AO152</f>
        <v>#DIV/0!</v>
      </c>
      <c r="AP153" s="237"/>
      <c r="AQ153" s="237"/>
      <c r="AR153" s="237"/>
      <c r="AS153" s="237"/>
      <c r="AT153" s="237"/>
      <c r="AU153" s="237"/>
      <c r="AV153" s="237"/>
      <c r="AW153" s="237"/>
      <c r="AX153" s="237"/>
      <c r="AY153" s="237"/>
      <c r="AZ153" s="237"/>
      <c r="BA153" s="226"/>
      <c r="BB153" s="226"/>
      <c r="BC153" s="226"/>
      <c r="BD153" s="226"/>
      <c r="BE153" s="235" t="n">
        <v>21</v>
      </c>
      <c r="BF153" s="236" t="n">
        <f aca="false">AE153</f>
        <v>608</v>
      </c>
      <c r="BG153" s="236"/>
      <c r="BH153" s="236"/>
      <c r="BI153" s="236"/>
      <c r="BJ153" s="236"/>
      <c r="BK153" s="236"/>
      <c r="BL153" s="236"/>
      <c r="BM153" s="236"/>
      <c r="BN153" s="236"/>
      <c r="BO153" s="236"/>
      <c r="BP153" s="238"/>
      <c r="BQ153" s="238"/>
      <c r="BR153" s="238"/>
      <c r="BS153" s="238"/>
      <c r="BT153" s="238"/>
      <c r="BU153" s="238"/>
      <c r="BV153" s="238"/>
      <c r="BW153" s="238"/>
      <c r="BX153" s="238"/>
      <c r="BY153" s="238"/>
      <c r="BZ153" s="238"/>
      <c r="CA153" s="238"/>
      <c r="CB153" s="238"/>
      <c r="CC153" s="238"/>
      <c r="CI153" s="46"/>
    </row>
    <row r="154" customFormat="false" ht="12.75" hidden="false" customHeight="true" outlineLevel="0" collapsed="false">
      <c r="C154" s="235" t="n">
        <v>22</v>
      </c>
      <c r="D154" s="236" t="n">
        <f aca="false">IF(C154&lt;=$I$16, EDATE($D$6, C154-1), "")</f>
        <v>639</v>
      </c>
      <c r="E154" s="236"/>
      <c r="F154" s="236"/>
      <c r="G154" s="236"/>
      <c r="H154" s="236"/>
      <c r="I154" s="236"/>
      <c r="J154" s="236"/>
      <c r="K154" s="236"/>
      <c r="L154" s="236"/>
      <c r="M154" s="236"/>
      <c r="N154" s="237" t="n">
        <f aca="false">IF(C154&lt;=$I$16, $I$17, "")</f>
        <v>0</v>
      </c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26"/>
      <c r="AA154" s="226"/>
      <c r="AB154" s="226"/>
      <c r="AC154" s="226"/>
      <c r="AD154" s="235" t="n">
        <v>22</v>
      </c>
      <c r="AE154" s="236" t="n">
        <f aca="false">D154</f>
        <v>639</v>
      </c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7" t="e">
        <f aca="false">AO153</f>
        <v>#DIV/0!</v>
      </c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26"/>
      <c r="BB154" s="226"/>
      <c r="BC154" s="226"/>
      <c r="BD154" s="226"/>
      <c r="BE154" s="235" t="n">
        <v>22</v>
      </c>
      <c r="BF154" s="236" t="n">
        <f aca="false">AE154</f>
        <v>639</v>
      </c>
      <c r="BG154" s="236"/>
      <c r="BH154" s="236"/>
      <c r="BI154" s="236"/>
      <c r="BJ154" s="236"/>
      <c r="BK154" s="236"/>
      <c r="BL154" s="236"/>
      <c r="BM154" s="236"/>
      <c r="BN154" s="236"/>
      <c r="BO154" s="236"/>
      <c r="BP154" s="238"/>
      <c r="BQ154" s="238"/>
      <c r="BR154" s="238"/>
      <c r="BS154" s="238"/>
      <c r="BT154" s="238"/>
      <c r="BU154" s="238"/>
      <c r="BV154" s="238"/>
      <c r="BW154" s="238"/>
      <c r="BX154" s="238"/>
      <c r="BY154" s="238"/>
      <c r="BZ154" s="238"/>
      <c r="CA154" s="238"/>
      <c r="CB154" s="238"/>
      <c r="CC154" s="238"/>
      <c r="CI154" s="46"/>
    </row>
    <row r="155" customFormat="false" ht="12.75" hidden="false" customHeight="true" outlineLevel="0" collapsed="false">
      <c r="C155" s="235" t="n">
        <v>23</v>
      </c>
      <c r="D155" s="236" t="str">
        <f aca="false">IF(C155&lt;=$I$16, EDATE($D$6, C155-1), "")</f>
        <v/>
      </c>
      <c r="E155" s="236"/>
      <c r="F155" s="236"/>
      <c r="G155" s="236"/>
      <c r="H155" s="236"/>
      <c r="I155" s="236"/>
      <c r="J155" s="236"/>
      <c r="K155" s="236"/>
      <c r="L155" s="236"/>
      <c r="M155" s="236"/>
      <c r="N155" s="237" t="str">
        <f aca="false">IF(C155&lt;=$I$16, $I$17, "")</f>
        <v/>
      </c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26"/>
      <c r="AA155" s="226"/>
      <c r="AB155" s="226"/>
      <c r="AC155" s="226"/>
      <c r="AD155" s="235" t="n">
        <v>23</v>
      </c>
      <c r="AE155" s="236" t="str">
        <f aca="false">D155</f>
        <v/>
      </c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7" t="e">
        <f aca="false">AO154</f>
        <v>#DIV/0!</v>
      </c>
      <c r="AP155" s="237"/>
      <c r="AQ155" s="237"/>
      <c r="AR155" s="237"/>
      <c r="AS155" s="237"/>
      <c r="AT155" s="237"/>
      <c r="AU155" s="237"/>
      <c r="AV155" s="237"/>
      <c r="AW155" s="237"/>
      <c r="AX155" s="237"/>
      <c r="AY155" s="237"/>
      <c r="AZ155" s="237"/>
      <c r="BA155" s="226"/>
      <c r="BB155" s="226"/>
      <c r="BC155" s="226"/>
      <c r="BD155" s="226"/>
      <c r="BE155" s="235" t="n">
        <v>23</v>
      </c>
      <c r="BF155" s="236" t="str">
        <f aca="false">AE155</f>
        <v/>
      </c>
      <c r="BG155" s="236"/>
      <c r="BH155" s="236"/>
      <c r="BI155" s="236"/>
      <c r="BJ155" s="236"/>
      <c r="BK155" s="236"/>
      <c r="BL155" s="236"/>
      <c r="BM155" s="236"/>
      <c r="BN155" s="236"/>
      <c r="BO155" s="236"/>
      <c r="BP155" s="238"/>
      <c r="BQ155" s="238"/>
      <c r="BR155" s="238"/>
      <c r="BS155" s="238"/>
      <c r="BT155" s="238"/>
      <c r="BU155" s="238"/>
      <c r="BV155" s="238"/>
      <c r="BW155" s="238"/>
      <c r="BX155" s="238"/>
      <c r="BY155" s="238"/>
      <c r="BZ155" s="238"/>
      <c r="CA155" s="238"/>
      <c r="CB155" s="238"/>
      <c r="CC155" s="238"/>
      <c r="CI155" s="46"/>
    </row>
    <row r="156" customFormat="false" ht="12.75" hidden="false" customHeight="true" outlineLevel="0" collapsed="false">
      <c r="C156" s="235" t="n">
        <v>24</v>
      </c>
      <c r="D156" s="236" t="str">
        <f aca="false">IF(C156&lt;=$I$16, EDATE($D$6, C156-1), "")</f>
        <v/>
      </c>
      <c r="E156" s="236"/>
      <c r="F156" s="236"/>
      <c r="G156" s="236"/>
      <c r="H156" s="236"/>
      <c r="I156" s="236"/>
      <c r="J156" s="236"/>
      <c r="K156" s="236"/>
      <c r="L156" s="236"/>
      <c r="M156" s="236"/>
      <c r="N156" s="237" t="str">
        <f aca="false">IF(C156&lt;=$I$16, $I$17, "")</f>
        <v/>
      </c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26"/>
      <c r="AA156" s="226"/>
      <c r="AB156" s="226"/>
      <c r="AC156" s="226"/>
      <c r="AD156" s="235" t="n">
        <v>24</v>
      </c>
      <c r="AE156" s="236" t="str">
        <f aca="false">D156</f>
        <v/>
      </c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7" t="e">
        <f aca="false">AO155</f>
        <v>#DIV/0!</v>
      </c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26"/>
      <c r="BB156" s="226"/>
      <c r="BC156" s="226"/>
      <c r="BD156" s="226"/>
      <c r="BE156" s="235" t="n">
        <v>24</v>
      </c>
      <c r="BF156" s="236" t="str">
        <f aca="false">AE156</f>
        <v/>
      </c>
      <c r="BG156" s="236"/>
      <c r="BH156" s="236"/>
      <c r="BI156" s="236"/>
      <c r="BJ156" s="236"/>
      <c r="BK156" s="236"/>
      <c r="BL156" s="236"/>
      <c r="BM156" s="236"/>
      <c r="BN156" s="236"/>
      <c r="BO156" s="236"/>
      <c r="BP156" s="238"/>
      <c r="BQ156" s="238"/>
      <c r="BR156" s="238"/>
      <c r="BS156" s="238"/>
      <c r="BT156" s="238"/>
      <c r="BU156" s="238"/>
      <c r="BV156" s="238"/>
      <c r="BW156" s="238"/>
      <c r="BX156" s="238"/>
      <c r="BY156" s="238"/>
      <c r="BZ156" s="238"/>
      <c r="CA156" s="238"/>
      <c r="CB156" s="238"/>
      <c r="CC156" s="238"/>
      <c r="CI156" s="46"/>
    </row>
    <row r="157" customFormat="false" ht="13.5" hidden="false" customHeight="false" outlineLevel="0" collapsed="false">
      <c r="C157" s="235" t="n">
        <v>25</v>
      </c>
      <c r="D157" s="236" t="str">
        <f aca="false">IF(C157&lt;=$I$16, EDATE($D$6, C157-1), "")</f>
        <v/>
      </c>
      <c r="E157" s="236"/>
      <c r="F157" s="236"/>
      <c r="G157" s="236"/>
      <c r="H157" s="236"/>
      <c r="I157" s="236"/>
      <c r="J157" s="236"/>
      <c r="K157" s="236"/>
      <c r="L157" s="236"/>
      <c r="M157" s="236"/>
      <c r="N157" s="237" t="str">
        <f aca="false">IF(C157&lt;=$I$16, $I$17, "")</f>
        <v/>
      </c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AD157" s="235" t="n">
        <v>25</v>
      </c>
      <c r="AE157" s="236" t="str">
        <f aca="false">D157</f>
        <v/>
      </c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7" t="e">
        <f aca="false">AO156</f>
        <v>#DIV/0!</v>
      </c>
      <c r="AP157" s="237"/>
      <c r="AQ157" s="237"/>
      <c r="AR157" s="237"/>
      <c r="AS157" s="237"/>
      <c r="AT157" s="237"/>
      <c r="AU157" s="237"/>
      <c r="AV157" s="237"/>
      <c r="AW157" s="237"/>
      <c r="AX157" s="237"/>
      <c r="AY157" s="237"/>
      <c r="AZ157" s="237"/>
      <c r="BE157" s="235" t="n">
        <v>25</v>
      </c>
      <c r="BF157" s="236" t="str">
        <f aca="false">AE157</f>
        <v/>
      </c>
      <c r="BG157" s="236"/>
      <c r="BH157" s="236"/>
      <c r="BI157" s="236"/>
      <c r="BJ157" s="236"/>
      <c r="BK157" s="236"/>
      <c r="BL157" s="236"/>
      <c r="BM157" s="236"/>
      <c r="BN157" s="236"/>
      <c r="BO157" s="236"/>
      <c r="BP157" s="238"/>
      <c r="BQ157" s="238"/>
      <c r="BR157" s="238"/>
      <c r="BS157" s="238"/>
      <c r="BT157" s="238"/>
      <c r="BU157" s="238"/>
      <c r="BV157" s="238"/>
      <c r="BW157" s="238"/>
      <c r="BX157" s="238"/>
      <c r="BY157" s="238"/>
      <c r="BZ157" s="238"/>
      <c r="CA157" s="238"/>
      <c r="CB157" s="238"/>
      <c r="CC157" s="238"/>
      <c r="CI157" s="46"/>
    </row>
    <row r="158" customFormat="false" ht="13.5" hidden="false" customHeight="false" outlineLevel="0" collapsed="false">
      <c r="C158" s="235" t="n">
        <v>26</v>
      </c>
      <c r="D158" s="236" t="str">
        <f aca="false">IF(C158&lt;=$I$16, EDATE($D$6, C158-1), "")</f>
        <v/>
      </c>
      <c r="E158" s="236"/>
      <c r="F158" s="236"/>
      <c r="G158" s="236"/>
      <c r="H158" s="236"/>
      <c r="I158" s="236"/>
      <c r="J158" s="236"/>
      <c r="K158" s="236"/>
      <c r="L158" s="236"/>
      <c r="M158" s="236"/>
      <c r="N158" s="237" t="str">
        <f aca="false">IF(C158&lt;=$I$16, $I$17, "")</f>
        <v/>
      </c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AD158" s="235" t="n">
        <v>26</v>
      </c>
      <c r="AE158" s="236" t="str">
        <f aca="false">D158</f>
        <v/>
      </c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7" t="e">
        <f aca="false">AO157</f>
        <v>#DIV/0!</v>
      </c>
      <c r="AP158" s="237"/>
      <c r="AQ158" s="237"/>
      <c r="AR158" s="237"/>
      <c r="AS158" s="237"/>
      <c r="AT158" s="237"/>
      <c r="AU158" s="237"/>
      <c r="AV158" s="237"/>
      <c r="AW158" s="237"/>
      <c r="AX158" s="237"/>
      <c r="AY158" s="237"/>
      <c r="AZ158" s="237"/>
      <c r="BE158" s="235" t="n">
        <v>26</v>
      </c>
      <c r="BF158" s="236" t="str">
        <f aca="false">AE158</f>
        <v/>
      </c>
      <c r="BG158" s="236"/>
      <c r="BH158" s="236"/>
      <c r="BI158" s="236"/>
      <c r="BJ158" s="236"/>
      <c r="BK158" s="236"/>
      <c r="BL158" s="236"/>
      <c r="BM158" s="236"/>
      <c r="BN158" s="236"/>
      <c r="BO158" s="236"/>
      <c r="BP158" s="238"/>
      <c r="BQ158" s="238"/>
      <c r="BR158" s="238"/>
      <c r="BS158" s="238"/>
      <c r="BT158" s="238"/>
      <c r="BU158" s="238"/>
      <c r="BV158" s="238"/>
      <c r="BW158" s="238"/>
      <c r="BX158" s="238"/>
      <c r="BY158" s="238"/>
      <c r="BZ158" s="238"/>
      <c r="CA158" s="238"/>
      <c r="CB158" s="238"/>
      <c r="CC158" s="238"/>
      <c r="CI158" s="46"/>
    </row>
    <row r="159" customFormat="false" ht="13.5" hidden="false" customHeight="false" outlineLevel="0" collapsed="false">
      <c r="C159" s="235" t="n">
        <v>27</v>
      </c>
      <c r="D159" s="236" t="str">
        <f aca="false">IF(C159&lt;=$I$16, EDATE($D$6, C159-1), "")</f>
        <v/>
      </c>
      <c r="E159" s="236"/>
      <c r="F159" s="236"/>
      <c r="G159" s="236"/>
      <c r="H159" s="236"/>
      <c r="I159" s="236"/>
      <c r="J159" s="236"/>
      <c r="K159" s="236"/>
      <c r="L159" s="236"/>
      <c r="M159" s="236"/>
      <c r="N159" s="237" t="str">
        <f aca="false">IF(C159&lt;=$I$16, $I$17, "")</f>
        <v/>
      </c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AD159" s="235" t="n">
        <v>27</v>
      </c>
      <c r="AE159" s="236" t="str">
        <f aca="false">D159</f>
        <v/>
      </c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7" t="e">
        <f aca="false">AO158</f>
        <v>#DIV/0!</v>
      </c>
      <c r="AP159" s="237"/>
      <c r="AQ159" s="237"/>
      <c r="AR159" s="237"/>
      <c r="AS159" s="237"/>
      <c r="AT159" s="237"/>
      <c r="AU159" s="237"/>
      <c r="AV159" s="237"/>
      <c r="AW159" s="237"/>
      <c r="AX159" s="237"/>
      <c r="AY159" s="237"/>
      <c r="AZ159" s="237"/>
      <c r="BE159" s="235" t="n">
        <v>27</v>
      </c>
      <c r="BF159" s="236" t="str">
        <f aca="false">AE159</f>
        <v/>
      </c>
      <c r="BG159" s="236"/>
      <c r="BH159" s="236"/>
      <c r="BI159" s="236"/>
      <c r="BJ159" s="236"/>
      <c r="BK159" s="236"/>
      <c r="BL159" s="236"/>
      <c r="BM159" s="236"/>
      <c r="BN159" s="236"/>
      <c r="BO159" s="236"/>
      <c r="BP159" s="238"/>
      <c r="BQ159" s="238"/>
      <c r="BR159" s="238"/>
      <c r="BS159" s="238"/>
      <c r="BT159" s="238"/>
      <c r="BU159" s="238"/>
      <c r="BV159" s="238"/>
      <c r="BW159" s="238"/>
      <c r="BX159" s="238"/>
      <c r="BY159" s="238"/>
      <c r="BZ159" s="238"/>
      <c r="CA159" s="238"/>
      <c r="CB159" s="238"/>
      <c r="CC159" s="238"/>
      <c r="CI159" s="46"/>
    </row>
    <row r="160" customFormat="false" ht="13.5" hidden="false" customHeight="false" outlineLevel="0" collapsed="false">
      <c r="C160" s="235" t="n">
        <v>28</v>
      </c>
      <c r="D160" s="236" t="str">
        <f aca="false">IF(C160&lt;=$I$16, EDATE($D$6, C160-1), "")</f>
        <v/>
      </c>
      <c r="E160" s="236"/>
      <c r="F160" s="236"/>
      <c r="G160" s="236"/>
      <c r="H160" s="236"/>
      <c r="I160" s="236"/>
      <c r="J160" s="236"/>
      <c r="K160" s="236"/>
      <c r="L160" s="236"/>
      <c r="M160" s="236"/>
      <c r="N160" s="237" t="str">
        <f aca="false">IF(C160&lt;=$I$16, $I$17, "")</f>
        <v/>
      </c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AD160" s="235" t="n">
        <v>28</v>
      </c>
      <c r="AE160" s="236" t="str">
        <f aca="false">D160</f>
        <v/>
      </c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7" t="e">
        <f aca="false">AO159</f>
        <v>#DIV/0!</v>
      </c>
      <c r="AP160" s="237"/>
      <c r="AQ160" s="237"/>
      <c r="AR160" s="237"/>
      <c r="AS160" s="237"/>
      <c r="AT160" s="237"/>
      <c r="AU160" s="237"/>
      <c r="AV160" s="237"/>
      <c r="AW160" s="237"/>
      <c r="AX160" s="237"/>
      <c r="AY160" s="237"/>
      <c r="AZ160" s="237"/>
      <c r="BE160" s="235" t="n">
        <v>28</v>
      </c>
      <c r="BF160" s="236" t="str">
        <f aca="false">AE160</f>
        <v/>
      </c>
      <c r="BG160" s="236"/>
      <c r="BH160" s="236"/>
      <c r="BI160" s="236"/>
      <c r="BJ160" s="236"/>
      <c r="BK160" s="236"/>
      <c r="BL160" s="236"/>
      <c r="BM160" s="236"/>
      <c r="BN160" s="236"/>
      <c r="BO160" s="236"/>
      <c r="BP160" s="238"/>
      <c r="BQ160" s="238"/>
      <c r="BR160" s="238"/>
      <c r="BS160" s="238"/>
      <c r="BT160" s="238"/>
      <c r="BU160" s="238"/>
      <c r="BV160" s="238"/>
      <c r="BW160" s="238"/>
      <c r="BX160" s="238"/>
      <c r="BY160" s="238"/>
      <c r="BZ160" s="238"/>
      <c r="CA160" s="238"/>
      <c r="CB160" s="238"/>
      <c r="CC160" s="238"/>
      <c r="CI160" s="46"/>
    </row>
    <row r="161" customFormat="false" ht="13.5" hidden="false" customHeight="false" outlineLevel="0" collapsed="false">
      <c r="C161" s="235" t="n">
        <v>29</v>
      </c>
      <c r="D161" s="236" t="str">
        <f aca="false">IF(C161&lt;=$I$16, EDATE($D$6, C161-1), "")</f>
        <v/>
      </c>
      <c r="E161" s="236"/>
      <c r="F161" s="236"/>
      <c r="G161" s="236"/>
      <c r="H161" s="236"/>
      <c r="I161" s="236"/>
      <c r="J161" s="236"/>
      <c r="K161" s="236"/>
      <c r="L161" s="236"/>
      <c r="M161" s="236"/>
      <c r="N161" s="237" t="str">
        <f aca="false">IF(C161&lt;=$I$16, $I$17, "")</f>
        <v/>
      </c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AD161" s="235" t="n">
        <v>29</v>
      </c>
      <c r="AE161" s="236" t="str">
        <f aca="false">D161</f>
        <v/>
      </c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7" t="e">
        <f aca="false">AO160</f>
        <v>#DIV/0!</v>
      </c>
      <c r="AP161" s="237"/>
      <c r="AQ161" s="237"/>
      <c r="AR161" s="237"/>
      <c r="AS161" s="237"/>
      <c r="AT161" s="237"/>
      <c r="AU161" s="237"/>
      <c r="AV161" s="237"/>
      <c r="AW161" s="237"/>
      <c r="AX161" s="237"/>
      <c r="AY161" s="237"/>
      <c r="AZ161" s="237"/>
      <c r="BE161" s="235" t="n">
        <v>29</v>
      </c>
      <c r="BF161" s="236" t="str">
        <f aca="false">AE161</f>
        <v/>
      </c>
      <c r="BG161" s="236"/>
      <c r="BH161" s="236"/>
      <c r="BI161" s="236"/>
      <c r="BJ161" s="236"/>
      <c r="BK161" s="236"/>
      <c r="BL161" s="236"/>
      <c r="BM161" s="236"/>
      <c r="BN161" s="236"/>
      <c r="BO161" s="236"/>
      <c r="BP161" s="238"/>
      <c r="BQ161" s="238"/>
      <c r="BR161" s="238"/>
      <c r="BS161" s="238"/>
      <c r="BT161" s="238"/>
      <c r="BU161" s="238"/>
      <c r="BV161" s="238"/>
      <c r="BW161" s="238"/>
      <c r="BX161" s="238"/>
      <c r="BY161" s="238"/>
      <c r="BZ161" s="238"/>
      <c r="CA161" s="238"/>
      <c r="CB161" s="238"/>
      <c r="CC161" s="238"/>
      <c r="CI161" s="46"/>
    </row>
    <row r="162" customFormat="false" ht="13.5" hidden="false" customHeight="false" outlineLevel="0" collapsed="false">
      <c r="C162" s="235" t="n">
        <v>30</v>
      </c>
      <c r="D162" s="236" t="str">
        <f aca="false">IF(C162&lt;=$I$16, EDATE($D$6, C162-1), "")</f>
        <v/>
      </c>
      <c r="E162" s="236"/>
      <c r="F162" s="236"/>
      <c r="G162" s="236"/>
      <c r="H162" s="236"/>
      <c r="I162" s="236"/>
      <c r="J162" s="236"/>
      <c r="K162" s="236"/>
      <c r="L162" s="236"/>
      <c r="M162" s="236"/>
      <c r="N162" s="237" t="str">
        <f aca="false">IF(C162&lt;=$I$16, $I$17, "")</f>
        <v/>
      </c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AD162" s="235" t="n">
        <v>30</v>
      </c>
      <c r="AE162" s="236" t="str">
        <f aca="false">D162</f>
        <v/>
      </c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7" t="e">
        <f aca="false">AO161</f>
        <v>#DIV/0!</v>
      </c>
      <c r="AP162" s="237"/>
      <c r="AQ162" s="237"/>
      <c r="AR162" s="237"/>
      <c r="AS162" s="237"/>
      <c r="AT162" s="237"/>
      <c r="AU162" s="237"/>
      <c r="AV162" s="237"/>
      <c r="AW162" s="237"/>
      <c r="AX162" s="237"/>
      <c r="AY162" s="237"/>
      <c r="AZ162" s="237"/>
      <c r="BE162" s="235" t="n">
        <v>30</v>
      </c>
      <c r="BF162" s="236" t="str">
        <f aca="false">AE162</f>
        <v/>
      </c>
      <c r="BG162" s="236"/>
      <c r="BH162" s="236"/>
      <c r="BI162" s="236"/>
      <c r="BJ162" s="236"/>
      <c r="BK162" s="236"/>
      <c r="BL162" s="236"/>
      <c r="BM162" s="236"/>
      <c r="BN162" s="236"/>
      <c r="BO162" s="236"/>
      <c r="BP162" s="238"/>
      <c r="BQ162" s="238"/>
      <c r="BR162" s="238"/>
      <c r="BS162" s="238"/>
      <c r="BT162" s="238"/>
      <c r="BU162" s="238"/>
      <c r="BV162" s="238"/>
      <c r="BW162" s="238"/>
      <c r="BX162" s="238"/>
      <c r="BY162" s="238"/>
      <c r="BZ162" s="238"/>
      <c r="CA162" s="238"/>
      <c r="CB162" s="238"/>
      <c r="CC162" s="238"/>
      <c r="CI162" s="46"/>
    </row>
    <row r="163" customFormat="false" ht="13.5" hidden="false" customHeight="false" outlineLevel="0" collapsed="false">
      <c r="C163" s="235" t="n">
        <v>31</v>
      </c>
      <c r="D163" s="236" t="str">
        <f aca="false">IF(C163&lt;=$I$16, EDATE($D$6, C163-1), "")</f>
        <v/>
      </c>
      <c r="E163" s="236"/>
      <c r="F163" s="236"/>
      <c r="G163" s="236"/>
      <c r="H163" s="236"/>
      <c r="I163" s="236"/>
      <c r="J163" s="236"/>
      <c r="K163" s="236"/>
      <c r="L163" s="236"/>
      <c r="M163" s="236"/>
      <c r="N163" s="237" t="str">
        <f aca="false">IF(C163&lt;=$I$16, $I$17, "")</f>
        <v/>
      </c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AD163" s="235" t="n">
        <v>31</v>
      </c>
      <c r="AE163" s="236" t="str">
        <f aca="false">D163</f>
        <v/>
      </c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7" t="e">
        <f aca="false">AO162</f>
        <v>#DIV/0!</v>
      </c>
      <c r="AP163" s="237"/>
      <c r="AQ163" s="237"/>
      <c r="AR163" s="237"/>
      <c r="AS163" s="237"/>
      <c r="AT163" s="237"/>
      <c r="AU163" s="237"/>
      <c r="AV163" s="237"/>
      <c r="AW163" s="237"/>
      <c r="AX163" s="237"/>
      <c r="AY163" s="237"/>
      <c r="AZ163" s="237"/>
      <c r="BE163" s="235" t="n">
        <v>31</v>
      </c>
      <c r="BF163" s="236" t="str">
        <f aca="false">AE163</f>
        <v/>
      </c>
      <c r="BG163" s="236"/>
      <c r="BH163" s="236"/>
      <c r="BI163" s="236"/>
      <c r="BJ163" s="236"/>
      <c r="BK163" s="236"/>
      <c r="BL163" s="236"/>
      <c r="BM163" s="236"/>
      <c r="BN163" s="236"/>
      <c r="BO163" s="236"/>
      <c r="BP163" s="238"/>
      <c r="BQ163" s="238"/>
      <c r="BR163" s="238"/>
      <c r="BS163" s="238"/>
      <c r="BT163" s="238"/>
      <c r="BU163" s="238"/>
      <c r="BV163" s="238"/>
      <c r="BW163" s="238"/>
      <c r="BX163" s="238"/>
      <c r="BY163" s="238"/>
      <c r="BZ163" s="238"/>
      <c r="CA163" s="238"/>
      <c r="CB163" s="238"/>
      <c r="CC163" s="238"/>
      <c r="CI163" s="46"/>
    </row>
    <row r="164" customFormat="false" ht="13.5" hidden="false" customHeight="false" outlineLevel="0" collapsed="false">
      <c r="C164" s="235" t="n">
        <v>32</v>
      </c>
      <c r="D164" s="236" t="str">
        <f aca="false">IF(C164&lt;=$I$16, EDATE($D$6, C164-1), "")</f>
        <v/>
      </c>
      <c r="E164" s="236"/>
      <c r="F164" s="236"/>
      <c r="G164" s="236"/>
      <c r="H164" s="236"/>
      <c r="I164" s="236"/>
      <c r="J164" s="236"/>
      <c r="K164" s="236"/>
      <c r="L164" s="236"/>
      <c r="M164" s="236"/>
      <c r="N164" s="237" t="str">
        <f aca="false">IF(C164&lt;=$I$16, $I$17, "")</f>
        <v/>
      </c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AD164" s="235" t="n">
        <v>32</v>
      </c>
      <c r="AE164" s="236" t="str">
        <f aca="false">D164</f>
        <v/>
      </c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7" t="e">
        <f aca="false">AO163</f>
        <v>#DIV/0!</v>
      </c>
      <c r="AP164" s="237"/>
      <c r="AQ164" s="237"/>
      <c r="AR164" s="237"/>
      <c r="AS164" s="237"/>
      <c r="AT164" s="237"/>
      <c r="AU164" s="237"/>
      <c r="AV164" s="237"/>
      <c r="AW164" s="237"/>
      <c r="AX164" s="237"/>
      <c r="AY164" s="237"/>
      <c r="AZ164" s="237"/>
      <c r="BE164" s="235" t="n">
        <v>32</v>
      </c>
      <c r="BF164" s="236" t="str">
        <f aca="false">AE164</f>
        <v/>
      </c>
      <c r="BG164" s="236"/>
      <c r="BH164" s="236"/>
      <c r="BI164" s="236"/>
      <c r="BJ164" s="236"/>
      <c r="BK164" s="236"/>
      <c r="BL164" s="236"/>
      <c r="BM164" s="236"/>
      <c r="BN164" s="236"/>
      <c r="BO164" s="236"/>
      <c r="BP164" s="238"/>
      <c r="BQ164" s="238"/>
      <c r="BR164" s="238"/>
      <c r="BS164" s="238"/>
      <c r="BT164" s="238"/>
      <c r="BU164" s="238"/>
      <c r="BV164" s="238"/>
      <c r="BW164" s="238"/>
      <c r="BX164" s="238"/>
      <c r="BY164" s="238"/>
      <c r="BZ164" s="238"/>
      <c r="CA164" s="238"/>
      <c r="CB164" s="238"/>
      <c r="CC164" s="238"/>
      <c r="CI164" s="46"/>
    </row>
    <row r="165" customFormat="false" ht="13.5" hidden="false" customHeight="false" outlineLevel="0" collapsed="false">
      <c r="C165" s="235" t="n">
        <v>33</v>
      </c>
      <c r="D165" s="236" t="str">
        <f aca="false">IF(C165&lt;=$I$16, EDATE($D$6, C165-1), "")</f>
        <v/>
      </c>
      <c r="E165" s="236"/>
      <c r="F165" s="236"/>
      <c r="G165" s="236"/>
      <c r="H165" s="236"/>
      <c r="I165" s="236"/>
      <c r="J165" s="236"/>
      <c r="K165" s="236"/>
      <c r="L165" s="236"/>
      <c r="M165" s="236"/>
      <c r="N165" s="237" t="str">
        <f aca="false">IF(C165&lt;=$I$16, $I$17, "")</f>
        <v/>
      </c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AD165" s="235" t="n">
        <v>33</v>
      </c>
      <c r="AE165" s="236" t="str">
        <f aca="false">D165</f>
        <v/>
      </c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7" t="e">
        <f aca="false">AO164</f>
        <v>#DIV/0!</v>
      </c>
      <c r="AP165" s="237"/>
      <c r="AQ165" s="237"/>
      <c r="AR165" s="237"/>
      <c r="AS165" s="237"/>
      <c r="AT165" s="237"/>
      <c r="AU165" s="237"/>
      <c r="AV165" s="237"/>
      <c r="AW165" s="237"/>
      <c r="AX165" s="237"/>
      <c r="AY165" s="237"/>
      <c r="AZ165" s="237"/>
      <c r="BE165" s="235" t="n">
        <v>33</v>
      </c>
      <c r="BF165" s="236" t="str">
        <f aca="false">AE165</f>
        <v/>
      </c>
      <c r="BG165" s="236"/>
      <c r="BH165" s="236"/>
      <c r="BI165" s="236"/>
      <c r="BJ165" s="236"/>
      <c r="BK165" s="236"/>
      <c r="BL165" s="236"/>
      <c r="BM165" s="236"/>
      <c r="BN165" s="236"/>
      <c r="BO165" s="236"/>
      <c r="BP165" s="238"/>
      <c r="BQ165" s="238"/>
      <c r="BR165" s="238"/>
      <c r="BS165" s="238"/>
      <c r="BT165" s="238"/>
      <c r="BU165" s="238"/>
      <c r="BV165" s="238"/>
      <c r="BW165" s="238"/>
      <c r="BX165" s="238"/>
      <c r="BY165" s="238"/>
      <c r="BZ165" s="238"/>
      <c r="CA165" s="238"/>
      <c r="CB165" s="238"/>
      <c r="CC165" s="238"/>
      <c r="CI165" s="46"/>
    </row>
    <row r="166" customFormat="false" ht="13.5" hidden="false" customHeight="false" outlineLevel="0" collapsed="false">
      <c r="C166" s="235" t="n">
        <v>34</v>
      </c>
      <c r="D166" s="236" t="str">
        <f aca="false">IF(C166&lt;=$I$16, EDATE($D$6, C166-1), "")</f>
        <v/>
      </c>
      <c r="E166" s="236"/>
      <c r="F166" s="236"/>
      <c r="G166" s="236"/>
      <c r="H166" s="236"/>
      <c r="I166" s="236"/>
      <c r="J166" s="236"/>
      <c r="K166" s="236"/>
      <c r="L166" s="236"/>
      <c r="M166" s="236"/>
      <c r="N166" s="237" t="str">
        <f aca="false">IF(C166&lt;=$I$16, $I$17, "")</f>
        <v/>
      </c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AD166" s="235" t="n">
        <v>34</v>
      </c>
      <c r="AE166" s="236" t="str">
        <f aca="false">D166</f>
        <v/>
      </c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7" t="e">
        <f aca="false">AO165</f>
        <v>#DIV/0!</v>
      </c>
      <c r="AP166" s="237"/>
      <c r="AQ166" s="237"/>
      <c r="AR166" s="237"/>
      <c r="AS166" s="237"/>
      <c r="AT166" s="237"/>
      <c r="AU166" s="237"/>
      <c r="AV166" s="237"/>
      <c r="AW166" s="237"/>
      <c r="AX166" s="237"/>
      <c r="AY166" s="237"/>
      <c r="AZ166" s="237"/>
      <c r="BE166" s="235" t="n">
        <v>34</v>
      </c>
      <c r="BF166" s="236" t="str">
        <f aca="false">AE166</f>
        <v/>
      </c>
      <c r="BG166" s="236"/>
      <c r="BH166" s="236"/>
      <c r="BI166" s="236"/>
      <c r="BJ166" s="236"/>
      <c r="BK166" s="236"/>
      <c r="BL166" s="236"/>
      <c r="BM166" s="236"/>
      <c r="BN166" s="236"/>
      <c r="BO166" s="236"/>
      <c r="BP166" s="238"/>
      <c r="BQ166" s="238"/>
      <c r="BR166" s="238"/>
      <c r="BS166" s="238"/>
      <c r="BT166" s="238"/>
      <c r="BU166" s="238"/>
      <c r="BV166" s="238"/>
      <c r="BW166" s="238"/>
      <c r="BX166" s="238"/>
      <c r="BY166" s="238"/>
      <c r="BZ166" s="238"/>
      <c r="CA166" s="238"/>
      <c r="CB166" s="238"/>
      <c r="CC166" s="238"/>
      <c r="CI166" s="46"/>
    </row>
    <row r="167" customFormat="false" ht="13.5" hidden="false" customHeight="false" outlineLevel="0" collapsed="false">
      <c r="C167" s="235" t="n">
        <v>35</v>
      </c>
      <c r="D167" s="236" t="str">
        <f aca="false">IF(C167&lt;=$I$16, EDATE($D$6, C167-1), "")</f>
        <v/>
      </c>
      <c r="E167" s="236"/>
      <c r="F167" s="236"/>
      <c r="G167" s="236"/>
      <c r="H167" s="236"/>
      <c r="I167" s="236"/>
      <c r="J167" s="236"/>
      <c r="K167" s="236"/>
      <c r="L167" s="236"/>
      <c r="M167" s="236"/>
      <c r="N167" s="237" t="str">
        <f aca="false">IF(C167&lt;=$I$16, $I$17, "")</f>
        <v/>
      </c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AD167" s="235" t="n">
        <v>35</v>
      </c>
      <c r="AE167" s="236" t="str">
        <f aca="false">D167</f>
        <v/>
      </c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7" t="e">
        <f aca="false">AO166</f>
        <v>#DIV/0!</v>
      </c>
      <c r="AP167" s="237"/>
      <c r="AQ167" s="237"/>
      <c r="AR167" s="237"/>
      <c r="AS167" s="237"/>
      <c r="AT167" s="237"/>
      <c r="AU167" s="237"/>
      <c r="AV167" s="237"/>
      <c r="AW167" s="237"/>
      <c r="AX167" s="237"/>
      <c r="AY167" s="237"/>
      <c r="AZ167" s="237"/>
      <c r="BE167" s="235" t="n">
        <v>35</v>
      </c>
      <c r="BF167" s="236" t="str">
        <f aca="false">AE167</f>
        <v/>
      </c>
      <c r="BG167" s="236"/>
      <c r="BH167" s="236"/>
      <c r="BI167" s="236"/>
      <c r="BJ167" s="236"/>
      <c r="BK167" s="236"/>
      <c r="BL167" s="236"/>
      <c r="BM167" s="236"/>
      <c r="BN167" s="236"/>
      <c r="BO167" s="236"/>
      <c r="BP167" s="238"/>
      <c r="BQ167" s="238"/>
      <c r="BR167" s="238"/>
      <c r="BS167" s="238"/>
      <c r="BT167" s="238"/>
      <c r="BU167" s="238"/>
      <c r="BV167" s="238"/>
      <c r="BW167" s="238"/>
      <c r="BX167" s="238"/>
      <c r="BY167" s="238"/>
      <c r="BZ167" s="238"/>
      <c r="CA167" s="238"/>
      <c r="CB167" s="238"/>
      <c r="CC167" s="238"/>
    </row>
    <row r="168" customFormat="false" ht="13.5" hidden="false" customHeight="false" outlineLevel="0" collapsed="false">
      <c r="C168" s="235" t="n">
        <v>36</v>
      </c>
      <c r="D168" s="236" t="str">
        <f aca="false">IF(C168&lt;=$I$16, EDATE($D$6, C168-1), "")</f>
        <v/>
      </c>
      <c r="E168" s="236"/>
      <c r="F168" s="236"/>
      <c r="G168" s="236"/>
      <c r="H168" s="236"/>
      <c r="I168" s="236"/>
      <c r="J168" s="236"/>
      <c r="K168" s="236"/>
      <c r="L168" s="236"/>
      <c r="M168" s="236"/>
      <c r="N168" s="237" t="str">
        <f aca="false">IF(C168&lt;=$I$16, $I$17, "")</f>
        <v/>
      </c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AD168" s="235" t="n">
        <v>36</v>
      </c>
      <c r="AE168" s="236" t="str">
        <f aca="false">D168</f>
        <v/>
      </c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7" t="e">
        <f aca="false">AO167</f>
        <v>#DIV/0!</v>
      </c>
      <c r="AP168" s="237"/>
      <c r="AQ168" s="237"/>
      <c r="AR168" s="237"/>
      <c r="AS168" s="237"/>
      <c r="AT168" s="237"/>
      <c r="AU168" s="237"/>
      <c r="AV168" s="237"/>
      <c r="AW168" s="237"/>
      <c r="AX168" s="237"/>
      <c r="AY168" s="237"/>
      <c r="AZ168" s="237"/>
      <c r="BE168" s="235" t="n">
        <v>36</v>
      </c>
      <c r="BF168" s="236" t="str">
        <f aca="false">AE168</f>
        <v/>
      </c>
      <c r="BG168" s="236"/>
      <c r="BH168" s="236"/>
      <c r="BI168" s="236"/>
      <c r="BJ168" s="236"/>
      <c r="BK168" s="236"/>
      <c r="BL168" s="236"/>
      <c r="BM168" s="236"/>
      <c r="BN168" s="236"/>
      <c r="BO168" s="236"/>
      <c r="BP168" s="238"/>
      <c r="BQ168" s="238"/>
      <c r="BR168" s="238"/>
      <c r="BS168" s="238"/>
      <c r="BT168" s="238"/>
      <c r="BU168" s="238"/>
      <c r="BV168" s="238"/>
      <c r="BW168" s="238"/>
      <c r="BX168" s="238"/>
      <c r="BY168" s="238"/>
      <c r="BZ168" s="238"/>
      <c r="CA168" s="238"/>
      <c r="CB168" s="238"/>
      <c r="CC168" s="238"/>
    </row>
    <row r="169" customFormat="false" ht="13.5" hidden="false" customHeight="false" outlineLevel="0" collapsed="false">
      <c r="C169" s="235" t="n">
        <v>37</v>
      </c>
      <c r="D169" s="236" t="str">
        <f aca="false">IF(C169&lt;=$I$16, EDATE($D$6, C169-1), "")</f>
        <v/>
      </c>
      <c r="E169" s="236"/>
      <c r="F169" s="236"/>
      <c r="G169" s="236"/>
      <c r="H169" s="236"/>
      <c r="I169" s="236"/>
      <c r="J169" s="236"/>
      <c r="K169" s="236"/>
      <c r="L169" s="236"/>
      <c r="M169" s="236"/>
      <c r="N169" s="237" t="str">
        <f aca="false">IF(C169&lt;=$I$16, $I$17, "")</f>
        <v/>
      </c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AD169" s="235" t="n">
        <v>37</v>
      </c>
      <c r="AE169" s="236" t="str">
        <f aca="false">D169</f>
        <v/>
      </c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7" t="e">
        <f aca="false">AO168</f>
        <v>#DIV/0!</v>
      </c>
      <c r="AP169" s="237"/>
      <c r="AQ169" s="237"/>
      <c r="AR169" s="237"/>
      <c r="AS169" s="237"/>
      <c r="AT169" s="237"/>
      <c r="AU169" s="237"/>
      <c r="AV169" s="237"/>
      <c r="AW169" s="237"/>
      <c r="AX169" s="237"/>
      <c r="AY169" s="237"/>
      <c r="AZ169" s="237"/>
      <c r="BE169" s="235" t="n">
        <v>37</v>
      </c>
      <c r="BF169" s="236" t="str">
        <f aca="false">AE169</f>
        <v/>
      </c>
      <c r="BG169" s="236"/>
      <c r="BH169" s="236"/>
      <c r="BI169" s="236"/>
      <c r="BJ169" s="236"/>
      <c r="BK169" s="236"/>
      <c r="BL169" s="236"/>
      <c r="BM169" s="236"/>
      <c r="BN169" s="236"/>
      <c r="BO169" s="236"/>
      <c r="BP169" s="238"/>
      <c r="BQ169" s="238"/>
      <c r="BR169" s="238"/>
      <c r="BS169" s="238"/>
      <c r="BT169" s="238"/>
      <c r="BU169" s="238"/>
      <c r="BV169" s="238"/>
      <c r="BW169" s="238"/>
      <c r="BX169" s="238"/>
      <c r="BY169" s="238"/>
      <c r="BZ169" s="238"/>
      <c r="CA169" s="238"/>
      <c r="CB169" s="238"/>
      <c r="CC169" s="238"/>
    </row>
    <row r="170" customFormat="false" ht="13.5" hidden="false" customHeight="false" outlineLevel="0" collapsed="false">
      <c r="C170" s="235" t="n">
        <v>38</v>
      </c>
      <c r="D170" s="236" t="str">
        <f aca="false">IF(C170&lt;=$I$16, EDATE($D$6, C170-1), "")</f>
        <v/>
      </c>
      <c r="E170" s="236"/>
      <c r="F170" s="236"/>
      <c r="G170" s="236"/>
      <c r="H170" s="236"/>
      <c r="I170" s="236"/>
      <c r="J170" s="236"/>
      <c r="K170" s="236"/>
      <c r="L170" s="236"/>
      <c r="M170" s="236"/>
      <c r="N170" s="237" t="str">
        <f aca="false">IF(C170&lt;=$I$16, $I$17, "")</f>
        <v/>
      </c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AD170" s="235" t="n">
        <v>38</v>
      </c>
      <c r="AE170" s="236" t="str">
        <f aca="false">D170</f>
        <v/>
      </c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7" t="e">
        <f aca="false">AO169</f>
        <v>#DIV/0!</v>
      </c>
      <c r="AP170" s="237"/>
      <c r="AQ170" s="237"/>
      <c r="AR170" s="237"/>
      <c r="AS170" s="237"/>
      <c r="AT170" s="237"/>
      <c r="AU170" s="237"/>
      <c r="AV170" s="237"/>
      <c r="AW170" s="237"/>
      <c r="AX170" s="237"/>
      <c r="AY170" s="237"/>
      <c r="AZ170" s="237"/>
      <c r="BE170" s="235" t="n">
        <v>38</v>
      </c>
      <c r="BF170" s="236" t="str">
        <f aca="false">AE170</f>
        <v/>
      </c>
      <c r="BG170" s="236"/>
      <c r="BH170" s="236"/>
      <c r="BI170" s="236"/>
      <c r="BJ170" s="236"/>
      <c r="BK170" s="236"/>
      <c r="BL170" s="236"/>
      <c r="BM170" s="236"/>
      <c r="BN170" s="236"/>
      <c r="BO170" s="236"/>
      <c r="BP170" s="238"/>
      <c r="BQ170" s="238"/>
      <c r="BR170" s="238"/>
      <c r="BS170" s="238"/>
      <c r="BT170" s="238"/>
      <c r="BU170" s="238"/>
      <c r="BV170" s="238"/>
      <c r="BW170" s="238"/>
      <c r="BX170" s="238"/>
      <c r="BY170" s="238"/>
      <c r="BZ170" s="238"/>
      <c r="CA170" s="238"/>
      <c r="CB170" s="238"/>
      <c r="CC170" s="238"/>
    </row>
    <row r="171" customFormat="false" ht="13.5" hidden="false" customHeight="false" outlineLevel="0" collapsed="false">
      <c r="C171" s="235" t="n">
        <v>39</v>
      </c>
      <c r="D171" s="236" t="str">
        <f aca="false">IF(C171&lt;=$I$16, EDATE($D$6, C171-1), "")</f>
        <v/>
      </c>
      <c r="E171" s="236"/>
      <c r="F171" s="236"/>
      <c r="G171" s="236"/>
      <c r="H171" s="236"/>
      <c r="I171" s="236"/>
      <c r="J171" s="236"/>
      <c r="K171" s="236"/>
      <c r="L171" s="236"/>
      <c r="M171" s="236"/>
      <c r="N171" s="237" t="str">
        <f aca="false">IF(C171&lt;=$I$16, $I$17, "")</f>
        <v/>
      </c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AD171" s="235" t="n">
        <v>39</v>
      </c>
      <c r="AE171" s="236" t="str">
        <f aca="false">D171</f>
        <v/>
      </c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7" t="e">
        <f aca="false">AO170</f>
        <v>#DIV/0!</v>
      </c>
      <c r="AP171" s="237"/>
      <c r="AQ171" s="237"/>
      <c r="AR171" s="237"/>
      <c r="AS171" s="237"/>
      <c r="AT171" s="237"/>
      <c r="AU171" s="237"/>
      <c r="AV171" s="237"/>
      <c r="AW171" s="237"/>
      <c r="AX171" s="237"/>
      <c r="AY171" s="237"/>
      <c r="AZ171" s="237"/>
      <c r="BE171" s="235" t="n">
        <v>39</v>
      </c>
      <c r="BF171" s="236" t="str">
        <f aca="false">AE171</f>
        <v/>
      </c>
      <c r="BG171" s="236"/>
      <c r="BH171" s="236"/>
      <c r="BI171" s="236"/>
      <c r="BJ171" s="236"/>
      <c r="BK171" s="236"/>
      <c r="BL171" s="236"/>
      <c r="BM171" s="236"/>
      <c r="BN171" s="236"/>
      <c r="BO171" s="236"/>
      <c r="BP171" s="238"/>
      <c r="BQ171" s="238"/>
      <c r="BR171" s="238"/>
      <c r="BS171" s="238"/>
      <c r="BT171" s="238"/>
      <c r="BU171" s="238"/>
      <c r="BV171" s="238"/>
      <c r="BW171" s="238"/>
      <c r="BX171" s="238"/>
      <c r="BY171" s="238"/>
      <c r="BZ171" s="238"/>
      <c r="CA171" s="238"/>
      <c r="CB171" s="238"/>
      <c r="CC171" s="238"/>
    </row>
    <row r="172" customFormat="false" ht="13.5" hidden="false" customHeight="false" outlineLevel="0" collapsed="false">
      <c r="C172" s="235" t="n">
        <v>40</v>
      </c>
      <c r="D172" s="236" t="str">
        <f aca="false">IF(C172&lt;=$I$16, EDATE($D$6, C172-1), "")</f>
        <v/>
      </c>
      <c r="E172" s="236"/>
      <c r="F172" s="236"/>
      <c r="G172" s="236"/>
      <c r="H172" s="236"/>
      <c r="I172" s="236"/>
      <c r="J172" s="236"/>
      <c r="K172" s="236"/>
      <c r="L172" s="236"/>
      <c r="M172" s="236"/>
      <c r="N172" s="237" t="str">
        <f aca="false">IF(C172&lt;=$I$16, $I$17, "")</f>
        <v/>
      </c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AD172" s="235" t="n">
        <v>40</v>
      </c>
      <c r="AE172" s="236" t="str">
        <f aca="false">D172</f>
        <v/>
      </c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7" t="e">
        <f aca="false">AO171</f>
        <v>#DIV/0!</v>
      </c>
      <c r="AP172" s="237"/>
      <c r="AQ172" s="237"/>
      <c r="AR172" s="237"/>
      <c r="AS172" s="237"/>
      <c r="AT172" s="237"/>
      <c r="AU172" s="237"/>
      <c r="AV172" s="237"/>
      <c r="AW172" s="237"/>
      <c r="AX172" s="237"/>
      <c r="AY172" s="237"/>
      <c r="AZ172" s="237"/>
      <c r="BE172" s="235" t="n">
        <v>40</v>
      </c>
      <c r="BF172" s="236" t="str">
        <f aca="false">AE172</f>
        <v/>
      </c>
      <c r="BG172" s="236"/>
      <c r="BH172" s="236"/>
      <c r="BI172" s="236"/>
      <c r="BJ172" s="236"/>
      <c r="BK172" s="236"/>
      <c r="BL172" s="236"/>
      <c r="BM172" s="236"/>
      <c r="BN172" s="236"/>
      <c r="BO172" s="236"/>
      <c r="BP172" s="238"/>
      <c r="BQ172" s="238"/>
      <c r="BR172" s="238"/>
      <c r="BS172" s="238"/>
      <c r="BT172" s="238"/>
      <c r="BU172" s="238"/>
      <c r="BV172" s="238"/>
      <c r="BW172" s="238"/>
      <c r="BX172" s="238"/>
      <c r="BY172" s="238"/>
      <c r="BZ172" s="238"/>
      <c r="CA172" s="238"/>
      <c r="CB172" s="238"/>
      <c r="CC172" s="238"/>
    </row>
    <row r="173" customFormat="false" ht="13.5" hidden="false" customHeight="false" outlineLevel="0" collapsed="false">
      <c r="C173" s="235" t="n">
        <v>41</v>
      </c>
      <c r="D173" s="236" t="str">
        <f aca="false">IF(C173&lt;=$I$16, EDATE($D$6, C173-1), "")</f>
        <v/>
      </c>
      <c r="E173" s="236"/>
      <c r="F173" s="236"/>
      <c r="G173" s="236"/>
      <c r="H173" s="236"/>
      <c r="I173" s="236"/>
      <c r="J173" s="236"/>
      <c r="K173" s="236"/>
      <c r="L173" s="236"/>
      <c r="M173" s="236"/>
      <c r="N173" s="237" t="str">
        <f aca="false">IF(C173&lt;=$I$16, $I$17, "")</f>
        <v/>
      </c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AD173" s="235" t="n">
        <v>41</v>
      </c>
      <c r="AE173" s="236" t="str">
        <f aca="false">D173</f>
        <v/>
      </c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7" t="e">
        <f aca="false">AO172</f>
        <v>#DIV/0!</v>
      </c>
      <c r="AP173" s="237"/>
      <c r="AQ173" s="237"/>
      <c r="AR173" s="237"/>
      <c r="AS173" s="237"/>
      <c r="AT173" s="237"/>
      <c r="AU173" s="237"/>
      <c r="AV173" s="237"/>
      <c r="AW173" s="237"/>
      <c r="AX173" s="237"/>
      <c r="AY173" s="237"/>
      <c r="AZ173" s="237"/>
      <c r="BE173" s="235" t="n">
        <v>41</v>
      </c>
      <c r="BF173" s="236" t="str">
        <f aca="false">AE173</f>
        <v/>
      </c>
      <c r="BG173" s="236"/>
      <c r="BH173" s="236"/>
      <c r="BI173" s="236"/>
      <c r="BJ173" s="236"/>
      <c r="BK173" s="236"/>
      <c r="BL173" s="236"/>
      <c r="BM173" s="236"/>
      <c r="BN173" s="236"/>
      <c r="BO173" s="236"/>
      <c r="BP173" s="238"/>
      <c r="BQ173" s="238"/>
      <c r="BR173" s="238"/>
      <c r="BS173" s="238"/>
      <c r="BT173" s="238"/>
      <c r="BU173" s="238"/>
      <c r="BV173" s="238"/>
      <c r="BW173" s="238"/>
      <c r="BX173" s="238"/>
      <c r="BY173" s="238"/>
      <c r="BZ173" s="238"/>
      <c r="CA173" s="238"/>
      <c r="CB173" s="238"/>
      <c r="CC173" s="238"/>
    </row>
    <row r="174" customFormat="false" ht="13.5" hidden="false" customHeight="false" outlineLevel="0" collapsed="false">
      <c r="C174" s="235" t="n">
        <v>42</v>
      </c>
      <c r="D174" s="236" t="str">
        <f aca="false">IF(C174&lt;=$I$16, EDATE($D$6, C174-1), "")</f>
        <v/>
      </c>
      <c r="E174" s="236"/>
      <c r="F174" s="236"/>
      <c r="G174" s="236"/>
      <c r="H174" s="236"/>
      <c r="I174" s="236"/>
      <c r="J174" s="236"/>
      <c r="K174" s="236"/>
      <c r="L174" s="236"/>
      <c r="M174" s="236"/>
      <c r="N174" s="237" t="str">
        <f aca="false">IF(C174&lt;=$I$16, $I$17, "")</f>
        <v/>
      </c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AD174" s="235" t="n">
        <v>42</v>
      </c>
      <c r="AE174" s="236" t="str">
        <f aca="false">D174</f>
        <v/>
      </c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7" t="e">
        <f aca="false">AO173</f>
        <v>#DIV/0!</v>
      </c>
      <c r="AP174" s="237"/>
      <c r="AQ174" s="237"/>
      <c r="AR174" s="237"/>
      <c r="AS174" s="237"/>
      <c r="AT174" s="237"/>
      <c r="AU174" s="237"/>
      <c r="AV174" s="237"/>
      <c r="AW174" s="237"/>
      <c r="AX174" s="237"/>
      <c r="AY174" s="237"/>
      <c r="AZ174" s="237"/>
      <c r="BE174" s="235" t="n">
        <v>42</v>
      </c>
      <c r="BF174" s="236" t="str">
        <f aca="false">AE174</f>
        <v/>
      </c>
      <c r="BG174" s="236"/>
      <c r="BH174" s="236"/>
      <c r="BI174" s="236"/>
      <c r="BJ174" s="236"/>
      <c r="BK174" s="236"/>
      <c r="BL174" s="236"/>
      <c r="BM174" s="236"/>
      <c r="BN174" s="236"/>
      <c r="BO174" s="236"/>
      <c r="BP174" s="238"/>
      <c r="BQ174" s="238"/>
      <c r="BR174" s="238"/>
      <c r="BS174" s="238"/>
      <c r="BT174" s="238"/>
      <c r="BU174" s="238"/>
      <c r="BV174" s="238"/>
      <c r="BW174" s="238"/>
      <c r="BX174" s="238"/>
      <c r="BY174" s="238"/>
      <c r="BZ174" s="238"/>
      <c r="CA174" s="238"/>
      <c r="CB174" s="238"/>
      <c r="CC174" s="238"/>
    </row>
    <row r="175" customFormat="false" ht="13.5" hidden="false" customHeight="false" outlineLevel="0" collapsed="false">
      <c r="C175" s="235" t="n">
        <v>43</v>
      </c>
      <c r="D175" s="236" t="str">
        <f aca="false">IF(C175&lt;=$I$16, EDATE($D$6, C175-1), "")</f>
        <v/>
      </c>
      <c r="E175" s="236"/>
      <c r="F175" s="236"/>
      <c r="G175" s="236"/>
      <c r="H175" s="236"/>
      <c r="I175" s="236"/>
      <c r="J175" s="236"/>
      <c r="K175" s="236"/>
      <c r="L175" s="236"/>
      <c r="M175" s="236"/>
      <c r="N175" s="237" t="str">
        <f aca="false">IF(C175&lt;=$I$16, $I$17, "")</f>
        <v/>
      </c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AD175" s="235" t="n">
        <v>43</v>
      </c>
      <c r="AE175" s="236" t="str">
        <f aca="false">D175</f>
        <v/>
      </c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7" t="e">
        <f aca="false">AO174</f>
        <v>#DIV/0!</v>
      </c>
      <c r="AP175" s="237"/>
      <c r="AQ175" s="237"/>
      <c r="AR175" s="237"/>
      <c r="AS175" s="237"/>
      <c r="AT175" s="237"/>
      <c r="AU175" s="237"/>
      <c r="AV175" s="237"/>
      <c r="AW175" s="237"/>
      <c r="AX175" s="237"/>
      <c r="AY175" s="237"/>
      <c r="AZ175" s="237"/>
      <c r="BE175" s="235" t="n">
        <v>43</v>
      </c>
      <c r="BF175" s="236" t="str">
        <f aca="false">AE175</f>
        <v/>
      </c>
      <c r="BG175" s="236"/>
      <c r="BH175" s="236"/>
      <c r="BI175" s="236"/>
      <c r="BJ175" s="236"/>
      <c r="BK175" s="236"/>
      <c r="BL175" s="236"/>
      <c r="BM175" s="236"/>
      <c r="BN175" s="236"/>
      <c r="BO175" s="236"/>
      <c r="BP175" s="238"/>
      <c r="BQ175" s="238"/>
      <c r="BR175" s="238"/>
      <c r="BS175" s="238"/>
      <c r="BT175" s="238"/>
      <c r="BU175" s="238"/>
      <c r="BV175" s="238"/>
      <c r="BW175" s="238"/>
      <c r="BX175" s="238"/>
      <c r="BY175" s="238"/>
      <c r="BZ175" s="238"/>
      <c r="CA175" s="238"/>
      <c r="CB175" s="238"/>
      <c r="CC175" s="238"/>
    </row>
    <row r="176" customFormat="false" ht="13.5" hidden="false" customHeight="false" outlineLevel="0" collapsed="false">
      <c r="C176" s="235" t="n">
        <v>44</v>
      </c>
      <c r="D176" s="236" t="str">
        <f aca="false">IF(C176&lt;=$I$16, EDATE($D$6, C176-1), "")</f>
        <v/>
      </c>
      <c r="E176" s="236"/>
      <c r="F176" s="236"/>
      <c r="G176" s="236"/>
      <c r="H176" s="236"/>
      <c r="I176" s="236"/>
      <c r="J176" s="236"/>
      <c r="K176" s="236"/>
      <c r="L176" s="236"/>
      <c r="M176" s="236"/>
      <c r="N176" s="237" t="str">
        <f aca="false">IF(C176&lt;=$I$16, $I$17, "")</f>
        <v/>
      </c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AD176" s="235" t="n">
        <v>44</v>
      </c>
      <c r="AE176" s="236" t="str">
        <f aca="false">D176</f>
        <v/>
      </c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7" t="e">
        <f aca="false">AO175</f>
        <v>#DIV/0!</v>
      </c>
      <c r="AP176" s="237"/>
      <c r="AQ176" s="237"/>
      <c r="AR176" s="237"/>
      <c r="AS176" s="237"/>
      <c r="AT176" s="237"/>
      <c r="AU176" s="237"/>
      <c r="AV176" s="237"/>
      <c r="AW176" s="237"/>
      <c r="AX176" s="237"/>
      <c r="AY176" s="237"/>
      <c r="AZ176" s="237"/>
      <c r="BE176" s="235" t="n">
        <v>44</v>
      </c>
      <c r="BF176" s="236" t="str">
        <f aca="false">AE176</f>
        <v/>
      </c>
      <c r="BG176" s="236"/>
      <c r="BH176" s="236"/>
      <c r="BI176" s="236"/>
      <c r="BJ176" s="236"/>
      <c r="BK176" s="236"/>
      <c r="BL176" s="236"/>
      <c r="BM176" s="236"/>
      <c r="BN176" s="236"/>
      <c r="BO176" s="236"/>
      <c r="BP176" s="238"/>
      <c r="BQ176" s="238"/>
      <c r="BR176" s="238"/>
      <c r="BS176" s="238"/>
      <c r="BT176" s="238"/>
      <c r="BU176" s="238"/>
      <c r="BV176" s="238"/>
      <c r="BW176" s="238"/>
      <c r="BX176" s="238"/>
      <c r="BY176" s="238"/>
      <c r="BZ176" s="238"/>
      <c r="CA176" s="238"/>
      <c r="CB176" s="238"/>
      <c r="CC176" s="238"/>
    </row>
    <row r="177" customFormat="false" ht="13.5" hidden="false" customHeight="false" outlineLevel="0" collapsed="false">
      <c r="C177" s="235" t="n">
        <v>45</v>
      </c>
      <c r="D177" s="236" t="str">
        <f aca="false">IF(C177&lt;=$I$16, EDATE($D$6, C177-1), "")</f>
        <v/>
      </c>
      <c r="E177" s="236"/>
      <c r="F177" s="236"/>
      <c r="G177" s="236"/>
      <c r="H177" s="236"/>
      <c r="I177" s="236"/>
      <c r="J177" s="236"/>
      <c r="K177" s="236"/>
      <c r="L177" s="236"/>
      <c r="M177" s="236"/>
      <c r="N177" s="237" t="str">
        <f aca="false">IF(C177&lt;=$I$16, $I$17, "")</f>
        <v/>
      </c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AD177" s="235" t="n">
        <v>45</v>
      </c>
      <c r="AE177" s="236" t="str">
        <f aca="false">D177</f>
        <v/>
      </c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7" t="e">
        <f aca="false">AO176</f>
        <v>#DIV/0!</v>
      </c>
      <c r="AP177" s="237"/>
      <c r="AQ177" s="237"/>
      <c r="AR177" s="237"/>
      <c r="AS177" s="237"/>
      <c r="AT177" s="237"/>
      <c r="AU177" s="237"/>
      <c r="AV177" s="237"/>
      <c r="AW177" s="237"/>
      <c r="AX177" s="237"/>
      <c r="AY177" s="237"/>
      <c r="AZ177" s="237"/>
      <c r="BE177" s="235" t="n">
        <v>45</v>
      </c>
      <c r="BF177" s="236" t="str">
        <f aca="false">AE177</f>
        <v/>
      </c>
      <c r="BG177" s="236"/>
      <c r="BH177" s="236"/>
      <c r="BI177" s="236"/>
      <c r="BJ177" s="236"/>
      <c r="BK177" s="236"/>
      <c r="BL177" s="236"/>
      <c r="BM177" s="236"/>
      <c r="BN177" s="236"/>
      <c r="BO177" s="236"/>
      <c r="BP177" s="238"/>
      <c r="BQ177" s="238"/>
      <c r="BR177" s="238"/>
      <c r="BS177" s="238"/>
      <c r="BT177" s="238"/>
      <c r="BU177" s="238"/>
      <c r="BV177" s="238"/>
      <c r="BW177" s="238"/>
      <c r="BX177" s="238"/>
      <c r="BY177" s="238"/>
      <c r="BZ177" s="238"/>
      <c r="CA177" s="238"/>
      <c r="CB177" s="238"/>
      <c r="CC177" s="238"/>
    </row>
    <row r="178" customFormat="false" ht="13.5" hidden="false" customHeight="false" outlineLevel="0" collapsed="false">
      <c r="C178" s="235" t="n">
        <v>46</v>
      </c>
      <c r="D178" s="236" t="str">
        <f aca="false">IF(C178&lt;=$I$16, EDATE($D$6, C178-1), "")</f>
        <v/>
      </c>
      <c r="E178" s="236"/>
      <c r="F178" s="236"/>
      <c r="G178" s="236"/>
      <c r="H178" s="236"/>
      <c r="I178" s="236"/>
      <c r="J178" s="236"/>
      <c r="K178" s="236"/>
      <c r="L178" s="236"/>
      <c r="M178" s="236"/>
      <c r="N178" s="237" t="str">
        <f aca="false">IF(C178&lt;=$I$16, $I$17, "")</f>
        <v/>
      </c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AD178" s="235" t="n">
        <v>46</v>
      </c>
      <c r="AE178" s="236" t="str">
        <f aca="false">D178</f>
        <v/>
      </c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7" t="e">
        <f aca="false">AO177</f>
        <v>#DIV/0!</v>
      </c>
      <c r="AP178" s="237"/>
      <c r="AQ178" s="237"/>
      <c r="AR178" s="237"/>
      <c r="AS178" s="237"/>
      <c r="AT178" s="237"/>
      <c r="AU178" s="237"/>
      <c r="AV178" s="237"/>
      <c r="AW178" s="237"/>
      <c r="AX178" s="237"/>
      <c r="AY178" s="237"/>
      <c r="AZ178" s="237"/>
      <c r="BE178" s="235" t="n">
        <v>46</v>
      </c>
      <c r="BF178" s="236" t="str">
        <f aca="false">AE178</f>
        <v/>
      </c>
      <c r="BG178" s="236"/>
      <c r="BH178" s="236"/>
      <c r="BI178" s="236"/>
      <c r="BJ178" s="236"/>
      <c r="BK178" s="236"/>
      <c r="BL178" s="236"/>
      <c r="BM178" s="236"/>
      <c r="BN178" s="236"/>
      <c r="BO178" s="236"/>
      <c r="BP178" s="238"/>
      <c r="BQ178" s="238"/>
      <c r="BR178" s="238"/>
      <c r="BS178" s="238"/>
      <c r="BT178" s="238"/>
      <c r="BU178" s="238"/>
      <c r="BV178" s="238"/>
      <c r="BW178" s="238"/>
      <c r="BX178" s="238"/>
      <c r="BY178" s="238"/>
      <c r="BZ178" s="238"/>
      <c r="CA178" s="238"/>
      <c r="CB178" s="238"/>
      <c r="CC178" s="238"/>
    </row>
    <row r="179" customFormat="false" ht="13.5" hidden="false" customHeight="false" outlineLevel="0" collapsed="false">
      <c r="C179" s="235" t="n">
        <v>47</v>
      </c>
      <c r="D179" s="236" t="str">
        <f aca="false">IF(C179&lt;=$I$16, EDATE($D$6, C179-1), "")</f>
        <v/>
      </c>
      <c r="E179" s="236"/>
      <c r="F179" s="236"/>
      <c r="G179" s="236"/>
      <c r="H179" s="236"/>
      <c r="I179" s="236"/>
      <c r="J179" s="236"/>
      <c r="K179" s="236"/>
      <c r="L179" s="236"/>
      <c r="M179" s="236"/>
      <c r="N179" s="237" t="str">
        <f aca="false">IF(C179&lt;=$I$16, $I$17, "")</f>
        <v/>
      </c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AD179" s="235" t="n">
        <v>47</v>
      </c>
      <c r="AE179" s="236" t="str">
        <f aca="false">D179</f>
        <v/>
      </c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7" t="e">
        <f aca="false">AO178</f>
        <v>#DIV/0!</v>
      </c>
      <c r="AP179" s="237"/>
      <c r="AQ179" s="237"/>
      <c r="AR179" s="237"/>
      <c r="AS179" s="237"/>
      <c r="AT179" s="237"/>
      <c r="AU179" s="237"/>
      <c r="AV179" s="237"/>
      <c r="AW179" s="237"/>
      <c r="AX179" s="237"/>
      <c r="AY179" s="237"/>
      <c r="AZ179" s="237"/>
      <c r="BE179" s="235" t="n">
        <v>47</v>
      </c>
      <c r="BF179" s="236" t="str">
        <f aca="false">AE179</f>
        <v/>
      </c>
      <c r="BG179" s="236"/>
      <c r="BH179" s="236"/>
      <c r="BI179" s="236"/>
      <c r="BJ179" s="236"/>
      <c r="BK179" s="236"/>
      <c r="BL179" s="236"/>
      <c r="BM179" s="236"/>
      <c r="BN179" s="236"/>
      <c r="BO179" s="236"/>
      <c r="BP179" s="238"/>
      <c r="BQ179" s="238"/>
      <c r="BR179" s="238"/>
      <c r="BS179" s="238"/>
      <c r="BT179" s="238"/>
      <c r="BU179" s="238"/>
      <c r="BV179" s="238"/>
      <c r="BW179" s="238"/>
      <c r="BX179" s="238"/>
      <c r="BY179" s="238"/>
      <c r="BZ179" s="238"/>
      <c r="CA179" s="238"/>
      <c r="CB179" s="238"/>
      <c r="CC179" s="238"/>
    </row>
    <row r="180" customFormat="false" ht="13.5" hidden="false" customHeight="false" outlineLevel="0" collapsed="false">
      <c r="C180" s="235" t="n">
        <v>48</v>
      </c>
      <c r="D180" s="236" t="str">
        <f aca="false">IF(C180&lt;=$I$16, EDATE($D$6, C180-1), "")</f>
        <v/>
      </c>
      <c r="E180" s="236"/>
      <c r="F180" s="236"/>
      <c r="G180" s="236"/>
      <c r="H180" s="236"/>
      <c r="I180" s="236"/>
      <c r="J180" s="236"/>
      <c r="K180" s="236"/>
      <c r="L180" s="236"/>
      <c r="M180" s="236"/>
      <c r="N180" s="237" t="str">
        <f aca="false">IF(C180&lt;=$I$16, $I$17, "")</f>
        <v/>
      </c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AD180" s="235" t="n">
        <v>48</v>
      </c>
      <c r="AE180" s="236" t="str">
        <f aca="false">D180</f>
        <v/>
      </c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7" t="e">
        <f aca="false">AO179</f>
        <v>#DIV/0!</v>
      </c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7"/>
      <c r="AZ180" s="237"/>
      <c r="BE180" s="235" t="n">
        <v>48</v>
      </c>
      <c r="BF180" s="236" t="str">
        <f aca="false">AE180</f>
        <v/>
      </c>
      <c r="BG180" s="236"/>
      <c r="BH180" s="236"/>
      <c r="BI180" s="236"/>
      <c r="BJ180" s="236"/>
      <c r="BK180" s="236"/>
      <c r="BL180" s="236"/>
      <c r="BM180" s="236"/>
      <c r="BN180" s="236"/>
      <c r="BO180" s="236"/>
      <c r="BP180" s="238"/>
      <c r="BQ180" s="238"/>
      <c r="BR180" s="238"/>
      <c r="BS180" s="238"/>
      <c r="BT180" s="238"/>
      <c r="BU180" s="238"/>
      <c r="BV180" s="238"/>
      <c r="BW180" s="238"/>
      <c r="BX180" s="238"/>
      <c r="BY180" s="238"/>
      <c r="BZ180" s="238"/>
      <c r="CA180" s="238"/>
      <c r="CB180" s="238"/>
      <c r="CC180" s="238"/>
    </row>
    <row r="181" customFormat="false" ht="13.5" hidden="false" customHeight="false" outlineLevel="0" collapsed="false">
      <c r="C181" s="235" t="n">
        <v>49</v>
      </c>
      <c r="D181" s="236" t="str">
        <f aca="false">IF(C181&lt;=$I$16, EDATE($D$6, C181-1), "")</f>
        <v/>
      </c>
      <c r="E181" s="236"/>
      <c r="F181" s="236"/>
      <c r="G181" s="236"/>
      <c r="H181" s="236"/>
      <c r="I181" s="236"/>
      <c r="J181" s="236"/>
      <c r="K181" s="236"/>
      <c r="L181" s="236"/>
      <c r="M181" s="236"/>
      <c r="N181" s="237" t="str">
        <f aca="false">IF(C181&lt;=$I$16, $I$17, "")</f>
        <v/>
      </c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AD181" s="235" t="n">
        <v>49</v>
      </c>
      <c r="AE181" s="236" t="str">
        <f aca="false">D181</f>
        <v/>
      </c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7" t="e">
        <f aca="false">AO180</f>
        <v>#DIV/0!</v>
      </c>
      <c r="AP181" s="237"/>
      <c r="AQ181" s="237"/>
      <c r="AR181" s="237"/>
      <c r="AS181" s="237"/>
      <c r="AT181" s="237"/>
      <c r="AU181" s="237"/>
      <c r="AV181" s="237"/>
      <c r="AW181" s="237"/>
      <c r="AX181" s="237"/>
      <c r="AY181" s="237"/>
      <c r="AZ181" s="237"/>
      <c r="BE181" s="235" t="n">
        <v>49</v>
      </c>
      <c r="BF181" s="236" t="str">
        <f aca="false">AE181</f>
        <v/>
      </c>
      <c r="BG181" s="236"/>
      <c r="BH181" s="236"/>
      <c r="BI181" s="236"/>
      <c r="BJ181" s="236"/>
      <c r="BK181" s="236"/>
      <c r="BL181" s="236"/>
      <c r="BM181" s="236"/>
      <c r="BN181" s="236"/>
      <c r="BO181" s="236"/>
      <c r="BP181" s="238"/>
      <c r="BQ181" s="238"/>
      <c r="BR181" s="238"/>
      <c r="BS181" s="238"/>
      <c r="BT181" s="238"/>
      <c r="BU181" s="238"/>
      <c r="BV181" s="238"/>
      <c r="BW181" s="238"/>
      <c r="BX181" s="238"/>
      <c r="BY181" s="238"/>
      <c r="BZ181" s="238"/>
      <c r="CA181" s="238"/>
      <c r="CB181" s="238"/>
      <c r="CC181" s="238"/>
    </row>
    <row r="182" customFormat="false" ht="13.5" hidden="false" customHeight="false" outlineLevel="0" collapsed="false">
      <c r="C182" s="235" t="n">
        <v>50</v>
      </c>
      <c r="D182" s="236" t="str">
        <f aca="false">IF(C182&lt;=$I$16, EDATE($D$6, C182-1), "")</f>
        <v/>
      </c>
      <c r="E182" s="236"/>
      <c r="F182" s="236"/>
      <c r="G182" s="236"/>
      <c r="H182" s="236"/>
      <c r="I182" s="236"/>
      <c r="J182" s="236"/>
      <c r="K182" s="236"/>
      <c r="L182" s="236"/>
      <c r="M182" s="236"/>
      <c r="N182" s="237" t="str">
        <f aca="false">IF(C182&lt;=$I$16, $I$17, "")</f>
        <v/>
      </c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AD182" s="235" t="n">
        <v>50</v>
      </c>
      <c r="AE182" s="236" t="str">
        <f aca="false">D182</f>
        <v/>
      </c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7" t="e">
        <f aca="false">AO181</f>
        <v>#DIV/0!</v>
      </c>
      <c r="AP182" s="237"/>
      <c r="AQ182" s="237"/>
      <c r="AR182" s="237"/>
      <c r="AS182" s="237"/>
      <c r="AT182" s="237"/>
      <c r="AU182" s="237"/>
      <c r="AV182" s="237"/>
      <c r="AW182" s="237"/>
      <c r="AX182" s="237"/>
      <c r="AY182" s="237"/>
      <c r="AZ182" s="237"/>
      <c r="BE182" s="235" t="n">
        <v>50</v>
      </c>
      <c r="BF182" s="236" t="str">
        <f aca="false">AE182</f>
        <v/>
      </c>
      <c r="BG182" s="236"/>
      <c r="BH182" s="236"/>
      <c r="BI182" s="236"/>
      <c r="BJ182" s="236"/>
      <c r="BK182" s="236"/>
      <c r="BL182" s="236"/>
      <c r="BM182" s="236"/>
      <c r="BN182" s="236"/>
      <c r="BO182" s="236"/>
      <c r="BP182" s="238"/>
      <c r="BQ182" s="238"/>
      <c r="BR182" s="238"/>
      <c r="BS182" s="238"/>
      <c r="BT182" s="238"/>
      <c r="BU182" s="238"/>
      <c r="BV182" s="238"/>
      <c r="BW182" s="238"/>
      <c r="BX182" s="238"/>
      <c r="BY182" s="238"/>
      <c r="BZ182" s="238"/>
      <c r="CA182" s="238"/>
      <c r="CB182" s="238"/>
      <c r="CC182" s="238"/>
    </row>
    <row r="183" customFormat="false" ht="13.5" hidden="false" customHeight="false" outlineLevel="0" collapsed="false">
      <c r="C183" s="235" t="n">
        <v>51</v>
      </c>
      <c r="D183" s="236" t="str">
        <f aca="false">IF(C183&lt;=$I$16, EDATE($D$6, C183-1), "")</f>
        <v/>
      </c>
      <c r="E183" s="236"/>
      <c r="F183" s="236"/>
      <c r="G183" s="236"/>
      <c r="H183" s="236"/>
      <c r="I183" s="236"/>
      <c r="J183" s="236"/>
      <c r="K183" s="236"/>
      <c r="L183" s="236"/>
      <c r="M183" s="236"/>
      <c r="N183" s="237" t="str">
        <f aca="false">IF(C183&lt;=$I$16, $I$17, "")</f>
        <v/>
      </c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AD183" s="235" t="n">
        <v>51</v>
      </c>
      <c r="AE183" s="236" t="str">
        <f aca="false">D183</f>
        <v/>
      </c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7" t="e">
        <f aca="false">AO182</f>
        <v>#DIV/0!</v>
      </c>
      <c r="AP183" s="237"/>
      <c r="AQ183" s="237"/>
      <c r="AR183" s="237"/>
      <c r="AS183" s="237"/>
      <c r="AT183" s="237"/>
      <c r="AU183" s="237"/>
      <c r="AV183" s="237"/>
      <c r="AW183" s="237"/>
      <c r="AX183" s="237"/>
      <c r="AY183" s="237"/>
      <c r="AZ183" s="237"/>
      <c r="BE183" s="235" t="n">
        <v>51</v>
      </c>
      <c r="BF183" s="236" t="str">
        <f aca="false">AE183</f>
        <v/>
      </c>
      <c r="BG183" s="236"/>
      <c r="BH183" s="236"/>
      <c r="BI183" s="236"/>
      <c r="BJ183" s="236"/>
      <c r="BK183" s="236"/>
      <c r="BL183" s="236"/>
      <c r="BM183" s="236"/>
      <c r="BN183" s="236"/>
      <c r="BO183" s="236"/>
      <c r="BP183" s="238"/>
      <c r="BQ183" s="238"/>
      <c r="BR183" s="238"/>
      <c r="BS183" s="238"/>
      <c r="BT183" s="238"/>
      <c r="BU183" s="238"/>
      <c r="BV183" s="238"/>
      <c r="BW183" s="238"/>
      <c r="BX183" s="238"/>
      <c r="BY183" s="238"/>
      <c r="BZ183" s="238"/>
      <c r="CA183" s="238"/>
      <c r="CB183" s="238"/>
      <c r="CC183" s="238"/>
    </row>
    <row r="184" customFormat="false" ht="13.5" hidden="false" customHeight="false" outlineLevel="0" collapsed="false">
      <c r="C184" s="235" t="n">
        <v>52</v>
      </c>
      <c r="D184" s="236" t="str">
        <f aca="false">IF(C184&lt;=$I$16, EDATE($D$6, C184-1), "")</f>
        <v/>
      </c>
      <c r="E184" s="236"/>
      <c r="F184" s="236"/>
      <c r="G184" s="236"/>
      <c r="H184" s="236"/>
      <c r="I184" s="236"/>
      <c r="J184" s="236"/>
      <c r="K184" s="236"/>
      <c r="L184" s="236"/>
      <c r="M184" s="236"/>
      <c r="N184" s="237" t="str">
        <f aca="false">IF(C184&lt;=$I$16, $I$17, "")</f>
        <v/>
      </c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AD184" s="235" t="n">
        <v>52</v>
      </c>
      <c r="AE184" s="236" t="str">
        <f aca="false">D184</f>
        <v/>
      </c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7" t="e">
        <f aca="false">AO183</f>
        <v>#DIV/0!</v>
      </c>
      <c r="AP184" s="237"/>
      <c r="AQ184" s="237"/>
      <c r="AR184" s="237"/>
      <c r="AS184" s="237"/>
      <c r="AT184" s="237"/>
      <c r="AU184" s="237"/>
      <c r="AV184" s="237"/>
      <c r="AW184" s="237"/>
      <c r="AX184" s="237"/>
      <c r="AY184" s="237"/>
      <c r="AZ184" s="237"/>
      <c r="BE184" s="235" t="n">
        <v>52</v>
      </c>
      <c r="BF184" s="236" t="str">
        <f aca="false">AE184</f>
        <v/>
      </c>
      <c r="BG184" s="236"/>
      <c r="BH184" s="236"/>
      <c r="BI184" s="236"/>
      <c r="BJ184" s="236"/>
      <c r="BK184" s="236"/>
      <c r="BL184" s="236"/>
      <c r="BM184" s="236"/>
      <c r="BN184" s="236"/>
      <c r="BO184" s="236"/>
      <c r="BP184" s="238"/>
      <c r="BQ184" s="238"/>
      <c r="BR184" s="238"/>
      <c r="BS184" s="238"/>
      <c r="BT184" s="238"/>
      <c r="BU184" s="238"/>
      <c r="BV184" s="238"/>
      <c r="BW184" s="238"/>
      <c r="BX184" s="238"/>
      <c r="BY184" s="238"/>
      <c r="BZ184" s="238"/>
      <c r="CA184" s="238"/>
      <c r="CB184" s="238"/>
      <c r="CC184" s="238"/>
    </row>
    <row r="185" customFormat="false" ht="13.5" hidden="false" customHeight="false" outlineLevel="0" collapsed="false">
      <c r="C185" s="235" t="n">
        <v>53</v>
      </c>
      <c r="D185" s="236" t="str">
        <f aca="false">IF(C185&lt;=$I$16, EDATE($D$6, C185-1), "")</f>
        <v/>
      </c>
      <c r="E185" s="236"/>
      <c r="F185" s="236"/>
      <c r="G185" s="236"/>
      <c r="H185" s="236"/>
      <c r="I185" s="236"/>
      <c r="J185" s="236"/>
      <c r="K185" s="236"/>
      <c r="L185" s="236"/>
      <c r="M185" s="236"/>
      <c r="N185" s="237" t="str">
        <f aca="false">IF(C185&lt;=$I$16, $I$17, "")</f>
        <v/>
      </c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AD185" s="235" t="n">
        <v>53</v>
      </c>
      <c r="AE185" s="236" t="str">
        <f aca="false">D185</f>
        <v/>
      </c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7" t="e">
        <f aca="false">AO184</f>
        <v>#DIV/0!</v>
      </c>
      <c r="AP185" s="237"/>
      <c r="AQ185" s="237"/>
      <c r="AR185" s="237"/>
      <c r="AS185" s="237"/>
      <c r="AT185" s="237"/>
      <c r="AU185" s="237"/>
      <c r="AV185" s="237"/>
      <c r="AW185" s="237"/>
      <c r="AX185" s="237"/>
      <c r="AY185" s="237"/>
      <c r="AZ185" s="237"/>
      <c r="BE185" s="235" t="n">
        <v>53</v>
      </c>
      <c r="BF185" s="236" t="str">
        <f aca="false">AE185</f>
        <v/>
      </c>
      <c r="BG185" s="236"/>
      <c r="BH185" s="236"/>
      <c r="BI185" s="236"/>
      <c r="BJ185" s="236"/>
      <c r="BK185" s="236"/>
      <c r="BL185" s="236"/>
      <c r="BM185" s="236"/>
      <c r="BN185" s="236"/>
      <c r="BO185" s="236"/>
      <c r="BP185" s="238"/>
      <c r="BQ185" s="238"/>
      <c r="BR185" s="238"/>
      <c r="BS185" s="238"/>
      <c r="BT185" s="238"/>
      <c r="BU185" s="238"/>
      <c r="BV185" s="238"/>
      <c r="BW185" s="238"/>
      <c r="BX185" s="238"/>
      <c r="BY185" s="238"/>
      <c r="BZ185" s="238"/>
      <c r="CA185" s="238"/>
      <c r="CB185" s="238"/>
      <c r="CC185" s="238"/>
    </row>
    <row r="186" customFormat="false" ht="13.5" hidden="false" customHeight="false" outlineLevel="0" collapsed="false">
      <c r="C186" s="235" t="n">
        <v>54</v>
      </c>
      <c r="D186" s="236" t="str">
        <f aca="false">IF(C186&lt;=$I$16, EDATE($D$6, C186-1), "")</f>
        <v/>
      </c>
      <c r="E186" s="236"/>
      <c r="F186" s="236"/>
      <c r="G186" s="236"/>
      <c r="H186" s="236"/>
      <c r="I186" s="236"/>
      <c r="J186" s="236"/>
      <c r="K186" s="236"/>
      <c r="L186" s="236"/>
      <c r="M186" s="236"/>
      <c r="N186" s="237" t="str">
        <f aca="false">IF(C186&lt;=$I$16, $I$17, "")</f>
        <v/>
      </c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AD186" s="235" t="n">
        <v>54</v>
      </c>
      <c r="AE186" s="236" t="str">
        <f aca="false">D186</f>
        <v/>
      </c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7" t="e">
        <f aca="false">AO185</f>
        <v>#DIV/0!</v>
      </c>
      <c r="AP186" s="237"/>
      <c r="AQ186" s="237"/>
      <c r="AR186" s="237"/>
      <c r="AS186" s="237"/>
      <c r="AT186" s="237"/>
      <c r="AU186" s="237"/>
      <c r="AV186" s="237"/>
      <c r="AW186" s="237"/>
      <c r="AX186" s="237"/>
      <c r="AY186" s="237"/>
      <c r="AZ186" s="237"/>
      <c r="BE186" s="235" t="n">
        <v>54</v>
      </c>
      <c r="BF186" s="236" t="str">
        <f aca="false">AE186</f>
        <v/>
      </c>
      <c r="BG186" s="236"/>
      <c r="BH186" s="236"/>
      <c r="BI186" s="236"/>
      <c r="BJ186" s="236"/>
      <c r="BK186" s="236"/>
      <c r="BL186" s="236"/>
      <c r="BM186" s="236"/>
      <c r="BN186" s="236"/>
      <c r="BO186" s="236"/>
      <c r="BP186" s="238"/>
      <c r="BQ186" s="238"/>
      <c r="BR186" s="238"/>
      <c r="BS186" s="238"/>
      <c r="BT186" s="238"/>
      <c r="BU186" s="238"/>
      <c r="BV186" s="238"/>
      <c r="BW186" s="238"/>
      <c r="BX186" s="238"/>
      <c r="BY186" s="238"/>
      <c r="BZ186" s="238"/>
      <c r="CA186" s="238"/>
      <c r="CB186" s="238"/>
      <c r="CC186" s="238"/>
    </row>
    <row r="187" customFormat="false" ht="13.5" hidden="false" customHeight="false" outlineLevel="0" collapsed="false">
      <c r="C187" s="235" t="n">
        <v>55</v>
      </c>
      <c r="D187" s="236" t="str">
        <f aca="false">IF(C187&lt;=$I$16, EDATE($D$6, C187-1), "")</f>
        <v/>
      </c>
      <c r="E187" s="236"/>
      <c r="F187" s="236"/>
      <c r="G187" s="236"/>
      <c r="H187" s="236"/>
      <c r="I187" s="236"/>
      <c r="J187" s="236"/>
      <c r="K187" s="236"/>
      <c r="L187" s="236"/>
      <c r="M187" s="236"/>
      <c r="N187" s="237" t="str">
        <f aca="false">IF(C187&lt;=$I$16, $I$17, "")</f>
        <v/>
      </c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AD187" s="235" t="n">
        <v>55</v>
      </c>
      <c r="AE187" s="236" t="str">
        <f aca="false">D187</f>
        <v/>
      </c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7" t="e">
        <f aca="false">AO186</f>
        <v>#DIV/0!</v>
      </c>
      <c r="AP187" s="237"/>
      <c r="AQ187" s="237"/>
      <c r="AR187" s="237"/>
      <c r="AS187" s="237"/>
      <c r="AT187" s="237"/>
      <c r="AU187" s="237"/>
      <c r="AV187" s="237"/>
      <c r="AW187" s="237"/>
      <c r="AX187" s="237"/>
      <c r="AY187" s="237"/>
      <c r="AZ187" s="237"/>
      <c r="BE187" s="235" t="n">
        <v>55</v>
      </c>
      <c r="BF187" s="236" t="str">
        <f aca="false">AE187</f>
        <v/>
      </c>
      <c r="BG187" s="236"/>
      <c r="BH187" s="236"/>
      <c r="BI187" s="236"/>
      <c r="BJ187" s="236"/>
      <c r="BK187" s="236"/>
      <c r="BL187" s="236"/>
      <c r="BM187" s="236"/>
      <c r="BN187" s="236"/>
      <c r="BO187" s="236"/>
      <c r="BP187" s="238"/>
      <c r="BQ187" s="238"/>
      <c r="BR187" s="238"/>
      <c r="BS187" s="238"/>
      <c r="BT187" s="238"/>
      <c r="BU187" s="238"/>
      <c r="BV187" s="238"/>
      <c r="BW187" s="238"/>
      <c r="BX187" s="238"/>
      <c r="BY187" s="238"/>
      <c r="BZ187" s="238"/>
      <c r="CA187" s="238"/>
      <c r="CB187" s="238"/>
      <c r="CC187" s="238"/>
    </row>
    <row r="188" customFormat="false" ht="13.5" hidden="false" customHeight="false" outlineLevel="0" collapsed="false">
      <c r="C188" s="235" t="n">
        <v>56</v>
      </c>
      <c r="D188" s="236" t="str">
        <f aca="false">IF(C188&lt;=$I$16, EDATE($D$6, C188-1), "")</f>
        <v/>
      </c>
      <c r="E188" s="236"/>
      <c r="F188" s="236"/>
      <c r="G188" s="236"/>
      <c r="H188" s="236"/>
      <c r="I188" s="236"/>
      <c r="J188" s="236"/>
      <c r="K188" s="236"/>
      <c r="L188" s="236"/>
      <c r="M188" s="236"/>
      <c r="N188" s="237" t="str">
        <f aca="false">IF(C188&lt;=$I$16, $I$17, "")</f>
        <v/>
      </c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AD188" s="235" t="n">
        <v>56</v>
      </c>
      <c r="AE188" s="236" t="str">
        <f aca="false">D188</f>
        <v/>
      </c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7" t="e">
        <f aca="false">AO187</f>
        <v>#DIV/0!</v>
      </c>
      <c r="AP188" s="237"/>
      <c r="AQ188" s="237"/>
      <c r="AR188" s="237"/>
      <c r="AS188" s="237"/>
      <c r="AT188" s="237"/>
      <c r="AU188" s="237"/>
      <c r="AV188" s="237"/>
      <c r="AW188" s="237"/>
      <c r="AX188" s="237"/>
      <c r="AY188" s="237"/>
      <c r="AZ188" s="237"/>
      <c r="BE188" s="235" t="n">
        <v>56</v>
      </c>
      <c r="BF188" s="236" t="str">
        <f aca="false">AE188</f>
        <v/>
      </c>
      <c r="BG188" s="236"/>
      <c r="BH188" s="236"/>
      <c r="BI188" s="236"/>
      <c r="BJ188" s="236"/>
      <c r="BK188" s="236"/>
      <c r="BL188" s="236"/>
      <c r="BM188" s="236"/>
      <c r="BN188" s="236"/>
      <c r="BO188" s="236"/>
      <c r="BP188" s="238"/>
      <c r="BQ188" s="238"/>
      <c r="BR188" s="238"/>
      <c r="BS188" s="238"/>
      <c r="BT188" s="238"/>
      <c r="BU188" s="238"/>
      <c r="BV188" s="238"/>
      <c r="BW188" s="238"/>
      <c r="BX188" s="238"/>
      <c r="BY188" s="238"/>
      <c r="BZ188" s="238"/>
      <c r="CA188" s="238"/>
      <c r="CB188" s="238"/>
      <c r="CC188" s="238"/>
    </row>
    <row r="189" customFormat="false" ht="13.5" hidden="false" customHeight="false" outlineLevel="0" collapsed="false">
      <c r="C189" s="235" t="n">
        <v>57</v>
      </c>
      <c r="D189" s="236" t="str">
        <f aca="false">IF(C189&lt;=$I$16, EDATE($D$6, C189-1), "")</f>
        <v/>
      </c>
      <c r="E189" s="236"/>
      <c r="F189" s="236"/>
      <c r="G189" s="236"/>
      <c r="H189" s="236"/>
      <c r="I189" s="236"/>
      <c r="J189" s="236"/>
      <c r="K189" s="236"/>
      <c r="L189" s="236"/>
      <c r="M189" s="236"/>
      <c r="N189" s="237" t="str">
        <f aca="false">IF(C189&lt;=$I$16, $I$17, "")</f>
        <v/>
      </c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AD189" s="235" t="n">
        <v>57</v>
      </c>
      <c r="AE189" s="236" t="str">
        <f aca="false">D189</f>
        <v/>
      </c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7" t="e">
        <f aca="false">AO188</f>
        <v>#DIV/0!</v>
      </c>
      <c r="AP189" s="237"/>
      <c r="AQ189" s="237"/>
      <c r="AR189" s="237"/>
      <c r="AS189" s="237"/>
      <c r="AT189" s="237"/>
      <c r="AU189" s="237"/>
      <c r="AV189" s="237"/>
      <c r="AW189" s="237"/>
      <c r="AX189" s="237"/>
      <c r="AY189" s="237"/>
      <c r="AZ189" s="237"/>
      <c r="BE189" s="235" t="n">
        <v>57</v>
      </c>
      <c r="BF189" s="236" t="str">
        <f aca="false">AE189</f>
        <v/>
      </c>
      <c r="BG189" s="236"/>
      <c r="BH189" s="236"/>
      <c r="BI189" s="236"/>
      <c r="BJ189" s="236"/>
      <c r="BK189" s="236"/>
      <c r="BL189" s="236"/>
      <c r="BM189" s="236"/>
      <c r="BN189" s="236"/>
      <c r="BO189" s="236"/>
      <c r="BP189" s="238"/>
      <c r="BQ189" s="238"/>
      <c r="BR189" s="238"/>
      <c r="BS189" s="238"/>
      <c r="BT189" s="238"/>
      <c r="BU189" s="238"/>
      <c r="BV189" s="238"/>
      <c r="BW189" s="238"/>
      <c r="BX189" s="238"/>
      <c r="BY189" s="238"/>
      <c r="BZ189" s="238"/>
      <c r="CA189" s="238"/>
      <c r="CB189" s="238"/>
      <c r="CC189" s="238"/>
    </row>
    <row r="190" customFormat="false" ht="13.5" hidden="false" customHeight="false" outlineLevel="0" collapsed="false">
      <c r="C190" s="235" t="n">
        <v>58</v>
      </c>
      <c r="D190" s="236" t="str">
        <f aca="false">IF(C190&lt;=$I$16, EDATE($D$6, C190-1), "")</f>
        <v/>
      </c>
      <c r="E190" s="236"/>
      <c r="F190" s="236"/>
      <c r="G190" s="236"/>
      <c r="H190" s="236"/>
      <c r="I190" s="236"/>
      <c r="J190" s="236"/>
      <c r="K190" s="236"/>
      <c r="L190" s="236"/>
      <c r="M190" s="236"/>
      <c r="N190" s="237" t="str">
        <f aca="false">IF(C190&lt;=$I$16, $I$17, "")</f>
        <v/>
      </c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AD190" s="235" t="n">
        <v>58</v>
      </c>
      <c r="AE190" s="236" t="str">
        <f aca="false">D190</f>
        <v/>
      </c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7" t="e">
        <f aca="false">AO189</f>
        <v>#DIV/0!</v>
      </c>
      <c r="AP190" s="237"/>
      <c r="AQ190" s="237"/>
      <c r="AR190" s="237"/>
      <c r="AS190" s="237"/>
      <c r="AT190" s="237"/>
      <c r="AU190" s="237"/>
      <c r="AV190" s="237"/>
      <c r="AW190" s="237"/>
      <c r="AX190" s="237"/>
      <c r="AY190" s="237"/>
      <c r="AZ190" s="237"/>
      <c r="BE190" s="235" t="n">
        <v>58</v>
      </c>
      <c r="BF190" s="236" t="str">
        <f aca="false">AE190</f>
        <v/>
      </c>
      <c r="BG190" s="236"/>
      <c r="BH190" s="236"/>
      <c r="BI190" s="236"/>
      <c r="BJ190" s="236"/>
      <c r="BK190" s="236"/>
      <c r="BL190" s="236"/>
      <c r="BM190" s="236"/>
      <c r="BN190" s="236"/>
      <c r="BO190" s="236"/>
      <c r="BP190" s="238"/>
      <c r="BQ190" s="238"/>
      <c r="BR190" s="238"/>
      <c r="BS190" s="238"/>
      <c r="BT190" s="238"/>
      <c r="BU190" s="238"/>
      <c r="BV190" s="238"/>
      <c r="BW190" s="238"/>
      <c r="BX190" s="238"/>
      <c r="BY190" s="238"/>
      <c r="BZ190" s="238"/>
      <c r="CA190" s="238"/>
      <c r="CB190" s="238"/>
      <c r="CC190" s="238"/>
    </row>
    <row r="191" customFormat="false" ht="13.5" hidden="false" customHeight="false" outlineLevel="0" collapsed="false">
      <c r="C191" s="235" t="n">
        <v>59</v>
      </c>
      <c r="D191" s="236" t="str">
        <f aca="false">IF(C191&lt;=$I$16, EDATE($D$6, C191-1), "")</f>
        <v/>
      </c>
      <c r="E191" s="236"/>
      <c r="F191" s="236"/>
      <c r="G191" s="236"/>
      <c r="H191" s="236"/>
      <c r="I191" s="236"/>
      <c r="J191" s="236"/>
      <c r="K191" s="236"/>
      <c r="L191" s="236"/>
      <c r="M191" s="236"/>
      <c r="N191" s="237" t="str">
        <f aca="false">IF(C191&lt;=$I$16, $I$17, "")</f>
        <v/>
      </c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AD191" s="235" t="n">
        <v>59</v>
      </c>
      <c r="AE191" s="236" t="str">
        <f aca="false">D191</f>
        <v/>
      </c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7" t="e">
        <f aca="false">AO190</f>
        <v>#DIV/0!</v>
      </c>
      <c r="AP191" s="237"/>
      <c r="AQ191" s="237"/>
      <c r="AR191" s="237"/>
      <c r="AS191" s="237"/>
      <c r="AT191" s="237"/>
      <c r="AU191" s="237"/>
      <c r="AV191" s="237"/>
      <c r="AW191" s="237"/>
      <c r="AX191" s="237"/>
      <c r="AY191" s="237"/>
      <c r="AZ191" s="237"/>
      <c r="BE191" s="235" t="n">
        <v>59</v>
      </c>
      <c r="BF191" s="236" t="str">
        <f aca="false">AE191</f>
        <v/>
      </c>
      <c r="BG191" s="236"/>
      <c r="BH191" s="236"/>
      <c r="BI191" s="236"/>
      <c r="BJ191" s="236"/>
      <c r="BK191" s="236"/>
      <c r="BL191" s="236"/>
      <c r="BM191" s="236"/>
      <c r="BN191" s="236"/>
      <c r="BO191" s="236"/>
      <c r="BP191" s="238"/>
      <c r="BQ191" s="238"/>
      <c r="BR191" s="238"/>
      <c r="BS191" s="238"/>
      <c r="BT191" s="238"/>
      <c r="BU191" s="238"/>
      <c r="BV191" s="238"/>
      <c r="BW191" s="238"/>
      <c r="BX191" s="238"/>
      <c r="BY191" s="238"/>
      <c r="BZ191" s="238"/>
      <c r="CA191" s="238"/>
      <c r="CB191" s="238"/>
      <c r="CC191" s="238"/>
    </row>
    <row r="192" customFormat="false" ht="13.5" hidden="false" customHeight="false" outlineLevel="0" collapsed="false">
      <c r="C192" s="235" t="n">
        <v>60</v>
      </c>
      <c r="D192" s="236" t="str">
        <f aca="false">IF(C192&lt;=$I$16, EDATE($D$6, C192-1), "")</f>
        <v/>
      </c>
      <c r="E192" s="236"/>
      <c r="F192" s="236"/>
      <c r="G192" s="236"/>
      <c r="H192" s="236"/>
      <c r="I192" s="236"/>
      <c r="J192" s="236"/>
      <c r="K192" s="236"/>
      <c r="L192" s="236"/>
      <c r="M192" s="236"/>
      <c r="N192" s="237" t="str">
        <f aca="false">IF(C192&lt;=$I$16, $I$17, "")</f>
        <v/>
      </c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AD192" s="235" t="n">
        <v>60</v>
      </c>
      <c r="AE192" s="236" t="str">
        <f aca="false">D192</f>
        <v/>
      </c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7" t="e">
        <f aca="false">AO191</f>
        <v>#DIV/0!</v>
      </c>
      <c r="AP192" s="237"/>
      <c r="AQ192" s="237"/>
      <c r="AR192" s="237"/>
      <c r="AS192" s="237"/>
      <c r="AT192" s="237"/>
      <c r="AU192" s="237"/>
      <c r="AV192" s="237"/>
      <c r="AW192" s="237"/>
      <c r="AX192" s="237"/>
      <c r="AY192" s="237"/>
      <c r="AZ192" s="237"/>
      <c r="BE192" s="235" t="n">
        <v>60</v>
      </c>
      <c r="BF192" s="236"/>
      <c r="BG192" s="236" t="str">
        <f aca="false">AE192</f>
        <v/>
      </c>
      <c r="BH192" s="236"/>
      <c r="BI192" s="236"/>
      <c r="BJ192" s="236"/>
      <c r="BK192" s="236"/>
      <c r="BL192" s="236"/>
      <c r="BM192" s="236"/>
      <c r="BN192" s="236"/>
      <c r="BO192" s="236"/>
      <c r="BP192" s="238"/>
      <c r="BQ192" s="238"/>
      <c r="BR192" s="238"/>
      <c r="BS192" s="238"/>
      <c r="BT192" s="238"/>
      <c r="BU192" s="238"/>
      <c r="BV192" s="238"/>
      <c r="BW192" s="238"/>
      <c r="BX192" s="238"/>
      <c r="BY192" s="238"/>
      <c r="BZ192" s="238"/>
      <c r="CA192" s="238"/>
      <c r="CB192" s="238"/>
      <c r="CC192" s="238"/>
    </row>
  </sheetData>
  <mergeCells count="598">
    <mergeCell ref="C2:CB2"/>
    <mergeCell ref="D4:L4"/>
    <mergeCell ref="D5:L5"/>
    <mergeCell ref="C7:Y7"/>
    <mergeCell ref="AD7:AZ7"/>
    <mergeCell ref="BE7:CB7"/>
    <mergeCell ref="C8:H8"/>
    <mergeCell ref="I8:Y8"/>
    <mergeCell ref="AD8:AO8"/>
    <mergeCell ref="AP8:AZ8"/>
    <mergeCell ref="BE8:BK8"/>
    <mergeCell ref="BL8:CB8"/>
    <mergeCell ref="C9:H9"/>
    <mergeCell ref="I9:Y9"/>
    <mergeCell ref="AD9:AO9"/>
    <mergeCell ref="AP9:AZ9"/>
    <mergeCell ref="BE9:BK9"/>
    <mergeCell ref="BL9:CB9"/>
    <mergeCell ref="C10:H10"/>
    <mergeCell ref="I10:Y10"/>
    <mergeCell ref="AD10:AO10"/>
    <mergeCell ref="AP10:AZ10"/>
    <mergeCell ref="BE10:BK10"/>
    <mergeCell ref="BL10:CB10"/>
    <mergeCell ref="C11:H11"/>
    <mergeCell ref="I11:Y11"/>
    <mergeCell ref="AD11:AO11"/>
    <mergeCell ref="AP11:AZ11"/>
    <mergeCell ref="BE11:BK11"/>
    <mergeCell ref="BL11:CB11"/>
    <mergeCell ref="C12:H12"/>
    <mergeCell ref="I12:Y12"/>
    <mergeCell ref="AD12:AO12"/>
    <mergeCell ref="AP12:AZ12"/>
    <mergeCell ref="BE12:BK12"/>
    <mergeCell ref="BL12:CB12"/>
    <mergeCell ref="C13:H13"/>
    <mergeCell ref="I13:Y13"/>
    <mergeCell ref="AD13:AO13"/>
    <mergeCell ref="AP13:AZ13"/>
    <mergeCell ref="BE13:BK13"/>
    <mergeCell ref="BL13:CB13"/>
    <mergeCell ref="C14:H14"/>
    <mergeCell ref="I14:Y14"/>
    <mergeCell ref="AD14:AO14"/>
    <mergeCell ref="AP14:AZ14"/>
    <mergeCell ref="BE14:BK15"/>
    <mergeCell ref="BL14:CB15"/>
    <mergeCell ref="C15:H15"/>
    <mergeCell ref="I15:Y15"/>
    <mergeCell ref="AD15:AO15"/>
    <mergeCell ref="AP15:AZ15"/>
    <mergeCell ref="C16:H16"/>
    <mergeCell ref="I16:Y16"/>
    <mergeCell ref="AD16:AO16"/>
    <mergeCell ref="AP16:AZ16"/>
    <mergeCell ref="C17:H17"/>
    <mergeCell ref="I17:Y17"/>
    <mergeCell ref="AD17:AO17"/>
    <mergeCell ref="AP17:AZ17"/>
    <mergeCell ref="BE17:BK17"/>
    <mergeCell ref="BL17:CB17"/>
    <mergeCell ref="C18:H18"/>
    <mergeCell ref="I18:Y18"/>
    <mergeCell ref="AD18:AO18"/>
    <mergeCell ref="AP18:AZ18"/>
    <mergeCell ref="BE18:BK18"/>
    <mergeCell ref="BL18:CB18"/>
    <mergeCell ref="C19:H19"/>
    <mergeCell ref="I19:Y19"/>
    <mergeCell ref="AD19:AO19"/>
    <mergeCell ref="AP19:AZ19"/>
    <mergeCell ref="BE19:BK19"/>
    <mergeCell ref="BL19:CB19"/>
    <mergeCell ref="AD20:AO20"/>
    <mergeCell ref="AP20:AZ20"/>
    <mergeCell ref="BE20:BK20"/>
    <mergeCell ref="BL20:CB20"/>
    <mergeCell ref="C26:Y26"/>
    <mergeCell ref="AD26:AZ26"/>
    <mergeCell ref="H30:S30"/>
    <mergeCell ref="AD30:AH30"/>
    <mergeCell ref="AI30:AT30"/>
    <mergeCell ref="BE30:BH30"/>
    <mergeCell ref="BK30:CB30"/>
    <mergeCell ref="H31:Q31"/>
    <mergeCell ref="AI31:AR31"/>
    <mergeCell ref="BE31:BH32"/>
    <mergeCell ref="BK31:CB32"/>
    <mergeCell ref="I32:O32"/>
    <mergeCell ref="AJ32:AP32"/>
    <mergeCell ref="C34:C48"/>
    <mergeCell ref="E34:E48"/>
    <mergeCell ref="G34:G48"/>
    <mergeCell ref="I34:I48"/>
    <mergeCell ref="O34:O39"/>
    <mergeCell ref="Q34:Q39"/>
    <mergeCell ref="S34:S39"/>
    <mergeCell ref="U34:U36"/>
    <mergeCell ref="W34:W39"/>
    <mergeCell ref="Y34:Y39"/>
    <mergeCell ref="AD34:AD48"/>
    <mergeCell ref="AF34:AF48"/>
    <mergeCell ref="AH34:AH48"/>
    <mergeCell ref="AJ34:AJ48"/>
    <mergeCell ref="AP34:AP39"/>
    <mergeCell ref="AR34:AR39"/>
    <mergeCell ref="AT34:AT39"/>
    <mergeCell ref="AV34:AV36"/>
    <mergeCell ref="AX34:AX39"/>
    <mergeCell ref="AZ34:AZ39"/>
    <mergeCell ref="BE39:CB45"/>
    <mergeCell ref="O42:O47"/>
    <mergeCell ref="Q42:Q47"/>
    <mergeCell ref="S42:S47"/>
    <mergeCell ref="U42:U44"/>
    <mergeCell ref="W42:W47"/>
    <mergeCell ref="Y42:Y47"/>
    <mergeCell ref="AP42:AP47"/>
    <mergeCell ref="AR42:AR47"/>
    <mergeCell ref="AT42:AT47"/>
    <mergeCell ref="AV42:AV44"/>
    <mergeCell ref="AX42:AX47"/>
    <mergeCell ref="AZ42:AZ47"/>
    <mergeCell ref="BE46:CB49"/>
    <mergeCell ref="C50:C64"/>
    <mergeCell ref="E50:E64"/>
    <mergeCell ref="G50:G64"/>
    <mergeCell ref="I50:I64"/>
    <mergeCell ref="O50:O55"/>
    <mergeCell ref="Q50:Q55"/>
    <mergeCell ref="S50:S55"/>
    <mergeCell ref="U50:U52"/>
    <mergeCell ref="W50:W55"/>
    <mergeCell ref="Y50:Y55"/>
    <mergeCell ref="AD50:AD64"/>
    <mergeCell ref="AF50:AF64"/>
    <mergeCell ref="AH50:AH64"/>
    <mergeCell ref="AJ50:AJ64"/>
    <mergeCell ref="AP50:AP55"/>
    <mergeCell ref="AR50:AR55"/>
    <mergeCell ref="AT50:AT55"/>
    <mergeCell ref="AV50:AV52"/>
    <mergeCell ref="AX50:AX55"/>
    <mergeCell ref="AZ50:AZ55"/>
    <mergeCell ref="O58:O63"/>
    <mergeCell ref="Q58:Q63"/>
    <mergeCell ref="S58:S63"/>
    <mergeCell ref="U58:U60"/>
    <mergeCell ref="W58:W63"/>
    <mergeCell ref="Y58:Y63"/>
    <mergeCell ref="AP58:AP63"/>
    <mergeCell ref="AR58:AR63"/>
    <mergeCell ref="AT58:AT63"/>
    <mergeCell ref="AV58:AV60"/>
    <mergeCell ref="AX58:AX63"/>
    <mergeCell ref="AZ58:AZ63"/>
    <mergeCell ref="C66:C80"/>
    <mergeCell ref="E66:E80"/>
    <mergeCell ref="G66:G80"/>
    <mergeCell ref="I66:I80"/>
    <mergeCell ref="O66:S71"/>
    <mergeCell ref="U66:U68"/>
    <mergeCell ref="W66:W71"/>
    <mergeCell ref="Y66:Y71"/>
    <mergeCell ref="AD66:AD80"/>
    <mergeCell ref="AF66:AF80"/>
    <mergeCell ref="AH66:AH80"/>
    <mergeCell ref="AJ66:AJ80"/>
    <mergeCell ref="AP66:AT71"/>
    <mergeCell ref="AV66:AV68"/>
    <mergeCell ref="AX66:AX71"/>
    <mergeCell ref="AZ66:AZ71"/>
    <mergeCell ref="O74:S79"/>
    <mergeCell ref="U74:U76"/>
    <mergeCell ref="W74:W79"/>
    <mergeCell ref="Y74:Y79"/>
    <mergeCell ref="AP74:AT79"/>
    <mergeCell ref="AV74:AV76"/>
    <mergeCell ref="AX74:AX79"/>
    <mergeCell ref="AZ74:AZ79"/>
    <mergeCell ref="C82:C96"/>
    <mergeCell ref="E82:E96"/>
    <mergeCell ref="G82:G96"/>
    <mergeCell ref="I82:I96"/>
    <mergeCell ref="O82:U87"/>
    <mergeCell ref="W82:W87"/>
    <mergeCell ref="Y82:Y87"/>
    <mergeCell ref="AD82:AD96"/>
    <mergeCell ref="AF82:AF96"/>
    <mergeCell ref="AH82:AH96"/>
    <mergeCell ref="AJ82:AJ96"/>
    <mergeCell ref="AP82:AV87"/>
    <mergeCell ref="AX82:AX87"/>
    <mergeCell ref="AZ82:AZ87"/>
    <mergeCell ref="O90:U95"/>
    <mergeCell ref="W90:W95"/>
    <mergeCell ref="Y90:Y95"/>
    <mergeCell ref="AP90:AV95"/>
    <mergeCell ref="AX90:AX95"/>
    <mergeCell ref="AZ90:AZ95"/>
    <mergeCell ref="C98:C112"/>
    <mergeCell ref="E98:E112"/>
    <mergeCell ref="G98:G112"/>
    <mergeCell ref="I98:I112"/>
    <mergeCell ref="O98:U103"/>
    <mergeCell ref="AD98:AD112"/>
    <mergeCell ref="AF98:AF112"/>
    <mergeCell ref="AH98:AH112"/>
    <mergeCell ref="AJ98:AJ112"/>
    <mergeCell ref="AP98:AV103"/>
    <mergeCell ref="O106:U111"/>
    <mergeCell ref="AP106:AV111"/>
    <mergeCell ref="C114:C120"/>
    <mergeCell ref="E114:E120"/>
    <mergeCell ref="G114:G120"/>
    <mergeCell ref="I114:I120"/>
    <mergeCell ref="K114:S120"/>
    <mergeCell ref="AD114:AD120"/>
    <mergeCell ref="AF114:AF120"/>
    <mergeCell ref="AH114:AH120"/>
    <mergeCell ref="AJ114:AJ120"/>
    <mergeCell ref="AL114:AT120"/>
    <mergeCell ref="C122:C129"/>
    <mergeCell ref="E122:E129"/>
    <mergeCell ref="G122:G129"/>
    <mergeCell ref="AD122:AD129"/>
    <mergeCell ref="AF122:AF129"/>
    <mergeCell ref="AH122:AH129"/>
    <mergeCell ref="C131:Y131"/>
    <mergeCell ref="AD131:AZ131"/>
    <mergeCell ref="BE131:CC131"/>
    <mergeCell ref="D132:M132"/>
    <mergeCell ref="N132:Y132"/>
    <mergeCell ref="AE132:AN132"/>
    <mergeCell ref="AO132:AZ132"/>
    <mergeCell ref="BF132:BO132"/>
    <mergeCell ref="BP132:CC132"/>
    <mergeCell ref="D133:M133"/>
    <mergeCell ref="N133:Y133"/>
    <mergeCell ref="AE133:AN133"/>
    <mergeCell ref="AO133:AZ133"/>
    <mergeCell ref="BF133:BO133"/>
    <mergeCell ref="BP133:CC133"/>
    <mergeCell ref="D134:M134"/>
    <mergeCell ref="N134:Y134"/>
    <mergeCell ref="AE134:AN134"/>
    <mergeCell ref="AO134:AZ134"/>
    <mergeCell ref="BF134:BO134"/>
    <mergeCell ref="BP134:CC134"/>
    <mergeCell ref="D135:M135"/>
    <mergeCell ref="N135:Y135"/>
    <mergeCell ref="AE135:AN135"/>
    <mergeCell ref="AO135:AZ135"/>
    <mergeCell ref="BF135:BO135"/>
    <mergeCell ref="BP135:CC135"/>
    <mergeCell ref="D136:M136"/>
    <mergeCell ref="N136:Y136"/>
    <mergeCell ref="AE136:AN136"/>
    <mergeCell ref="AO136:AZ136"/>
    <mergeCell ref="BF136:BO136"/>
    <mergeCell ref="BP136:CC136"/>
    <mergeCell ref="D137:M137"/>
    <mergeCell ref="N137:Y137"/>
    <mergeCell ref="AE137:AN137"/>
    <mergeCell ref="AO137:AZ137"/>
    <mergeCell ref="BF137:BO137"/>
    <mergeCell ref="BP137:CC137"/>
    <mergeCell ref="D138:M138"/>
    <mergeCell ref="N138:Y138"/>
    <mergeCell ref="AE138:AN138"/>
    <mergeCell ref="AO138:AZ138"/>
    <mergeCell ref="BF138:BO138"/>
    <mergeCell ref="BP138:CC138"/>
    <mergeCell ref="D139:M139"/>
    <mergeCell ref="N139:Y139"/>
    <mergeCell ref="AE139:AN139"/>
    <mergeCell ref="AO139:AZ139"/>
    <mergeCell ref="BF139:BO139"/>
    <mergeCell ref="BP139:CC139"/>
    <mergeCell ref="D140:M140"/>
    <mergeCell ref="N140:Y140"/>
    <mergeCell ref="AE140:AN140"/>
    <mergeCell ref="AO140:AZ140"/>
    <mergeCell ref="BF140:BO140"/>
    <mergeCell ref="BP140:CC140"/>
    <mergeCell ref="D141:M141"/>
    <mergeCell ref="N141:Y141"/>
    <mergeCell ref="AE141:AN141"/>
    <mergeCell ref="AO141:AZ141"/>
    <mergeCell ref="BF141:BO141"/>
    <mergeCell ref="BP141:CC141"/>
    <mergeCell ref="D142:M142"/>
    <mergeCell ref="N142:Y142"/>
    <mergeCell ref="AE142:AN142"/>
    <mergeCell ref="AO142:AZ142"/>
    <mergeCell ref="BF142:BO142"/>
    <mergeCell ref="BP142:CC142"/>
    <mergeCell ref="D143:M143"/>
    <mergeCell ref="N143:Y143"/>
    <mergeCell ref="AE143:AN143"/>
    <mergeCell ref="AO143:AZ143"/>
    <mergeCell ref="BF143:BO143"/>
    <mergeCell ref="BP143:CC143"/>
    <mergeCell ref="D144:M144"/>
    <mergeCell ref="N144:Y144"/>
    <mergeCell ref="AE144:AN144"/>
    <mergeCell ref="AO144:AZ144"/>
    <mergeCell ref="BF144:BO144"/>
    <mergeCell ref="BP144:CC144"/>
    <mergeCell ref="D145:M145"/>
    <mergeCell ref="N145:Y145"/>
    <mergeCell ref="AE145:AN145"/>
    <mergeCell ref="AO145:AZ145"/>
    <mergeCell ref="BF145:BO145"/>
    <mergeCell ref="BP145:CC145"/>
    <mergeCell ref="D146:M146"/>
    <mergeCell ref="N146:Y146"/>
    <mergeCell ref="AE146:AN146"/>
    <mergeCell ref="AO146:AZ146"/>
    <mergeCell ref="BF146:BO146"/>
    <mergeCell ref="BP146:CC146"/>
    <mergeCell ref="D147:M147"/>
    <mergeCell ref="N147:Y147"/>
    <mergeCell ref="AE147:AN147"/>
    <mergeCell ref="AO147:AZ147"/>
    <mergeCell ref="BF147:BO147"/>
    <mergeCell ref="BP147:CC147"/>
    <mergeCell ref="D148:M148"/>
    <mergeCell ref="N148:Y148"/>
    <mergeCell ref="AE148:AN148"/>
    <mergeCell ref="AO148:AZ148"/>
    <mergeCell ref="BF148:BO148"/>
    <mergeCell ref="BP148:CC148"/>
    <mergeCell ref="D149:M149"/>
    <mergeCell ref="N149:Y149"/>
    <mergeCell ref="AE149:AN149"/>
    <mergeCell ref="AO149:AZ149"/>
    <mergeCell ref="BF149:BO149"/>
    <mergeCell ref="BP149:CC149"/>
    <mergeCell ref="D150:M150"/>
    <mergeCell ref="N150:Y150"/>
    <mergeCell ref="AE150:AN150"/>
    <mergeCell ref="AO150:AZ150"/>
    <mergeCell ref="BF150:BO150"/>
    <mergeCell ref="BP150:CC150"/>
    <mergeCell ref="D151:M151"/>
    <mergeCell ref="N151:Y151"/>
    <mergeCell ref="AE151:AN151"/>
    <mergeCell ref="AO151:AZ151"/>
    <mergeCell ref="BF151:BO151"/>
    <mergeCell ref="BP151:CC151"/>
    <mergeCell ref="D152:M152"/>
    <mergeCell ref="N152:Y152"/>
    <mergeCell ref="AE152:AN152"/>
    <mergeCell ref="AO152:AZ152"/>
    <mergeCell ref="BF152:BO152"/>
    <mergeCell ref="BP152:CC152"/>
    <mergeCell ref="D153:M153"/>
    <mergeCell ref="N153:Y153"/>
    <mergeCell ref="AE153:AN153"/>
    <mergeCell ref="AO153:AZ153"/>
    <mergeCell ref="BF153:BO153"/>
    <mergeCell ref="BP153:CC153"/>
    <mergeCell ref="D154:M154"/>
    <mergeCell ref="N154:Y154"/>
    <mergeCell ref="AE154:AN154"/>
    <mergeCell ref="AO154:AZ154"/>
    <mergeCell ref="BF154:BO154"/>
    <mergeCell ref="BP154:CC154"/>
    <mergeCell ref="D155:M155"/>
    <mergeCell ref="N155:Y155"/>
    <mergeCell ref="AE155:AN155"/>
    <mergeCell ref="AO155:AZ155"/>
    <mergeCell ref="BF155:BO155"/>
    <mergeCell ref="BP155:CC155"/>
    <mergeCell ref="D156:M156"/>
    <mergeCell ref="N156:Y156"/>
    <mergeCell ref="AE156:AN156"/>
    <mergeCell ref="AO156:AZ156"/>
    <mergeCell ref="BF156:BO156"/>
    <mergeCell ref="BP156:CC156"/>
    <mergeCell ref="D157:M157"/>
    <mergeCell ref="N157:Y157"/>
    <mergeCell ref="AE157:AN157"/>
    <mergeCell ref="AO157:AZ157"/>
    <mergeCell ref="BF157:BO157"/>
    <mergeCell ref="BP157:CC157"/>
    <mergeCell ref="D158:M158"/>
    <mergeCell ref="N158:Y158"/>
    <mergeCell ref="AE158:AN158"/>
    <mergeCell ref="AO158:AZ158"/>
    <mergeCell ref="BF158:BO158"/>
    <mergeCell ref="BP158:CC158"/>
    <mergeCell ref="D159:M159"/>
    <mergeCell ref="N159:Y159"/>
    <mergeCell ref="AE159:AN159"/>
    <mergeCell ref="AO159:AZ159"/>
    <mergeCell ref="BF159:BO159"/>
    <mergeCell ref="BP159:CC159"/>
    <mergeCell ref="D160:M160"/>
    <mergeCell ref="N160:Y160"/>
    <mergeCell ref="AE160:AN160"/>
    <mergeCell ref="AO160:AZ160"/>
    <mergeCell ref="BF160:BO160"/>
    <mergeCell ref="BP160:CC160"/>
    <mergeCell ref="D161:M161"/>
    <mergeCell ref="N161:Y161"/>
    <mergeCell ref="AE161:AN161"/>
    <mergeCell ref="AO161:AZ161"/>
    <mergeCell ref="BF161:BO161"/>
    <mergeCell ref="BP161:CC161"/>
    <mergeCell ref="D162:M162"/>
    <mergeCell ref="N162:Y162"/>
    <mergeCell ref="AE162:AN162"/>
    <mergeCell ref="AO162:AZ162"/>
    <mergeCell ref="BF162:BO162"/>
    <mergeCell ref="BP162:CC162"/>
    <mergeCell ref="D163:M163"/>
    <mergeCell ref="N163:Y163"/>
    <mergeCell ref="AE163:AN163"/>
    <mergeCell ref="AO163:AZ163"/>
    <mergeCell ref="BF163:BO163"/>
    <mergeCell ref="BP163:CC163"/>
    <mergeCell ref="D164:M164"/>
    <mergeCell ref="N164:Y164"/>
    <mergeCell ref="AE164:AN164"/>
    <mergeCell ref="AO164:AZ164"/>
    <mergeCell ref="BF164:BO164"/>
    <mergeCell ref="BP164:CC164"/>
    <mergeCell ref="D165:M165"/>
    <mergeCell ref="N165:Y165"/>
    <mergeCell ref="AE165:AN165"/>
    <mergeCell ref="AO165:AZ165"/>
    <mergeCell ref="BF165:BO165"/>
    <mergeCell ref="BP165:CC165"/>
    <mergeCell ref="D166:M166"/>
    <mergeCell ref="N166:Y166"/>
    <mergeCell ref="AE166:AN166"/>
    <mergeCell ref="AO166:AZ166"/>
    <mergeCell ref="BF166:BO166"/>
    <mergeCell ref="BP166:CC166"/>
    <mergeCell ref="D167:M167"/>
    <mergeCell ref="N167:Y167"/>
    <mergeCell ref="AE167:AN167"/>
    <mergeCell ref="AO167:AZ167"/>
    <mergeCell ref="BF167:BO167"/>
    <mergeCell ref="BP167:CC167"/>
    <mergeCell ref="D168:M168"/>
    <mergeCell ref="N168:Y168"/>
    <mergeCell ref="AE168:AN168"/>
    <mergeCell ref="AO168:AZ168"/>
    <mergeCell ref="BF168:BO168"/>
    <mergeCell ref="BP168:CC168"/>
    <mergeCell ref="D169:M169"/>
    <mergeCell ref="N169:Y169"/>
    <mergeCell ref="AE169:AN169"/>
    <mergeCell ref="AO169:AZ169"/>
    <mergeCell ref="BF169:BO169"/>
    <mergeCell ref="BP169:CC169"/>
    <mergeCell ref="D170:M170"/>
    <mergeCell ref="N170:Y170"/>
    <mergeCell ref="AE170:AN170"/>
    <mergeCell ref="AO170:AZ170"/>
    <mergeCell ref="BF170:BO170"/>
    <mergeCell ref="BP170:CC170"/>
    <mergeCell ref="D171:M171"/>
    <mergeCell ref="N171:Y171"/>
    <mergeCell ref="AE171:AN171"/>
    <mergeCell ref="AO171:AZ171"/>
    <mergeCell ref="BF171:BO171"/>
    <mergeCell ref="BP171:CC171"/>
    <mergeCell ref="D172:M172"/>
    <mergeCell ref="N172:Y172"/>
    <mergeCell ref="AE172:AN172"/>
    <mergeCell ref="AO172:AZ172"/>
    <mergeCell ref="BF172:BO172"/>
    <mergeCell ref="BP172:CC172"/>
    <mergeCell ref="D173:M173"/>
    <mergeCell ref="N173:Y173"/>
    <mergeCell ref="AE173:AN173"/>
    <mergeCell ref="AO173:AZ173"/>
    <mergeCell ref="BF173:BO173"/>
    <mergeCell ref="BP173:CC173"/>
    <mergeCell ref="D174:M174"/>
    <mergeCell ref="N174:Y174"/>
    <mergeCell ref="AE174:AN174"/>
    <mergeCell ref="AO174:AZ174"/>
    <mergeCell ref="BF174:BO174"/>
    <mergeCell ref="BP174:CC174"/>
    <mergeCell ref="D175:M175"/>
    <mergeCell ref="N175:Y175"/>
    <mergeCell ref="AE175:AN175"/>
    <mergeCell ref="AO175:AZ175"/>
    <mergeCell ref="BF175:BO175"/>
    <mergeCell ref="BP175:CC175"/>
    <mergeCell ref="D176:M176"/>
    <mergeCell ref="N176:Y176"/>
    <mergeCell ref="AE176:AN176"/>
    <mergeCell ref="AO176:AZ176"/>
    <mergeCell ref="BF176:BO176"/>
    <mergeCell ref="BP176:CC176"/>
    <mergeCell ref="D177:M177"/>
    <mergeCell ref="N177:Y177"/>
    <mergeCell ref="AE177:AN177"/>
    <mergeCell ref="AO177:AZ177"/>
    <mergeCell ref="BF177:BO177"/>
    <mergeCell ref="BP177:CC177"/>
    <mergeCell ref="D178:M178"/>
    <mergeCell ref="N178:Y178"/>
    <mergeCell ref="AE178:AN178"/>
    <mergeCell ref="AO178:AZ178"/>
    <mergeCell ref="BF178:BO178"/>
    <mergeCell ref="BP178:CC178"/>
    <mergeCell ref="D179:M179"/>
    <mergeCell ref="N179:Y179"/>
    <mergeCell ref="AE179:AN179"/>
    <mergeCell ref="AO179:AZ179"/>
    <mergeCell ref="BF179:BO179"/>
    <mergeCell ref="BP179:CC179"/>
    <mergeCell ref="D180:M180"/>
    <mergeCell ref="N180:Y180"/>
    <mergeCell ref="AE180:AN180"/>
    <mergeCell ref="AO180:AZ180"/>
    <mergeCell ref="BF180:BO180"/>
    <mergeCell ref="BP180:CC180"/>
    <mergeCell ref="D181:M181"/>
    <mergeCell ref="N181:Y181"/>
    <mergeCell ref="AE181:AN181"/>
    <mergeCell ref="AO181:AZ181"/>
    <mergeCell ref="BF181:BO181"/>
    <mergeCell ref="BP181:CC181"/>
    <mergeCell ref="D182:M182"/>
    <mergeCell ref="N182:Y182"/>
    <mergeCell ref="AE182:AN182"/>
    <mergeCell ref="AO182:AZ182"/>
    <mergeCell ref="BF182:BO182"/>
    <mergeCell ref="BP182:CC182"/>
    <mergeCell ref="D183:M183"/>
    <mergeCell ref="N183:Y183"/>
    <mergeCell ref="AE183:AN183"/>
    <mergeCell ref="AO183:AZ183"/>
    <mergeCell ref="BF183:BO183"/>
    <mergeCell ref="BP183:CC183"/>
    <mergeCell ref="D184:M184"/>
    <mergeCell ref="N184:Y184"/>
    <mergeCell ref="AE184:AN184"/>
    <mergeCell ref="AO184:AZ184"/>
    <mergeCell ref="BF184:BO184"/>
    <mergeCell ref="BP184:CC184"/>
    <mergeCell ref="D185:M185"/>
    <mergeCell ref="N185:Y185"/>
    <mergeCell ref="AE185:AN185"/>
    <mergeCell ref="AO185:AZ185"/>
    <mergeCell ref="BF185:BO185"/>
    <mergeCell ref="BP185:CC185"/>
    <mergeCell ref="D186:M186"/>
    <mergeCell ref="N186:Y186"/>
    <mergeCell ref="AE186:AN186"/>
    <mergeCell ref="AO186:AZ186"/>
    <mergeCell ref="BF186:BO186"/>
    <mergeCell ref="BP186:CC186"/>
    <mergeCell ref="D187:M187"/>
    <mergeCell ref="N187:Y187"/>
    <mergeCell ref="AE187:AN187"/>
    <mergeCell ref="AO187:AZ187"/>
    <mergeCell ref="BF187:BO187"/>
    <mergeCell ref="BP187:CC187"/>
    <mergeCell ref="D188:M188"/>
    <mergeCell ref="N188:Y188"/>
    <mergeCell ref="AE188:AN188"/>
    <mergeCell ref="AO188:AZ188"/>
    <mergeCell ref="BF188:BO188"/>
    <mergeCell ref="BP188:CC188"/>
    <mergeCell ref="D189:M189"/>
    <mergeCell ref="N189:Y189"/>
    <mergeCell ref="AE189:AN189"/>
    <mergeCell ref="AO189:AZ189"/>
    <mergeCell ref="BF189:BO189"/>
    <mergeCell ref="BP189:CC189"/>
    <mergeCell ref="D190:M190"/>
    <mergeCell ref="N190:Y190"/>
    <mergeCell ref="AE190:AN190"/>
    <mergeCell ref="AO190:AZ190"/>
    <mergeCell ref="BF190:BO190"/>
    <mergeCell ref="BP190:CC190"/>
    <mergeCell ref="D191:M191"/>
    <mergeCell ref="N191:Y191"/>
    <mergeCell ref="AE191:AN191"/>
    <mergeCell ref="AO191:AZ191"/>
    <mergeCell ref="BF191:BO191"/>
    <mergeCell ref="BP191:CC191"/>
    <mergeCell ref="D192:M192"/>
    <mergeCell ref="N192:Y192"/>
    <mergeCell ref="AE192:AN192"/>
    <mergeCell ref="AO192:AZ192"/>
    <mergeCell ref="BG192:BO192"/>
    <mergeCell ref="BP192:CC192"/>
  </mergeCells>
  <printOptions headings="false" gridLines="false" gridLinesSet="true" horizontalCentered="false" verticalCentered="false"/>
  <pageMargins left="0.275694444444444" right="0.275694444444444" top="0.275694444444444" bottom="0.275694444444444" header="0.118055555555556" footer="0.11805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&amp;C&amp;"Calibri,Bold"&amp;14Cálculo de Ação Crefaz</oddHeader>
    <oddFooter>&amp;RPágina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2021-08-13T11:51:58Z</dcterms:created>
  <dc:creator>Ibr</dc:creator>
  <dc:description/>
  <dc:language>en-US</dc:language>
  <cp:lastModifiedBy>BRUNA EDUARDA REIS DO NASCIMENTO</cp:lastModifiedBy>
  <cp:lastPrinted>2025-07-09T17:10:31Z</cp:lastPrinted>
  <dcterms:modified xsi:type="dcterms:W3CDTF">2026-04-29T03:10:34Z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